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webextensions/webextension1.xml" ContentType="application/vnd.ms-office.webextension+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webextensions/webextension2.xml" ContentType="application/vnd.ms-office.webextensi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W:\Change Control\"/>
    </mc:Choice>
  </mc:AlternateContent>
  <xr:revisionPtr revIDLastSave="0" documentId="13_ncr:1_{24E6C3FA-CCCA-4787-9054-967C11836CC2}" xr6:coauthVersionLast="47" xr6:coauthVersionMax="47" xr10:uidLastSave="{00000000-0000-0000-0000-000000000000}"/>
  <bookViews>
    <workbookView xWindow="-120" yWindow="-120" windowWidth="29040" windowHeight="15840" activeTab="1" xr2:uid="{00000000-000D-0000-FFFF-FFFF00000000}"/>
  </bookViews>
  <sheets>
    <sheet name="DropDownLists" sheetId="17" r:id="rId1"/>
    <sheet name="Q011-09 (2021)" sheetId="23" r:id="rId2"/>
    <sheet name="Q011-08 (2020)" sheetId="21" r:id="rId3"/>
    <sheet name="Q011-07 (2019)" sheetId="20" r:id="rId4"/>
    <sheet name="Q011-06 (2018)" sheetId="19" r:id="rId5"/>
    <sheet name="Q011-05 (2017)" sheetId="14" r:id="rId6"/>
    <sheet name="Q011-04 (2016)" sheetId="13" r:id="rId7"/>
    <sheet name="Q011-03 (2015)" sheetId="11" r:id="rId8"/>
    <sheet name="Q011-02 (2014)" sheetId="10" r:id="rId9"/>
    <sheet name="2013 Q011-01 " sheetId="9" r:id="rId10"/>
    <sheet name="2012 Q011-01" sheetId="8" r:id="rId11"/>
    <sheet name="2011" sheetId="7" r:id="rId12"/>
    <sheet name="2010" sheetId="5" r:id="rId13"/>
    <sheet name="2009" sheetId="4" r:id="rId14"/>
    <sheet name="2008" sheetId="3" r:id="rId15"/>
    <sheet name="2007" sheetId="2" r:id="rId16"/>
    <sheet name="2006" sheetId="1" r:id="rId17"/>
    <sheet name="Yearly Metrics" sheetId="22" r:id="rId18"/>
    <sheet name="Quarterly Metrics" sheetId="25" r:id="rId19"/>
    <sheet name="MasterList" sheetId="24" r:id="rId20"/>
  </sheets>
  <definedNames>
    <definedName name="_xlnm._FilterDatabase" localSheetId="19" hidden="1">MasterList!$A$1:$S$1</definedName>
    <definedName name="_xlnm._FilterDatabase" localSheetId="8" hidden="1">'Q011-02 (2014)'!$A$1:$P$69</definedName>
    <definedName name="_xlnm._FilterDatabase" localSheetId="7" hidden="1">'Q011-03 (2015)'!$A$1:$Q$129</definedName>
    <definedName name="_xlnm._FilterDatabase" localSheetId="6" hidden="1">'Q011-04 (2016)'!$A$1:$S$1</definedName>
    <definedName name="_xlnm._FilterDatabase" localSheetId="5" hidden="1">'Q011-05 (2017)'!$A$1:$U$1</definedName>
    <definedName name="_xlnm._FilterDatabase" localSheetId="4" hidden="1">'Q011-06 (2018)'!$A$1:$S$206</definedName>
    <definedName name="_xlnm._FilterDatabase" localSheetId="17" hidden="1">'Yearly Metrics'!$B$4:$K$9</definedName>
    <definedName name="_GoBack" localSheetId="6">'Q011-04 (2016)'!$D$86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00" i="24" l="1"/>
  <c r="S99" i="24"/>
  <c r="S98" i="24"/>
  <c r="S97" i="24"/>
  <c r="S96" i="24"/>
  <c r="S95" i="24"/>
  <c r="S94" i="24"/>
  <c r="S93" i="24"/>
  <c r="S92" i="24"/>
  <c r="S91" i="24"/>
  <c r="S90" i="24"/>
  <c r="S89" i="24"/>
  <c r="S88" i="24"/>
  <c r="S87" i="24"/>
  <c r="S86" i="24"/>
  <c r="S85" i="24"/>
  <c r="S84" i="24"/>
  <c r="S83" i="24"/>
  <c r="S82" i="24"/>
  <c r="S81" i="24"/>
  <c r="S80" i="24"/>
  <c r="S79" i="24"/>
  <c r="S78" i="24"/>
  <c r="S77" i="24"/>
  <c r="S76" i="24"/>
  <c r="S75" i="24"/>
  <c r="S74" i="24"/>
  <c r="S73" i="24"/>
  <c r="S72" i="24"/>
  <c r="S71" i="24"/>
  <c r="S70" i="24"/>
  <c r="S69" i="24"/>
  <c r="S68" i="24"/>
  <c r="S67" i="24"/>
  <c r="S66" i="24"/>
  <c r="S65" i="24"/>
  <c r="S64" i="24"/>
  <c r="S63" i="24"/>
  <c r="S62" i="24"/>
  <c r="S61" i="24"/>
  <c r="S60" i="24"/>
  <c r="S59" i="24"/>
  <c r="S58" i="24"/>
  <c r="S57" i="24"/>
  <c r="S56" i="24"/>
  <c r="S55" i="24"/>
  <c r="S54" i="24"/>
  <c r="S53" i="24"/>
  <c r="S52" i="24"/>
  <c r="S51" i="24"/>
  <c r="S50" i="24"/>
  <c r="S49" i="24"/>
  <c r="S48" i="24"/>
  <c r="S47" i="24"/>
  <c r="S46" i="24"/>
  <c r="S45" i="24"/>
  <c r="S44" i="24"/>
  <c r="S43" i="24"/>
  <c r="S42" i="24"/>
  <c r="S41" i="24"/>
  <c r="S40" i="24"/>
  <c r="S39" i="24"/>
  <c r="S38" i="24"/>
  <c r="S37" i="24"/>
  <c r="S36" i="24"/>
  <c r="S35" i="24"/>
  <c r="S34" i="24"/>
  <c r="S33" i="24"/>
  <c r="S32" i="24"/>
  <c r="S31" i="24"/>
  <c r="S30" i="24"/>
  <c r="S29" i="24"/>
  <c r="S28" i="24"/>
  <c r="S27" i="24"/>
  <c r="S26" i="24"/>
  <c r="S25" i="24"/>
  <c r="S24" i="24"/>
  <c r="S23" i="24"/>
  <c r="S22" i="24"/>
  <c r="S21" i="24"/>
  <c r="S20" i="24"/>
  <c r="S19" i="24"/>
  <c r="S18" i="24"/>
  <c r="S17" i="24"/>
  <c r="S16" i="24"/>
  <c r="S15" i="24"/>
  <c r="S14" i="24"/>
  <c r="S13" i="24"/>
  <c r="S12" i="24"/>
  <c r="S11" i="24"/>
  <c r="S10" i="24"/>
  <c r="S9" i="24"/>
  <c r="S8" i="24"/>
  <c r="S7" i="24"/>
  <c r="S6" i="24"/>
  <c r="S5" i="24"/>
  <c r="S4" i="24"/>
  <c r="S3" i="24"/>
  <c r="S2" i="24"/>
  <c r="S247" i="24"/>
  <c r="S246" i="24"/>
  <c r="S245" i="24"/>
  <c r="S244" i="24"/>
  <c r="S243" i="24"/>
  <c r="S242" i="24"/>
  <c r="S241" i="24"/>
  <c r="S240" i="24"/>
  <c r="S239" i="24"/>
  <c r="S238" i="24"/>
  <c r="S237" i="24"/>
  <c r="S236" i="24"/>
  <c r="S235" i="24"/>
  <c r="S234" i="24"/>
  <c r="S233" i="24"/>
  <c r="S232" i="24"/>
  <c r="S231" i="24"/>
  <c r="S230" i="24"/>
  <c r="S229" i="24"/>
  <c r="S228" i="24"/>
  <c r="S227" i="24"/>
  <c r="S226" i="24"/>
  <c r="S225" i="24"/>
  <c r="S224" i="24"/>
  <c r="S223" i="24"/>
  <c r="S222" i="24"/>
  <c r="S221" i="24"/>
  <c r="S220" i="24"/>
  <c r="S219" i="24"/>
  <c r="S218" i="24"/>
  <c r="S217" i="24"/>
  <c r="S216" i="24"/>
  <c r="S215" i="24"/>
  <c r="S214" i="24"/>
  <c r="S213" i="24"/>
  <c r="S212" i="24"/>
  <c r="S211" i="24"/>
  <c r="S210" i="24"/>
  <c r="S209" i="24"/>
  <c r="S208" i="24"/>
  <c r="S207" i="24"/>
  <c r="S206" i="24"/>
  <c r="S205" i="24"/>
  <c r="S204" i="24"/>
  <c r="S203" i="24"/>
  <c r="S202" i="24"/>
  <c r="S201" i="24"/>
  <c r="S200" i="24"/>
  <c r="S199" i="24"/>
  <c r="S198" i="24"/>
  <c r="S197" i="24"/>
  <c r="S196" i="24"/>
  <c r="S195" i="24"/>
  <c r="S194" i="24"/>
  <c r="S193" i="24"/>
  <c r="S192" i="24"/>
  <c r="S191" i="24"/>
  <c r="S190" i="24"/>
  <c r="S189" i="24"/>
  <c r="S188" i="24"/>
  <c r="S187" i="24"/>
  <c r="S186" i="24"/>
  <c r="S185" i="24"/>
  <c r="S184" i="24"/>
  <c r="S183" i="24"/>
  <c r="S182" i="24"/>
  <c r="S181" i="24"/>
  <c r="S180" i="24"/>
  <c r="S179" i="24"/>
  <c r="S178" i="24"/>
  <c r="S177" i="24"/>
  <c r="S176" i="24"/>
  <c r="S175" i="24"/>
  <c r="S174" i="24"/>
  <c r="S173" i="24"/>
  <c r="S172" i="24"/>
  <c r="S171" i="24"/>
  <c r="S170" i="24"/>
  <c r="S169" i="24"/>
  <c r="S168" i="24"/>
  <c r="S167" i="24"/>
  <c r="S166" i="24"/>
  <c r="S165" i="24"/>
  <c r="S164" i="24"/>
  <c r="S163" i="24"/>
  <c r="S162" i="24"/>
  <c r="S161" i="24"/>
  <c r="S160" i="24"/>
  <c r="S159" i="24"/>
  <c r="S158" i="24"/>
  <c r="S157" i="24"/>
  <c r="S156" i="24"/>
  <c r="S155" i="24"/>
  <c r="S154" i="24"/>
  <c r="S153" i="24"/>
  <c r="S152" i="24"/>
  <c r="S151" i="24"/>
  <c r="S150" i="24"/>
  <c r="S149" i="24"/>
  <c r="S148" i="24"/>
  <c r="S147" i="24"/>
  <c r="S146" i="24"/>
  <c r="S145" i="24"/>
  <c r="S144" i="24"/>
  <c r="S143" i="24"/>
  <c r="S142" i="24"/>
  <c r="S141" i="24"/>
  <c r="S140" i="24"/>
  <c r="S139" i="24"/>
  <c r="S138" i="24"/>
  <c r="S137" i="24"/>
  <c r="S136" i="24"/>
  <c r="S135" i="24"/>
  <c r="S134" i="24"/>
  <c r="S133" i="24"/>
  <c r="S132" i="24"/>
  <c r="S131" i="24"/>
  <c r="S130" i="24"/>
  <c r="S129" i="24"/>
  <c r="S128" i="24"/>
  <c r="S127" i="24"/>
  <c r="S126" i="24"/>
  <c r="S125" i="24"/>
  <c r="S124" i="24"/>
  <c r="S123" i="24"/>
  <c r="S122" i="24"/>
  <c r="S121" i="24"/>
  <c r="S120" i="24"/>
  <c r="S119" i="24"/>
  <c r="S118" i="24"/>
  <c r="S117" i="24"/>
  <c r="S116" i="24"/>
  <c r="S115" i="24"/>
  <c r="S114" i="24"/>
  <c r="S113" i="24"/>
  <c r="S112" i="24"/>
  <c r="S111" i="24"/>
  <c r="S110" i="24"/>
  <c r="S109" i="24"/>
  <c r="S108" i="24"/>
  <c r="S107" i="24"/>
  <c r="S106" i="24"/>
  <c r="S105" i="24"/>
  <c r="S104" i="24"/>
  <c r="S103" i="24"/>
  <c r="S102" i="24"/>
  <c r="S101" i="24"/>
  <c r="S450" i="24"/>
  <c r="S449" i="24"/>
  <c r="S448" i="24"/>
  <c r="S447" i="24"/>
  <c r="S446" i="24"/>
  <c r="S445" i="24"/>
  <c r="S444" i="24"/>
  <c r="S443" i="24"/>
  <c r="S442" i="24"/>
  <c r="S441" i="24"/>
  <c r="S440" i="24"/>
  <c r="S439" i="24"/>
  <c r="S438" i="24"/>
  <c r="S437" i="24"/>
  <c r="S436" i="24"/>
  <c r="S435" i="24"/>
  <c r="S434" i="24"/>
  <c r="S433" i="24"/>
  <c r="S432" i="24"/>
  <c r="S431" i="24"/>
  <c r="S430" i="24"/>
  <c r="S429" i="24"/>
  <c r="S428" i="24"/>
  <c r="S427" i="24"/>
  <c r="S426" i="24"/>
  <c r="S425" i="24"/>
  <c r="S424" i="24"/>
  <c r="S423" i="24"/>
  <c r="S422" i="24"/>
  <c r="S421" i="24"/>
  <c r="S420" i="24"/>
  <c r="S419" i="24"/>
  <c r="S418" i="24"/>
  <c r="S417" i="24"/>
  <c r="S416" i="24"/>
  <c r="S415" i="24"/>
  <c r="S414" i="24"/>
  <c r="S413" i="24"/>
  <c r="S412" i="24"/>
  <c r="S411" i="24"/>
  <c r="S410" i="24"/>
  <c r="S409" i="24"/>
  <c r="S408" i="24"/>
  <c r="S407" i="24"/>
  <c r="S406" i="24"/>
  <c r="S405" i="24"/>
  <c r="S404" i="24"/>
  <c r="S403" i="24"/>
  <c r="S402" i="24"/>
  <c r="S401" i="24"/>
  <c r="S400" i="24"/>
  <c r="S399" i="24"/>
  <c r="S398" i="24"/>
  <c r="S397" i="24"/>
  <c r="S396" i="24"/>
  <c r="S395" i="24"/>
  <c r="S394" i="24"/>
  <c r="S393" i="24"/>
  <c r="S392" i="24"/>
  <c r="S391" i="24"/>
  <c r="S390" i="24"/>
  <c r="S389" i="24"/>
  <c r="S388" i="24"/>
  <c r="S387" i="24"/>
  <c r="S386" i="24"/>
  <c r="S385" i="24"/>
  <c r="S384" i="24"/>
  <c r="S383" i="24"/>
  <c r="S382" i="24"/>
  <c r="S381" i="24"/>
  <c r="S380" i="24"/>
  <c r="S379" i="24"/>
  <c r="S378" i="24"/>
  <c r="S377" i="24"/>
  <c r="S376" i="24"/>
  <c r="S375" i="24"/>
  <c r="S374" i="24"/>
  <c r="S373" i="24"/>
  <c r="S372" i="24"/>
  <c r="S371" i="24"/>
  <c r="S370" i="24"/>
  <c r="S369" i="24"/>
  <c r="S368" i="24"/>
  <c r="S367" i="24"/>
  <c r="S366" i="24"/>
  <c r="S365" i="24"/>
  <c r="S364" i="24"/>
  <c r="S363" i="24"/>
  <c r="S362" i="24"/>
  <c r="S361" i="24"/>
  <c r="S360" i="24"/>
  <c r="S359" i="24"/>
  <c r="S358" i="24"/>
  <c r="S357" i="24"/>
  <c r="S356" i="24"/>
  <c r="S355" i="24"/>
  <c r="S354" i="24"/>
  <c r="S353" i="24"/>
  <c r="S352" i="24"/>
  <c r="S351" i="24"/>
  <c r="S350" i="24"/>
  <c r="S349" i="24"/>
  <c r="S348" i="24"/>
  <c r="S347" i="24"/>
  <c r="S346" i="24"/>
  <c r="S345" i="24"/>
  <c r="S344" i="24"/>
  <c r="S343" i="24"/>
  <c r="S342" i="24"/>
  <c r="S341" i="24"/>
  <c r="S340" i="24"/>
  <c r="S339" i="24"/>
  <c r="S338" i="24"/>
  <c r="S337" i="24"/>
  <c r="S336" i="24"/>
  <c r="S335" i="24"/>
  <c r="S334" i="24"/>
  <c r="S333" i="24"/>
  <c r="S332" i="24"/>
  <c r="S331" i="24"/>
  <c r="S330" i="24"/>
  <c r="S329" i="24"/>
  <c r="S328" i="24"/>
  <c r="S327" i="24"/>
  <c r="S326" i="24"/>
  <c r="S325" i="24"/>
  <c r="S324" i="24"/>
  <c r="S323" i="24"/>
  <c r="S322" i="24"/>
  <c r="S321" i="24"/>
  <c r="S320" i="24"/>
  <c r="S319" i="24"/>
  <c r="S318" i="24"/>
  <c r="S317" i="24"/>
  <c r="S316" i="24"/>
  <c r="S315" i="24"/>
  <c r="S314" i="24"/>
  <c r="S313" i="24"/>
  <c r="S312" i="24"/>
  <c r="S311" i="24"/>
  <c r="S310" i="24"/>
  <c r="S309" i="24"/>
  <c r="S308" i="24"/>
  <c r="S307" i="24"/>
  <c r="S306" i="24"/>
  <c r="S305" i="24"/>
  <c r="S304" i="24"/>
  <c r="S303" i="24"/>
  <c r="S302" i="24"/>
  <c r="S301" i="24"/>
  <c r="S300" i="24"/>
  <c r="S299" i="24"/>
  <c r="S298" i="24"/>
  <c r="S297" i="24"/>
  <c r="S296" i="24"/>
  <c r="S295" i="24"/>
  <c r="S294" i="24"/>
  <c r="S293" i="24"/>
  <c r="S292" i="24"/>
  <c r="S291" i="24"/>
  <c r="S290" i="24"/>
  <c r="S289" i="24"/>
  <c r="S288" i="24"/>
  <c r="S287" i="24"/>
  <c r="S286" i="24"/>
  <c r="S285" i="24"/>
  <c r="S284" i="24"/>
  <c r="S283" i="24"/>
  <c r="S282" i="24"/>
  <c r="S281" i="24"/>
  <c r="S280" i="24"/>
  <c r="S279" i="24"/>
  <c r="S278" i="24"/>
  <c r="S277" i="24"/>
  <c r="S276" i="24"/>
  <c r="S275" i="24"/>
  <c r="S274" i="24"/>
  <c r="S273" i="24"/>
  <c r="S272" i="24"/>
  <c r="S271" i="24"/>
  <c r="S270" i="24"/>
  <c r="S269" i="24"/>
  <c r="S268" i="24"/>
  <c r="S267" i="24"/>
  <c r="S266" i="24"/>
  <c r="S265" i="24"/>
  <c r="S264" i="24"/>
  <c r="S263" i="24"/>
  <c r="S262" i="24"/>
  <c r="S261" i="24"/>
  <c r="S260" i="24"/>
  <c r="S259" i="24"/>
  <c r="S258" i="24"/>
  <c r="S257" i="24"/>
  <c r="S256" i="24"/>
  <c r="S255" i="24"/>
  <c r="S254" i="24"/>
  <c r="S253" i="24"/>
  <c r="S252" i="24"/>
  <c r="S251" i="24"/>
  <c r="S250" i="24"/>
  <c r="S249" i="24"/>
  <c r="S248" i="24"/>
  <c r="S648" i="24"/>
  <c r="S647" i="24"/>
  <c r="S646" i="24"/>
  <c r="S645" i="24"/>
  <c r="S644" i="24"/>
  <c r="S643" i="24"/>
  <c r="S642" i="24"/>
  <c r="S641" i="24"/>
  <c r="S640" i="24"/>
  <c r="S639" i="24"/>
  <c r="S638" i="24"/>
  <c r="S637" i="24"/>
  <c r="S636" i="24"/>
  <c r="S635" i="24"/>
  <c r="S634" i="24"/>
  <c r="S633" i="24"/>
  <c r="S632" i="24"/>
  <c r="S631" i="24"/>
  <c r="S630" i="24"/>
  <c r="S629" i="24"/>
  <c r="S628" i="24"/>
  <c r="S627" i="24"/>
  <c r="S626" i="24"/>
  <c r="S625" i="24"/>
  <c r="S624" i="24"/>
  <c r="S623" i="24"/>
  <c r="S622" i="24"/>
  <c r="S621" i="24"/>
  <c r="S620" i="24"/>
  <c r="S619" i="24"/>
  <c r="S618" i="24"/>
  <c r="S617" i="24"/>
  <c r="S616" i="24"/>
  <c r="S615" i="24"/>
  <c r="S614" i="24"/>
  <c r="S613" i="24"/>
  <c r="S612" i="24"/>
  <c r="S611" i="24"/>
  <c r="S610" i="24"/>
  <c r="S609" i="24"/>
  <c r="S608" i="24"/>
  <c r="S607" i="24"/>
  <c r="S606" i="24"/>
  <c r="S605" i="24"/>
  <c r="S604" i="24"/>
  <c r="S603" i="24"/>
  <c r="S602" i="24"/>
  <c r="S601" i="24"/>
  <c r="S600" i="24"/>
  <c r="S599" i="24"/>
  <c r="S598" i="24"/>
  <c r="S597" i="24"/>
  <c r="S596" i="24"/>
  <c r="S595" i="24"/>
  <c r="S594" i="24"/>
  <c r="S593" i="24"/>
  <c r="S592" i="24"/>
  <c r="S591" i="24"/>
  <c r="S590" i="24"/>
  <c r="S589" i="24"/>
  <c r="S588" i="24"/>
  <c r="S587" i="24"/>
  <c r="S586" i="24"/>
  <c r="S585" i="24"/>
  <c r="S584" i="24"/>
  <c r="S583" i="24"/>
  <c r="S582" i="24"/>
  <c r="S581" i="24"/>
  <c r="S580" i="24"/>
  <c r="S579" i="24"/>
  <c r="S578" i="24"/>
  <c r="S577" i="24"/>
  <c r="S576" i="24"/>
  <c r="S575" i="24"/>
  <c r="S574" i="24"/>
  <c r="S573" i="24"/>
  <c r="S572" i="24"/>
  <c r="S571" i="24"/>
  <c r="S570" i="24"/>
  <c r="S569" i="24"/>
  <c r="S568" i="24"/>
  <c r="S567" i="24"/>
  <c r="S566" i="24"/>
  <c r="S565" i="24"/>
  <c r="S564" i="24"/>
  <c r="S563" i="24"/>
  <c r="S562" i="24"/>
  <c r="S561" i="24"/>
  <c r="S560" i="24"/>
  <c r="S559" i="24"/>
  <c r="S558" i="24"/>
  <c r="S557" i="24"/>
  <c r="S556" i="24"/>
  <c r="S555" i="24"/>
  <c r="S554" i="24"/>
  <c r="S553" i="24"/>
  <c r="S552" i="24"/>
  <c r="S551" i="24"/>
  <c r="S550" i="24"/>
  <c r="S549" i="24"/>
  <c r="S548" i="24"/>
  <c r="S547" i="24"/>
  <c r="S546" i="24"/>
  <c r="S545" i="24"/>
  <c r="S544" i="24"/>
  <c r="S543" i="24"/>
  <c r="S542" i="24"/>
  <c r="S541" i="24"/>
  <c r="S540" i="24"/>
  <c r="S539" i="24"/>
  <c r="S538" i="24"/>
  <c r="S537" i="24"/>
  <c r="S536" i="24"/>
  <c r="S535" i="24"/>
  <c r="S534" i="24"/>
  <c r="S533" i="24"/>
  <c r="S532" i="24"/>
  <c r="S531" i="24"/>
  <c r="S530" i="24"/>
  <c r="S529" i="24"/>
  <c r="S528" i="24"/>
  <c r="S527" i="24"/>
  <c r="S526" i="24"/>
  <c r="S525" i="24"/>
  <c r="S524" i="24"/>
  <c r="S523" i="24"/>
  <c r="S522" i="24"/>
  <c r="S521" i="24"/>
  <c r="S520" i="24"/>
  <c r="S519" i="24"/>
  <c r="S518" i="24"/>
  <c r="S517" i="24"/>
  <c r="S516" i="24"/>
  <c r="S515" i="24"/>
  <c r="S514" i="24"/>
  <c r="S513" i="24"/>
  <c r="S512" i="24"/>
  <c r="S511" i="24"/>
  <c r="S510" i="24"/>
  <c r="S509" i="24"/>
  <c r="S508" i="24"/>
  <c r="S507" i="24"/>
  <c r="S506" i="24"/>
  <c r="S505" i="24"/>
  <c r="S504" i="24"/>
  <c r="S503" i="24"/>
  <c r="S502" i="24"/>
  <c r="S501" i="24"/>
  <c r="S500" i="24"/>
  <c r="S499" i="24"/>
  <c r="S498" i="24"/>
  <c r="S497" i="24"/>
  <c r="S496" i="24"/>
  <c r="S495" i="24"/>
  <c r="S494" i="24"/>
  <c r="S493" i="24"/>
  <c r="S492" i="24"/>
  <c r="S491" i="24"/>
  <c r="S490" i="24"/>
  <c r="S489" i="24"/>
  <c r="S488" i="24"/>
  <c r="S487" i="24"/>
  <c r="S486" i="24"/>
  <c r="S485" i="24"/>
  <c r="S484" i="24"/>
  <c r="S483" i="24"/>
  <c r="S482" i="24"/>
  <c r="S481" i="24"/>
  <c r="S480" i="24"/>
  <c r="S479" i="24"/>
  <c r="S478" i="24"/>
  <c r="S477" i="24"/>
  <c r="S476" i="24"/>
  <c r="S475" i="24"/>
  <c r="S474" i="24"/>
  <c r="S473" i="24"/>
  <c r="S472" i="24"/>
  <c r="S471" i="24"/>
  <c r="S470" i="24"/>
  <c r="S469" i="24"/>
  <c r="S468" i="24"/>
  <c r="S467" i="24"/>
  <c r="S466" i="24"/>
  <c r="S465" i="24"/>
  <c r="S464" i="24"/>
  <c r="S463" i="24"/>
  <c r="S462" i="24"/>
  <c r="S461" i="24"/>
  <c r="S460" i="24"/>
  <c r="S459" i="24"/>
  <c r="S458" i="24"/>
  <c r="S457" i="24"/>
  <c r="S456" i="24"/>
  <c r="S455" i="24"/>
  <c r="S454" i="24"/>
  <c r="S453" i="24"/>
  <c r="S878" i="24"/>
  <c r="S877" i="24"/>
  <c r="S876" i="24"/>
  <c r="S875" i="24"/>
  <c r="S874" i="24"/>
  <c r="S873" i="24"/>
  <c r="S872" i="24"/>
  <c r="S871" i="24"/>
  <c r="S870" i="24"/>
  <c r="S869" i="24"/>
  <c r="S868" i="24"/>
  <c r="S867" i="24"/>
  <c r="S866" i="24"/>
  <c r="S865" i="24"/>
  <c r="S864" i="24"/>
  <c r="S863" i="24"/>
  <c r="S862" i="24"/>
  <c r="S861" i="24"/>
  <c r="S860" i="24"/>
  <c r="S859" i="24"/>
  <c r="S858" i="24"/>
  <c r="S857" i="24"/>
  <c r="S856" i="24"/>
  <c r="S855" i="24"/>
  <c r="S854" i="24"/>
  <c r="S853" i="24"/>
  <c r="S852" i="24"/>
  <c r="S851" i="24"/>
  <c r="S850" i="24"/>
  <c r="S849" i="24"/>
  <c r="S848" i="24"/>
  <c r="S847" i="24"/>
  <c r="S846" i="24"/>
  <c r="S845" i="24"/>
  <c r="S844" i="24"/>
  <c r="S843" i="24"/>
  <c r="S842" i="24"/>
  <c r="S841" i="24"/>
  <c r="S840" i="24"/>
  <c r="S839" i="24"/>
  <c r="S838" i="24"/>
  <c r="S837" i="24"/>
  <c r="S836" i="24"/>
  <c r="S835" i="24"/>
  <c r="S834" i="24"/>
  <c r="S833" i="24"/>
  <c r="S832" i="24"/>
  <c r="S831" i="24"/>
  <c r="S830" i="24"/>
  <c r="S829" i="24"/>
  <c r="S828" i="24"/>
  <c r="S827" i="24"/>
  <c r="S826" i="24"/>
  <c r="S825" i="24"/>
  <c r="S824" i="24"/>
  <c r="S823" i="24"/>
  <c r="S822" i="24"/>
  <c r="S821" i="24"/>
  <c r="S820" i="24"/>
  <c r="S819" i="24"/>
  <c r="S818" i="24"/>
  <c r="S817" i="24"/>
  <c r="S816" i="24"/>
  <c r="S815" i="24"/>
  <c r="S814" i="24"/>
  <c r="S813" i="24"/>
  <c r="S812" i="24"/>
  <c r="S811" i="24"/>
  <c r="S810" i="24"/>
  <c r="S809" i="24"/>
  <c r="S808" i="24"/>
  <c r="S807" i="24"/>
  <c r="S806" i="24"/>
  <c r="S805" i="24"/>
  <c r="S804" i="24"/>
  <c r="S803" i="24"/>
  <c r="S802" i="24"/>
  <c r="S801" i="24"/>
  <c r="S800" i="24"/>
  <c r="S799" i="24"/>
  <c r="S798" i="24"/>
  <c r="S797" i="24"/>
  <c r="S796" i="24"/>
  <c r="S795" i="24"/>
  <c r="S794" i="24"/>
  <c r="S793" i="24"/>
  <c r="S792" i="24"/>
  <c r="S791" i="24"/>
  <c r="S790" i="24"/>
  <c r="S789" i="24"/>
  <c r="S788" i="24"/>
  <c r="S787" i="24"/>
  <c r="S786" i="24"/>
  <c r="S785" i="24"/>
  <c r="S784" i="24"/>
  <c r="S783" i="24"/>
  <c r="S782" i="24"/>
  <c r="S781" i="24"/>
  <c r="S780" i="24"/>
  <c r="S779" i="24"/>
  <c r="S778" i="24"/>
  <c r="S777" i="24"/>
  <c r="S776" i="24"/>
  <c r="S775" i="24"/>
  <c r="S774" i="24"/>
  <c r="S773" i="24"/>
  <c r="S772" i="24"/>
  <c r="S771" i="24"/>
  <c r="S770" i="24"/>
  <c r="S769" i="24"/>
  <c r="S768" i="24"/>
  <c r="S767" i="24"/>
  <c r="S766" i="24"/>
  <c r="S765" i="24"/>
  <c r="S764" i="24"/>
  <c r="S763" i="24"/>
  <c r="S762" i="24"/>
  <c r="S761" i="24"/>
  <c r="S760" i="24"/>
  <c r="S759" i="24"/>
  <c r="S758" i="24"/>
  <c r="S757" i="24"/>
  <c r="S756" i="24"/>
  <c r="S755" i="24"/>
  <c r="S754" i="24"/>
  <c r="S753" i="24"/>
  <c r="S752" i="24"/>
  <c r="S751" i="24"/>
  <c r="S750" i="24"/>
  <c r="S749" i="24"/>
  <c r="S748" i="24"/>
  <c r="S747" i="24"/>
  <c r="S746" i="24"/>
  <c r="S745" i="24"/>
  <c r="S744" i="24"/>
  <c r="S743" i="24"/>
  <c r="S742" i="24"/>
  <c r="S741" i="24"/>
  <c r="S740" i="24"/>
  <c r="S739" i="24"/>
  <c r="S738" i="24"/>
  <c r="S737" i="24"/>
  <c r="S736" i="24"/>
  <c r="S735" i="24"/>
  <c r="S734" i="24"/>
  <c r="S733" i="24"/>
  <c r="S732" i="24"/>
  <c r="S731" i="24"/>
  <c r="S730" i="24"/>
  <c r="S729" i="24"/>
  <c r="S728" i="24"/>
  <c r="S727" i="24"/>
  <c r="S726" i="24"/>
  <c r="S725" i="24"/>
  <c r="S724" i="24"/>
  <c r="S723" i="24"/>
  <c r="S722" i="24"/>
  <c r="S721" i="24"/>
  <c r="S720" i="24"/>
  <c r="S719" i="24"/>
  <c r="S718" i="24"/>
  <c r="S717" i="24"/>
  <c r="S716" i="24"/>
  <c r="S715" i="24"/>
  <c r="S714" i="24"/>
  <c r="S713" i="24"/>
  <c r="S712" i="24"/>
  <c r="S711" i="24"/>
  <c r="S710" i="24"/>
  <c r="S709" i="24"/>
  <c r="S708" i="24"/>
  <c r="S707" i="24"/>
  <c r="S706" i="24"/>
  <c r="S705" i="24"/>
  <c r="S704" i="24"/>
  <c r="S703" i="24"/>
  <c r="S702" i="24"/>
  <c r="S701" i="24"/>
  <c r="S700" i="24"/>
  <c r="S699" i="24"/>
  <c r="S698" i="24"/>
  <c r="S697" i="24"/>
  <c r="S696" i="24"/>
  <c r="S695" i="24"/>
  <c r="S694" i="24"/>
  <c r="S693" i="24"/>
  <c r="S692" i="24"/>
  <c r="S691" i="24"/>
  <c r="S690" i="24"/>
  <c r="S689" i="24"/>
  <c r="S688" i="24"/>
  <c r="S687" i="24"/>
  <c r="S686" i="24"/>
  <c r="S685" i="24"/>
  <c r="S684" i="24"/>
  <c r="S683" i="24"/>
  <c r="S682" i="24"/>
  <c r="S681" i="24"/>
  <c r="S680" i="24"/>
  <c r="S679" i="24"/>
  <c r="S678" i="24"/>
  <c r="S677" i="24"/>
  <c r="S676" i="24"/>
  <c r="S675" i="24"/>
  <c r="S674" i="24"/>
  <c r="S673" i="24"/>
  <c r="S672" i="24"/>
  <c r="S671" i="24"/>
  <c r="S670" i="24"/>
  <c r="S669" i="24"/>
  <c r="S668" i="24"/>
  <c r="S667" i="24"/>
  <c r="S666" i="24"/>
  <c r="S665" i="24"/>
  <c r="S664" i="24"/>
  <c r="S663" i="24"/>
  <c r="S662" i="24"/>
  <c r="S661" i="24"/>
  <c r="S660" i="24"/>
  <c r="S659" i="24"/>
  <c r="S658" i="24"/>
  <c r="S657" i="24"/>
  <c r="S656" i="24"/>
  <c r="S655" i="24"/>
  <c r="S654" i="24"/>
  <c r="S653" i="24"/>
  <c r="S652" i="24"/>
  <c r="S651" i="24"/>
  <c r="S650" i="24"/>
  <c r="S1061" i="24"/>
  <c r="S1060" i="24"/>
  <c r="S1059" i="24"/>
  <c r="S1058" i="24"/>
  <c r="S1057" i="24"/>
  <c r="S1056" i="24"/>
  <c r="S1055" i="24"/>
  <c r="S1054" i="24"/>
  <c r="S1053" i="24"/>
  <c r="S1052" i="24"/>
  <c r="S1051" i="24"/>
  <c r="S1050" i="24"/>
  <c r="S1049" i="24"/>
  <c r="S1048" i="24"/>
  <c r="S1047" i="24"/>
  <c r="S1046" i="24"/>
  <c r="S1045" i="24"/>
  <c r="S1044" i="24"/>
  <c r="S1043" i="24"/>
  <c r="S1042" i="24"/>
  <c r="S1041" i="24"/>
  <c r="S1040" i="24"/>
  <c r="S1039" i="24"/>
  <c r="S1038" i="24"/>
  <c r="S1037" i="24"/>
  <c r="S1036" i="24"/>
  <c r="S1035" i="24"/>
  <c r="S1034" i="24"/>
  <c r="S1033" i="24"/>
  <c r="S1032" i="24"/>
  <c r="S1031" i="24"/>
  <c r="S1030" i="24"/>
  <c r="S1029" i="24"/>
  <c r="S1028" i="24"/>
  <c r="S1027" i="24"/>
  <c r="S1026" i="24"/>
  <c r="S1025" i="24"/>
  <c r="S1024" i="24"/>
  <c r="S1023" i="24"/>
  <c r="S1022" i="24"/>
  <c r="S1021" i="24"/>
  <c r="S1020" i="24"/>
  <c r="S1019" i="24"/>
  <c r="S1018" i="24"/>
  <c r="S1017" i="24"/>
  <c r="S1016" i="24"/>
  <c r="S1015" i="24"/>
  <c r="S1014" i="24"/>
  <c r="S1013" i="24"/>
  <c r="S1012" i="24"/>
  <c r="S1011" i="24"/>
  <c r="S1010" i="24"/>
  <c r="S1009" i="24"/>
  <c r="S1008" i="24"/>
  <c r="S1007" i="24"/>
  <c r="S1006" i="24"/>
  <c r="S1005" i="24"/>
  <c r="S1004" i="24"/>
  <c r="S1003" i="24"/>
  <c r="S1002" i="24"/>
  <c r="S1001" i="24"/>
  <c r="S1000" i="24"/>
  <c r="S999" i="24"/>
  <c r="S998" i="24"/>
  <c r="S997" i="24"/>
  <c r="S996" i="24"/>
  <c r="S995" i="24"/>
  <c r="S994" i="24"/>
  <c r="S993" i="24"/>
  <c r="S992" i="24"/>
  <c r="S991" i="24"/>
  <c r="S990" i="24"/>
  <c r="S989" i="24"/>
  <c r="S988" i="24"/>
  <c r="S987" i="24"/>
  <c r="S986" i="24"/>
  <c r="S985" i="24"/>
  <c r="S984" i="24"/>
  <c r="S983" i="24"/>
  <c r="S982" i="24"/>
  <c r="S981" i="24"/>
  <c r="S980" i="24"/>
  <c r="S979" i="24"/>
  <c r="S978" i="24"/>
  <c r="S977" i="24"/>
  <c r="S976" i="24"/>
  <c r="S975" i="24"/>
  <c r="S974" i="24"/>
  <c r="S973" i="24"/>
  <c r="S972" i="24"/>
  <c r="S971" i="24"/>
  <c r="S970" i="24"/>
  <c r="S969" i="24"/>
  <c r="S968" i="24"/>
  <c r="S967" i="24"/>
  <c r="S966" i="24"/>
  <c r="S965" i="24"/>
  <c r="S964" i="24"/>
  <c r="S963" i="24"/>
  <c r="S962" i="24"/>
  <c r="S961" i="24"/>
  <c r="S960" i="24"/>
  <c r="S959" i="24"/>
  <c r="S958" i="24"/>
  <c r="S957" i="24"/>
  <c r="S956" i="24"/>
  <c r="S955" i="24"/>
  <c r="S954" i="24"/>
  <c r="S953" i="24"/>
  <c r="S952" i="24"/>
  <c r="S951" i="24"/>
  <c r="S950" i="24"/>
  <c r="S949" i="24"/>
  <c r="S948" i="24"/>
  <c r="S947" i="24"/>
  <c r="S946" i="24"/>
  <c r="S945" i="24"/>
  <c r="S944" i="24"/>
  <c r="S943" i="24"/>
  <c r="S942" i="24"/>
  <c r="S941" i="24"/>
  <c r="S940" i="24"/>
  <c r="S939" i="24"/>
  <c r="S938" i="24"/>
  <c r="S937" i="24"/>
  <c r="S936" i="24"/>
  <c r="S935" i="24"/>
  <c r="S934" i="24"/>
  <c r="S933" i="24"/>
  <c r="S932" i="24"/>
  <c r="S931" i="24"/>
  <c r="S930" i="24"/>
  <c r="S929" i="24"/>
  <c r="S928" i="24"/>
  <c r="S927" i="24"/>
  <c r="S926" i="24"/>
  <c r="S925" i="24"/>
  <c r="S924" i="24"/>
  <c r="S923" i="24"/>
  <c r="S922" i="24"/>
  <c r="S921" i="24"/>
  <c r="S920" i="24"/>
  <c r="S919" i="24"/>
  <c r="S918" i="24"/>
  <c r="S917" i="24"/>
  <c r="S916" i="24"/>
  <c r="S915" i="24"/>
  <c r="S914" i="24"/>
  <c r="S913" i="24"/>
  <c r="S912" i="24"/>
  <c r="S911" i="24"/>
  <c r="S910" i="24"/>
  <c r="S909" i="24"/>
  <c r="S908" i="24"/>
  <c r="S907" i="24"/>
  <c r="S906" i="24"/>
  <c r="S905" i="24"/>
  <c r="S904" i="24"/>
  <c r="S903" i="24"/>
  <c r="S902" i="24"/>
  <c r="S901" i="24"/>
  <c r="S900" i="24"/>
  <c r="S899" i="24"/>
  <c r="S898" i="24"/>
  <c r="S897" i="24"/>
  <c r="S896" i="24"/>
  <c r="S895" i="24"/>
  <c r="S894" i="24"/>
  <c r="S893" i="24"/>
  <c r="S892" i="24"/>
  <c r="S891" i="24"/>
  <c r="S890" i="24"/>
  <c r="S889" i="24"/>
  <c r="S888" i="24"/>
  <c r="S887" i="24"/>
  <c r="S886" i="24"/>
  <c r="S885" i="24"/>
  <c r="S884" i="24"/>
  <c r="S883" i="24"/>
  <c r="S882" i="24"/>
  <c r="S881" i="24"/>
  <c r="S880" i="24"/>
  <c r="S879" i="24"/>
  <c r="S172" i="23" l="1"/>
  <c r="S173" i="23"/>
  <c r="S174" i="23"/>
  <c r="S175" i="23"/>
  <c r="S176" i="23"/>
  <c r="S177" i="23"/>
  <c r="S178" i="23"/>
  <c r="S179" i="23"/>
  <c r="S180" i="23"/>
  <c r="S181" i="23"/>
  <c r="S182" i="23"/>
  <c r="S183" i="23"/>
  <c r="S184" i="23"/>
  <c r="S167" i="23"/>
  <c r="S168" i="23"/>
  <c r="S169" i="23"/>
  <c r="S170" i="23"/>
  <c r="S171" i="23"/>
  <c r="S160" i="23"/>
  <c r="S161" i="23"/>
  <c r="S162" i="23"/>
  <c r="S163" i="23"/>
  <c r="S164" i="23"/>
  <c r="S165" i="23"/>
  <c r="S166" i="23"/>
  <c r="S154" i="23"/>
  <c r="S155" i="23"/>
  <c r="S156" i="23"/>
  <c r="S157" i="23"/>
  <c r="S158" i="23"/>
  <c r="S159" i="23"/>
  <c r="S151" i="23"/>
  <c r="S152" i="23"/>
  <c r="S153" i="23"/>
  <c r="S147" i="23"/>
  <c r="S148" i="23"/>
  <c r="S149" i="23"/>
  <c r="S150" i="23"/>
  <c r="S146" i="23"/>
  <c r="S145" i="23"/>
  <c r="S144" i="23"/>
  <c r="S143" i="23"/>
  <c r="S142" i="23"/>
  <c r="S124" i="23"/>
  <c r="S125" i="23"/>
  <c r="S126" i="23"/>
  <c r="S127" i="23"/>
  <c r="S128" i="23"/>
  <c r="S129" i="23"/>
  <c r="S130" i="23"/>
  <c r="S131" i="23"/>
  <c r="S132" i="23"/>
  <c r="S133" i="23"/>
  <c r="S134" i="23"/>
  <c r="S135" i="23"/>
  <c r="S136" i="23"/>
  <c r="S137" i="23"/>
  <c r="S138" i="23"/>
  <c r="S139" i="23"/>
  <c r="S140" i="23"/>
  <c r="S141" i="23"/>
  <c r="S122" i="23"/>
  <c r="S123" i="23"/>
  <c r="S117" i="23"/>
  <c r="S118" i="23"/>
  <c r="S119" i="23"/>
  <c r="S120" i="23"/>
  <c r="S121" i="23"/>
  <c r="S115" i="23"/>
  <c r="S116" i="23"/>
  <c r="S109" i="23"/>
  <c r="S110" i="23"/>
  <c r="S111" i="23"/>
  <c r="S112" i="23"/>
  <c r="S113" i="23"/>
  <c r="S114" i="23"/>
  <c r="D12" i="25"/>
  <c r="E12" i="25"/>
  <c r="F12" i="25"/>
  <c r="G12" i="25"/>
  <c r="D13" i="25"/>
  <c r="E13" i="25"/>
  <c r="F13" i="25"/>
  <c r="G13" i="25"/>
  <c r="D14" i="25"/>
  <c r="E14" i="25"/>
  <c r="F14" i="25"/>
  <c r="G14" i="25"/>
  <c r="D15" i="25"/>
  <c r="E15" i="25"/>
  <c r="F15" i="25"/>
  <c r="G15" i="25"/>
  <c r="D16" i="25"/>
  <c r="E16" i="25"/>
  <c r="F16" i="25"/>
  <c r="G16" i="25"/>
  <c r="D17" i="25"/>
  <c r="E17" i="25"/>
  <c r="F17" i="25"/>
  <c r="G17" i="25"/>
  <c r="G11" i="25"/>
  <c r="F11" i="25"/>
  <c r="E11" i="25"/>
  <c r="D11" i="25"/>
  <c r="C17" i="25"/>
  <c r="C16" i="25"/>
  <c r="C15" i="25"/>
  <c r="C14" i="25"/>
  <c r="C13" i="25"/>
  <c r="C12" i="25"/>
  <c r="C11" i="25"/>
  <c r="M5" i="25"/>
  <c r="M6" i="25"/>
  <c r="M7" i="25"/>
  <c r="M8" i="25"/>
  <c r="M4" i="25"/>
  <c r="L5" i="25"/>
  <c r="L6" i="25"/>
  <c r="L7" i="25"/>
  <c r="L8" i="25"/>
  <c r="L4" i="25"/>
  <c r="K4" i="25"/>
  <c r="K5" i="25"/>
  <c r="K6" i="25"/>
  <c r="K7" i="25"/>
  <c r="K8" i="25"/>
  <c r="I5" i="25"/>
  <c r="I6" i="25"/>
  <c r="I7" i="25"/>
  <c r="I8" i="25"/>
  <c r="H5" i="25"/>
  <c r="H6" i="25"/>
  <c r="H7" i="25"/>
  <c r="H8" i="25"/>
  <c r="I4" i="25"/>
  <c r="H4" i="25"/>
  <c r="G5" i="25"/>
  <c r="G6" i="25"/>
  <c r="G7" i="25"/>
  <c r="G8" i="25"/>
  <c r="G4" i="25"/>
  <c r="F5" i="25"/>
  <c r="F6" i="25"/>
  <c r="F7" i="25"/>
  <c r="F8" i="25"/>
  <c r="F4" i="25"/>
  <c r="E5" i="25"/>
  <c r="E6" i="25"/>
  <c r="E7" i="25"/>
  <c r="E8" i="25"/>
  <c r="E4" i="25"/>
  <c r="S107" i="23"/>
  <c r="S108" i="23"/>
  <c r="S104" i="23"/>
  <c r="S105" i="23"/>
  <c r="S106" i="23"/>
  <c r="V13" i="22"/>
  <c r="V12" i="22"/>
  <c r="V11" i="22"/>
  <c r="V10" i="22"/>
  <c r="V9" i="22"/>
  <c r="V8" i="22"/>
  <c r="V7" i="22"/>
  <c r="K10" i="22"/>
  <c r="J10" i="22"/>
  <c r="I10" i="22"/>
  <c r="G10" i="22"/>
  <c r="F10" i="22"/>
  <c r="E10" i="22"/>
  <c r="D10" i="22"/>
  <c r="C10" i="22"/>
  <c r="F18" i="25" l="1"/>
  <c r="G18" i="25"/>
  <c r="E18" i="25"/>
  <c r="D18" i="25"/>
  <c r="C18" i="25"/>
  <c r="S98" i="23"/>
  <c r="S99" i="23"/>
  <c r="S100" i="23"/>
  <c r="S101" i="23"/>
  <c r="S102" i="23"/>
  <c r="S103" i="23"/>
  <c r="S204" i="19"/>
  <c r="S203" i="19"/>
  <c r="S202" i="19"/>
  <c r="S201" i="19"/>
  <c r="S196" i="20"/>
  <c r="S197" i="20"/>
  <c r="S96" i="23"/>
  <c r="S90" i="23"/>
  <c r="S91" i="23"/>
  <c r="S92" i="23"/>
  <c r="S93" i="23"/>
  <c r="S94" i="23"/>
  <c r="S95" i="23"/>
  <c r="S97" i="23"/>
  <c r="S88" i="23"/>
  <c r="S89" i="23"/>
  <c r="S74" i="23"/>
  <c r="S82" i="23"/>
  <c r="S84" i="23"/>
  <c r="S85" i="23"/>
  <c r="S86" i="23"/>
  <c r="S87" i="23"/>
  <c r="S79" i="23"/>
  <c r="S80" i="23"/>
  <c r="S81" i="23"/>
  <c r="S83" i="23"/>
  <c r="S75" i="23"/>
  <c r="S76" i="23"/>
  <c r="S77" i="23"/>
  <c r="S78" i="23"/>
  <c r="S70" i="23"/>
  <c r="S71" i="23"/>
  <c r="S72" i="23"/>
  <c r="S73" i="23"/>
  <c r="S67" i="23"/>
  <c r="S68" i="23"/>
  <c r="S69" i="23"/>
  <c r="S57" i="23"/>
  <c r="S58" i="23"/>
  <c r="S59" i="23"/>
  <c r="S60" i="23"/>
  <c r="S61" i="23"/>
  <c r="S62" i="23"/>
  <c r="S63" i="23"/>
  <c r="S64" i="23"/>
  <c r="S65" i="23"/>
  <c r="S66" i="23"/>
  <c r="S54" i="23" l="1"/>
  <c r="S55" i="23"/>
  <c r="S56" i="23"/>
  <c r="S44" i="23"/>
  <c r="S45" i="23"/>
  <c r="S46" i="23"/>
  <c r="S47" i="23"/>
  <c r="S48" i="23"/>
  <c r="S49" i="23"/>
  <c r="S50" i="23"/>
  <c r="S51" i="23"/>
  <c r="S52" i="23"/>
  <c r="S53" i="23"/>
  <c r="S43" i="23"/>
  <c r="S39" i="23"/>
  <c r="S40" i="23"/>
  <c r="S41" i="23"/>
  <c r="S42" i="23"/>
  <c r="S36" i="23"/>
  <c r="S37" i="23"/>
  <c r="S38" i="23"/>
  <c r="S31" i="23"/>
  <c r="S32" i="23"/>
  <c r="S33" i="23"/>
  <c r="S34" i="23"/>
  <c r="S35" i="23"/>
  <c r="X13" i="22"/>
  <c r="X12" i="22"/>
  <c r="X11" i="22"/>
  <c r="X10" i="22"/>
  <c r="X9" i="22"/>
  <c r="X8" i="22"/>
  <c r="X7" i="22"/>
  <c r="W13" i="22"/>
  <c r="W12" i="22"/>
  <c r="W11" i="22"/>
  <c r="W10" i="22"/>
  <c r="W9" i="22"/>
  <c r="W8" i="22"/>
  <c r="W7" i="22"/>
  <c r="U13" i="22"/>
  <c r="U12" i="22"/>
  <c r="U11" i="22"/>
  <c r="U10" i="22"/>
  <c r="U9" i="22"/>
  <c r="U8" i="22"/>
  <c r="U7" i="22"/>
  <c r="T13" i="22"/>
  <c r="T12" i="22"/>
  <c r="T11" i="22"/>
  <c r="T10" i="22"/>
  <c r="T9" i="22"/>
  <c r="T8" i="22"/>
  <c r="T7" i="22"/>
  <c r="S13" i="22"/>
  <c r="S12" i="22"/>
  <c r="S11" i="22"/>
  <c r="S10" i="22"/>
  <c r="S9" i="22"/>
  <c r="S8" i="22"/>
  <c r="S7" i="22"/>
  <c r="K7" i="22"/>
  <c r="J7" i="22" l="1"/>
  <c r="K8" i="22"/>
  <c r="J8" i="22"/>
  <c r="S29" i="23" l="1"/>
  <c r="S30" i="23"/>
  <c r="K9" i="22"/>
  <c r="J9" i="22"/>
  <c r="I7" i="22"/>
  <c r="I8" i="22"/>
  <c r="I9" i="22"/>
  <c r="S23" i="23"/>
  <c r="S24" i="23"/>
  <c r="S25" i="23"/>
  <c r="S26" i="23"/>
  <c r="S27" i="23"/>
  <c r="S28" i="23"/>
  <c r="S22" i="23"/>
  <c r="S17" i="23"/>
  <c r="S18" i="23"/>
  <c r="S19" i="23"/>
  <c r="S20" i="23"/>
  <c r="S21" i="23"/>
  <c r="S5" i="23"/>
  <c r="S6" i="23"/>
  <c r="S7" i="23"/>
  <c r="S8" i="23"/>
  <c r="S9" i="23"/>
  <c r="S10" i="23"/>
  <c r="S11" i="23"/>
  <c r="S12" i="23"/>
  <c r="S13" i="23"/>
  <c r="S14" i="23"/>
  <c r="S15" i="23"/>
  <c r="S16" i="23"/>
  <c r="S2" i="23" l="1"/>
  <c r="S4" i="23"/>
  <c r="S3" i="23"/>
  <c r="H10" i="22" l="1"/>
  <c r="J5" i="25"/>
  <c r="J6" i="25"/>
  <c r="J7" i="25"/>
  <c r="J8" i="25"/>
  <c r="J4" i="25"/>
  <c r="S214" i="21"/>
  <c r="S230" i="21" l="1"/>
  <c r="S226" i="21" l="1"/>
  <c r="S227" i="21"/>
  <c r="S228" i="21"/>
  <c r="S229" i="21"/>
  <c r="S223" i="21" l="1"/>
  <c r="S224" i="21"/>
  <c r="S225" i="21"/>
  <c r="S2" i="21" l="1"/>
  <c r="S217" i="21" l="1"/>
  <c r="S218" i="21"/>
  <c r="S219" i="21"/>
  <c r="S220" i="21"/>
  <c r="S221" i="21"/>
  <c r="S222" i="21"/>
  <c r="S100" i="13" l="1"/>
  <c r="S99" i="13"/>
  <c r="S98" i="13"/>
  <c r="S97" i="13"/>
  <c r="S96" i="13"/>
  <c r="S95" i="13"/>
  <c r="S94" i="13"/>
  <c r="S93" i="13"/>
  <c r="S92" i="13"/>
  <c r="S91" i="13"/>
  <c r="S90" i="13"/>
  <c r="S89" i="13"/>
  <c r="S88" i="13"/>
  <c r="S87" i="13"/>
  <c r="S86" i="13"/>
  <c r="S85" i="13"/>
  <c r="S84" i="13"/>
  <c r="S83" i="13"/>
  <c r="S82" i="13"/>
  <c r="S81" i="13"/>
  <c r="S80" i="13"/>
  <c r="S79" i="13"/>
  <c r="S78" i="13"/>
  <c r="S77" i="13"/>
  <c r="S76" i="13"/>
  <c r="S75" i="13"/>
  <c r="S74" i="13"/>
  <c r="S73" i="13"/>
  <c r="S72" i="13"/>
  <c r="S71" i="13"/>
  <c r="S70" i="13"/>
  <c r="S69" i="13"/>
  <c r="S68" i="13"/>
  <c r="S67" i="13"/>
  <c r="S66" i="13"/>
  <c r="S65" i="13"/>
  <c r="S64" i="13"/>
  <c r="S63" i="13"/>
  <c r="S62" i="13"/>
  <c r="S61" i="13"/>
  <c r="S60" i="13"/>
  <c r="S59" i="13"/>
  <c r="S58" i="13"/>
  <c r="S57" i="13"/>
  <c r="S56" i="13"/>
  <c r="S55" i="13"/>
  <c r="S54" i="13"/>
  <c r="S53" i="13"/>
  <c r="S52" i="13"/>
  <c r="S51" i="13"/>
  <c r="S50" i="13"/>
  <c r="S49" i="13"/>
  <c r="S48" i="13"/>
  <c r="S47" i="13"/>
  <c r="S46" i="13"/>
  <c r="S45" i="13"/>
  <c r="S44" i="13"/>
  <c r="S43" i="13"/>
  <c r="S42" i="13"/>
  <c r="S41" i="13"/>
  <c r="S40" i="13"/>
  <c r="S39" i="13"/>
  <c r="S38" i="13"/>
  <c r="S37" i="13"/>
  <c r="S36" i="13"/>
  <c r="S35" i="13"/>
  <c r="S34" i="13"/>
  <c r="S33" i="13"/>
  <c r="S32" i="13"/>
  <c r="S31" i="13"/>
  <c r="S30" i="13"/>
  <c r="S29" i="13"/>
  <c r="S28" i="13"/>
  <c r="S27" i="13"/>
  <c r="S26" i="13"/>
  <c r="S25" i="13"/>
  <c r="S24" i="13"/>
  <c r="S23" i="13"/>
  <c r="S22" i="13"/>
  <c r="S21" i="13"/>
  <c r="S20" i="13"/>
  <c r="S19" i="13"/>
  <c r="S18" i="13"/>
  <c r="S17" i="13"/>
  <c r="S16" i="13"/>
  <c r="S15" i="13"/>
  <c r="S14" i="13"/>
  <c r="S13" i="13"/>
  <c r="S12" i="13"/>
  <c r="S11" i="13"/>
  <c r="S10" i="13"/>
  <c r="S9" i="13"/>
  <c r="S8" i="13"/>
  <c r="S7" i="13"/>
  <c r="S6" i="13"/>
  <c r="S5" i="13"/>
  <c r="S4" i="13"/>
  <c r="S3" i="13"/>
  <c r="S2" i="13"/>
  <c r="G5" i="22"/>
  <c r="F5" i="22"/>
  <c r="C5" i="22"/>
  <c r="S148" i="14"/>
  <c r="S147" i="14"/>
  <c r="S146" i="14"/>
  <c r="S145" i="14"/>
  <c r="S144" i="14"/>
  <c r="S143" i="14"/>
  <c r="S142" i="14"/>
  <c r="S141" i="14"/>
  <c r="S140" i="14"/>
  <c r="S139" i="14"/>
  <c r="S138" i="14"/>
  <c r="S137" i="14"/>
  <c r="S136" i="14"/>
  <c r="S135" i="14"/>
  <c r="S134" i="14"/>
  <c r="S133" i="14"/>
  <c r="S132" i="14"/>
  <c r="S131" i="14"/>
  <c r="S130" i="14"/>
  <c r="S129" i="14"/>
  <c r="S128" i="14"/>
  <c r="S127" i="14"/>
  <c r="S126" i="14"/>
  <c r="S125" i="14"/>
  <c r="S124" i="14"/>
  <c r="S123" i="14"/>
  <c r="S122" i="14"/>
  <c r="S121" i="14"/>
  <c r="S120" i="14"/>
  <c r="S119" i="14"/>
  <c r="S118" i="14"/>
  <c r="S117" i="14"/>
  <c r="S116" i="14"/>
  <c r="S115" i="14"/>
  <c r="S114" i="14"/>
  <c r="S113" i="14"/>
  <c r="S112" i="14"/>
  <c r="S111" i="14"/>
  <c r="S110" i="14"/>
  <c r="S109" i="14"/>
  <c r="S108" i="14"/>
  <c r="S107" i="14"/>
  <c r="S106" i="14"/>
  <c r="S105" i="14"/>
  <c r="S104" i="14"/>
  <c r="S103" i="14"/>
  <c r="S102" i="14"/>
  <c r="S101" i="14"/>
  <c r="S100" i="14"/>
  <c r="S99" i="14"/>
  <c r="S98" i="14"/>
  <c r="S97" i="14"/>
  <c r="S96" i="14"/>
  <c r="S95" i="14"/>
  <c r="S94" i="14"/>
  <c r="S93" i="14"/>
  <c r="S92" i="14"/>
  <c r="S91" i="14"/>
  <c r="S90" i="14"/>
  <c r="S89" i="14"/>
  <c r="S88" i="14"/>
  <c r="S87" i="14"/>
  <c r="S86" i="14"/>
  <c r="S85" i="14"/>
  <c r="S84" i="14"/>
  <c r="S83" i="14"/>
  <c r="S82" i="14"/>
  <c r="S81" i="14"/>
  <c r="S80" i="14"/>
  <c r="S79" i="14"/>
  <c r="S78" i="14"/>
  <c r="S77" i="14"/>
  <c r="S76" i="14"/>
  <c r="S75" i="14"/>
  <c r="S74" i="14"/>
  <c r="S73" i="14"/>
  <c r="S72" i="14"/>
  <c r="S71" i="14"/>
  <c r="S70" i="14"/>
  <c r="S69" i="14"/>
  <c r="S68" i="14"/>
  <c r="S67" i="14"/>
  <c r="S66" i="14"/>
  <c r="S65" i="14"/>
  <c r="S64" i="14"/>
  <c r="S63" i="14"/>
  <c r="S62" i="14"/>
  <c r="S61" i="14"/>
  <c r="S60" i="14"/>
  <c r="S59" i="14"/>
  <c r="S58" i="14"/>
  <c r="S57" i="14"/>
  <c r="S56" i="14"/>
  <c r="S55" i="14"/>
  <c r="S54" i="14"/>
  <c r="S53" i="14"/>
  <c r="S52" i="14"/>
  <c r="S51" i="14"/>
  <c r="S50" i="14"/>
  <c r="S49" i="14"/>
  <c r="S48" i="14"/>
  <c r="S47" i="14"/>
  <c r="S46" i="14"/>
  <c r="S45" i="14"/>
  <c r="S44" i="14"/>
  <c r="S43" i="14"/>
  <c r="S42" i="14"/>
  <c r="S41" i="14"/>
  <c r="S40" i="14"/>
  <c r="S39" i="14"/>
  <c r="S38" i="14"/>
  <c r="S37" i="14"/>
  <c r="S36" i="14"/>
  <c r="S35" i="14"/>
  <c r="S34" i="14"/>
  <c r="S33" i="14"/>
  <c r="S32" i="14"/>
  <c r="S31" i="14"/>
  <c r="S30" i="14"/>
  <c r="S29" i="14"/>
  <c r="S28" i="14"/>
  <c r="S27" i="14"/>
  <c r="S26" i="14"/>
  <c r="S25" i="14"/>
  <c r="S24" i="14"/>
  <c r="S23" i="14"/>
  <c r="S22" i="14"/>
  <c r="S21" i="14"/>
  <c r="S20" i="14"/>
  <c r="S19" i="14"/>
  <c r="S18" i="14"/>
  <c r="S17" i="14"/>
  <c r="S16" i="14"/>
  <c r="S15" i="14"/>
  <c r="S14" i="14"/>
  <c r="S13" i="14"/>
  <c r="S12" i="14"/>
  <c r="S11" i="14"/>
  <c r="S10" i="14"/>
  <c r="S9" i="14"/>
  <c r="S8" i="14"/>
  <c r="S7" i="14"/>
  <c r="S6" i="14"/>
  <c r="S5" i="14"/>
  <c r="S4" i="14"/>
  <c r="S3" i="14"/>
  <c r="S2" i="14"/>
  <c r="G6" i="22"/>
  <c r="F6" i="22"/>
  <c r="C6" i="22"/>
  <c r="S200" i="19"/>
  <c r="S199" i="19"/>
  <c r="S198" i="19"/>
  <c r="S197" i="19"/>
  <c r="S196" i="19"/>
  <c r="S195" i="19"/>
  <c r="S194" i="19"/>
  <c r="S193" i="19"/>
  <c r="S192" i="19"/>
  <c r="S191" i="19"/>
  <c r="S190" i="19"/>
  <c r="S189" i="19"/>
  <c r="S188" i="19"/>
  <c r="S187" i="19"/>
  <c r="S186" i="19"/>
  <c r="S185" i="19"/>
  <c r="S184" i="19"/>
  <c r="S183" i="19"/>
  <c r="S182" i="19"/>
  <c r="S181" i="19"/>
  <c r="S180" i="19"/>
  <c r="S179" i="19"/>
  <c r="S178" i="19"/>
  <c r="S177" i="19"/>
  <c r="S176" i="19"/>
  <c r="S175" i="19"/>
  <c r="S174" i="19"/>
  <c r="S173" i="19"/>
  <c r="S172" i="19"/>
  <c r="S171" i="19"/>
  <c r="S170" i="19"/>
  <c r="S169" i="19"/>
  <c r="S168" i="19"/>
  <c r="S167" i="19"/>
  <c r="S166" i="19"/>
  <c r="S165" i="19"/>
  <c r="S164" i="19"/>
  <c r="S163" i="19"/>
  <c r="S162" i="19"/>
  <c r="S161" i="19"/>
  <c r="S160" i="19"/>
  <c r="S159" i="19"/>
  <c r="S158" i="19"/>
  <c r="S157" i="19"/>
  <c r="S156" i="19"/>
  <c r="S155" i="19"/>
  <c r="S154" i="19"/>
  <c r="S153" i="19"/>
  <c r="S152" i="19"/>
  <c r="S151" i="19"/>
  <c r="S150" i="19"/>
  <c r="S149" i="19"/>
  <c r="S148" i="19"/>
  <c r="S147" i="19"/>
  <c r="S146" i="19"/>
  <c r="S145" i="19"/>
  <c r="S144" i="19"/>
  <c r="S143" i="19"/>
  <c r="S142" i="19"/>
  <c r="S141" i="19"/>
  <c r="S140" i="19"/>
  <c r="S139" i="19"/>
  <c r="S138" i="19"/>
  <c r="S137" i="19"/>
  <c r="S136" i="19"/>
  <c r="S135" i="19"/>
  <c r="S134" i="19"/>
  <c r="S133" i="19"/>
  <c r="S132" i="19"/>
  <c r="S131" i="19"/>
  <c r="S130" i="19"/>
  <c r="S129" i="19"/>
  <c r="S128" i="19"/>
  <c r="S127" i="19"/>
  <c r="S126" i="19"/>
  <c r="S125" i="19"/>
  <c r="S124" i="19"/>
  <c r="S123" i="19"/>
  <c r="S122" i="19"/>
  <c r="S121" i="19"/>
  <c r="S120" i="19"/>
  <c r="S119" i="19"/>
  <c r="S118" i="19"/>
  <c r="S117" i="19"/>
  <c r="S116" i="19"/>
  <c r="S115" i="19"/>
  <c r="S114" i="19"/>
  <c r="S113" i="19"/>
  <c r="S112" i="19"/>
  <c r="S111" i="19"/>
  <c r="S110" i="19"/>
  <c r="S109" i="19"/>
  <c r="S108" i="19"/>
  <c r="S107" i="19"/>
  <c r="S106" i="19"/>
  <c r="S105" i="19"/>
  <c r="S104" i="19"/>
  <c r="S103" i="19"/>
  <c r="S102" i="19"/>
  <c r="S101" i="19"/>
  <c r="S100" i="19"/>
  <c r="S99" i="19"/>
  <c r="S98" i="19"/>
  <c r="S97" i="19"/>
  <c r="S96" i="19"/>
  <c r="S95" i="19"/>
  <c r="S94" i="19"/>
  <c r="S93" i="19"/>
  <c r="S92" i="19"/>
  <c r="S91" i="19"/>
  <c r="S90" i="19"/>
  <c r="S89" i="19"/>
  <c r="S88" i="19"/>
  <c r="S87" i="19"/>
  <c r="S86" i="19"/>
  <c r="S85" i="19"/>
  <c r="S84" i="19"/>
  <c r="S83" i="19"/>
  <c r="S82" i="19"/>
  <c r="S81" i="19"/>
  <c r="S80" i="19"/>
  <c r="S79" i="19"/>
  <c r="S78" i="19"/>
  <c r="S77" i="19"/>
  <c r="S76" i="19"/>
  <c r="S75" i="19"/>
  <c r="S74" i="19"/>
  <c r="S73" i="19"/>
  <c r="S72" i="19"/>
  <c r="S71" i="19"/>
  <c r="S70" i="19"/>
  <c r="S69" i="19"/>
  <c r="S68" i="19"/>
  <c r="S67" i="19"/>
  <c r="S66" i="19"/>
  <c r="S65" i="19"/>
  <c r="S64" i="19"/>
  <c r="S63" i="19"/>
  <c r="S62" i="19"/>
  <c r="S61" i="19"/>
  <c r="S60" i="19"/>
  <c r="S59" i="19"/>
  <c r="S58" i="19"/>
  <c r="S57" i="19"/>
  <c r="S56" i="19"/>
  <c r="S55" i="19"/>
  <c r="S54" i="19"/>
  <c r="S53" i="19"/>
  <c r="S52" i="19"/>
  <c r="S51" i="19"/>
  <c r="S50" i="19"/>
  <c r="S49" i="19"/>
  <c r="S48" i="19"/>
  <c r="S47" i="19"/>
  <c r="S46" i="19"/>
  <c r="S45" i="19"/>
  <c r="S44" i="19"/>
  <c r="S43" i="19"/>
  <c r="S42" i="19"/>
  <c r="S41" i="19"/>
  <c r="S40" i="19"/>
  <c r="S39" i="19"/>
  <c r="S38" i="19"/>
  <c r="S37" i="19"/>
  <c r="S36" i="19"/>
  <c r="S35" i="19"/>
  <c r="S34" i="19"/>
  <c r="S33" i="19"/>
  <c r="S32" i="19"/>
  <c r="S31" i="19"/>
  <c r="S30" i="19"/>
  <c r="S29" i="19"/>
  <c r="S28" i="19"/>
  <c r="S27" i="19"/>
  <c r="S26" i="19"/>
  <c r="S25" i="19"/>
  <c r="S24" i="19"/>
  <c r="S23" i="19"/>
  <c r="S22" i="19"/>
  <c r="S21" i="19"/>
  <c r="S20" i="19"/>
  <c r="S19" i="19"/>
  <c r="S18" i="19"/>
  <c r="S17" i="19"/>
  <c r="S16" i="19"/>
  <c r="S15" i="19"/>
  <c r="S14" i="19"/>
  <c r="S13" i="19"/>
  <c r="S12" i="19"/>
  <c r="S11" i="19"/>
  <c r="S10" i="19"/>
  <c r="S9" i="19"/>
  <c r="S8" i="19"/>
  <c r="S7" i="19"/>
  <c r="S6" i="19"/>
  <c r="S5" i="19"/>
  <c r="S4" i="19"/>
  <c r="S3" i="19"/>
  <c r="S2" i="19"/>
  <c r="G7" i="22"/>
  <c r="F7" i="22"/>
  <c r="E7" i="22"/>
  <c r="D7" i="22"/>
  <c r="C7" i="22"/>
  <c r="S2" i="20"/>
  <c r="S3" i="20"/>
  <c r="S4" i="20"/>
  <c r="S5" i="20"/>
  <c r="S6" i="20"/>
  <c r="S7" i="20"/>
  <c r="S8" i="20"/>
  <c r="S9" i="20"/>
  <c r="S10" i="20"/>
  <c r="S11" i="20"/>
  <c r="S12" i="20"/>
  <c r="S13" i="20"/>
  <c r="S14" i="20"/>
  <c r="S15" i="20"/>
  <c r="S16" i="20"/>
  <c r="S17" i="20"/>
  <c r="S18" i="20"/>
  <c r="S19" i="20"/>
  <c r="S20" i="20"/>
  <c r="S21" i="20"/>
  <c r="S22" i="20"/>
  <c r="S23" i="20"/>
  <c r="S24" i="20"/>
  <c r="S25" i="20"/>
  <c r="S26" i="20"/>
  <c r="S27" i="20"/>
  <c r="S28" i="20"/>
  <c r="S29" i="20"/>
  <c r="S30" i="20"/>
  <c r="S31" i="20"/>
  <c r="S32" i="20"/>
  <c r="S33" i="20"/>
  <c r="S34" i="20"/>
  <c r="S35" i="20"/>
  <c r="S36" i="20"/>
  <c r="S37" i="20"/>
  <c r="S38" i="20"/>
  <c r="S39" i="20"/>
  <c r="S40" i="20"/>
  <c r="S41" i="20"/>
  <c r="S42" i="20"/>
  <c r="S43" i="20"/>
  <c r="S44" i="20"/>
  <c r="S45" i="20"/>
  <c r="S46" i="20"/>
  <c r="S47" i="20"/>
  <c r="S48" i="20"/>
  <c r="S49" i="20"/>
  <c r="S50" i="20"/>
  <c r="S51" i="20"/>
  <c r="S52" i="20"/>
  <c r="S53" i="20"/>
  <c r="S54" i="20"/>
  <c r="S55" i="20"/>
  <c r="S56" i="20"/>
  <c r="S57" i="20"/>
  <c r="S58" i="20"/>
  <c r="S59" i="20"/>
  <c r="S60" i="20"/>
  <c r="S61" i="20"/>
  <c r="S62" i="20"/>
  <c r="S63" i="20"/>
  <c r="S64" i="20"/>
  <c r="S65" i="20"/>
  <c r="S66" i="20"/>
  <c r="S67" i="20"/>
  <c r="S68" i="20"/>
  <c r="S69" i="20"/>
  <c r="S70" i="20"/>
  <c r="S71" i="20"/>
  <c r="S72" i="20"/>
  <c r="S73" i="20"/>
  <c r="S74" i="20"/>
  <c r="S75" i="20"/>
  <c r="S76" i="20"/>
  <c r="S77" i="20"/>
  <c r="S78" i="20"/>
  <c r="S79" i="20"/>
  <c r="S80" i="20"/>
  <c r="S81" i="20"/>
  <c r="S82" i="20"/>
  <c r="S83" i="20"/>
  <c r="S84" i="20"/>
  <c r="S85" i="20"/>
  <c r="S86" i="20"/>
  <c r="S87" i="20"/>
  <c r="S88" i="20"/>
  <c r="S89" i="20"/>
  <c r="S90" i="20"/>
  <c r="S91" i="20"/>
  <c r="S92" i="20"/>
  <c r="S93" i="20"/>
  <c r="S94" i="20"/>
  <c r="S95" i="20"/>
  <c r="S96" i="20"/>
  <c r="S97" i="20"/>
  <c r="S98" i="20"/>
  <c r="S99" i="20"/>
  <c r="S100" i="20"/>
  <c r="S101" i="20"/>
  <c r="S102" i="20"/>
  <c r="S103" i="20"/>
  <c r="S104" i="20"/>
  <c r="S105" i="20"/>
  <c r="S106" i="20"/>
  <c r="S107" i="20"/>
  <c r="S108" i="20"/>
  <c r="S109" i="20"/>
  <c r="S110" i="20"/>
  <c r="S111" i="20"/>
  <c r="S112" i="20"/>
  <c r="S113" i="20"/>
  <c r="S114" i="20"/>
  <c r="S115" i="20"/>
  <c r="S116" i="20"/>
  <c r="S117" i="20"/>
  <c r="S118" i="20"/>
  <c r="S119" i="20"/>
  <c r="S120" i="20"/>
  <c r="S121" i="20"/>
  <c r="S122" i="20"/>
  <c r="S123" i="20"/>
  <c r="S124" i="20"/>
  <c r="S125" i="20"/>
  <c r="S126" i="20"/>
  <c r="S127" i="20"/>
  <c r="S128" i="20"/>
  <c r="S129" i="20"/>
  <c r="S130" i="20"/>
  <c r="S131" i="20"/>
  <c r="S132" i="20"/>
  <c r="S133" i="20"/>
  <c r="S134" i="20"/>
  <c r="S135" i="20"/>
  <c r="S136" i="20"/>
  <c r="S137" i="20"/>
  <c r="S138" i="20"/>
  <c r="S139" i="20"/>
  <c r="S140" i="20"/>
  <c r="S141" i="20"/>
  <c r="S142" i="20"/>
  <c r="S143" i="20"/>
  <c r="S144" i="20"/>
  <c r="S145" i="20"/>
  <c r="S146" i="20"/>
  <c r="S147" i="20"/>
  <c r="S148" i="20"/>
  <c r="S149" i="20"/>
  <c r="S150" i="20"/>
  <c r="S151" i="20"/>
  <c r="S152" i="20"/>
  <c r="S153" i="20"/>
  <c r="S154" i="20"/>
  <c r="S155" i="20"/>
  <c r="S156" i="20"/>
  <c r="S157" i="20"/>
  <c r="S158" i="20"/>
  <c r="S159" i="20"/>
  <c r="S160" i="20"/>
  <c r="S161" i="20"/>
  <c r="S162" i="20"/>
  <c r="S163" i="20"/>
  <c r="S164" i="20"/>
  <c r="S165" i="20"/>
  <c r="S166" i="20"/>
  <c r="S167" i="20"/>
  <c r="S168" i="20"/>
  <c r="S169" i="20"/>
  <c r="S170" i="20"/>
  <c r="S171" i="20"/>
  <c r="S172" i="20"/>
  <c r="S173" i="20"/>
  <c r="S174" i="20"/>
  <c r="S175" i="20"/>
  <c r="S176" i="20"/>
  <c r="S177" i="20"/>
  <c r="S178" i="20"/>
  <c r="S179" i="20"/>
  <c r="S180" i="20"/>
  <c r="S181" i="20"/>
  <c r="S182" i="20"/>
  <c r="S183" i="20"/>
  <c r="S184" i="20"/>
  <c r="S185" i="20"/>
  <c r="S186" i="20"/>
  <c r="S187" i="20"/>
  <c r="S188" i="20"/>
  <c r="S189" i="20"/>
  <c r="S190" i="20"/>
  <c r="S191" i="20"/>
  <c r="S192" i="20"/>
  <c r="S193" i="20"/>
  <c r="S194" i="20"/>
  <c r="S195" i="20"/>
  <c r="G8" i="22"/>
  <c r="F8" i="22"/>
  <c r="E8" i="22"/>
  <c r="D8" i="22"/>
  <c r="C8" i="22"/>
  <c r="G9" i="22"/>
  <c r="F9" i="22"/>
  <c r="S3" i="21"/>
  <c r="S4" i="21"/>
  <c r="S5" i="21"/>
  <c r="S6" i="21"/>
  <c r="S7" i="21"/>
  <c r="S8" i="21"/>
  <c r="S9" i="21"/>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S83" i="21"/>
  <c r="S84" i="21"/>
  <c r="S85" i="21"/>
  <c r="S86" i="21"/>
  <c r="S87" i="21"/>
  <c r="S88" i="21"/>
  <c r="S89" i="21"/>
  <c r="S90" i="2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201" i="21"/>
  <c r="S202" i="21"/>
  <c r="S203" i="21"/>
  <c r="S204" i="21"/>
  <c r="S205" i="21"/>
  <c r="S206" i="21"/>
  <c r="S207" i="21"/>
  <c r="S208" i="21"/>
  <c r="S209" i="21"/>
  <c r="S210" i="21"/>
  <c r="S211" i="21"/>
  <c r="S212" i="21"/>
  <c r="S213" i="21"/>
  <c r="S215" i="21"/>
  <c r="S216" i="21"/>
  <c r="E9" i="22"/>
  <c r="D9" i="22"/>
  <c r="C9" i="22"/>
  <c r="H6" i="22" l="1"/>
  <c r="H7" i="22"/>
  <c r="H8" i="22"/>
  <c r="H9" i="22"/>
  <c r="H5" i="22"/>
  <c r="P106" i="13"/>
  <c r="P105" i="13"/>
  <c r="P104" i="13"/>
  <c r="P103" i="13"/>
  <c r="P102" i="13"/>
  <c r="N164" i="14"/>
  <c r="N163" i="14"/>
  <c r="N162" i="14"/>
  <c r="N161" i="14"/>
  <c r="N160" i="14"/>
  <c r="N158" i="14"/>
  <c r="N159" i="14"/>
  <c r="H116" i="13"/>
  <c r="H115" i="13"/>
  <c r="H114" i="13"/>
  <c r="H113" i="13"/>
  <c r="H112" i="13"/>
  <c r="H111" i="13"/>
  <c r="H110" i="13"/>
  <c r="J162" i="14"/>
  <c r="J161" i="14"/>
  <c r="F114" i="13"/>
  <c r="F113" i="13"/>
  <c r="F134" i="11"/>
  <c r="P154" i="14"/>
  <c r="P153" i="14"/>
  <c r="P152" i="14"/>
  <c r="P151" i="14"/>
  <c r="P150" i="14"/>
  <c r="I6" i="22" s="1"/>
  <c r="I5" i="22" l="1"/>
  <c r="E6" i="22"/>
  <c r="D6" i="22"/>
  <c r="N166" i="14"/>
  <c r="J166" i="14"/>
  <c r="K71" i="10"/>
  <c r="K131" i="11"/>
  <c r="F112" i="13" l="1"/>
  <c r="F111" i="13"/>
  <c r="F110" i="13"/>
  <c r="E5" i="22" l="1"/>
  <c r="D5" i="22"/>
  <c r="F118" i="13"/>
  <c r="H118" i="13"/>
  <c r="N64" i="10"/>
  <c r="N65" i="10"/>
  <c r="N66" i="10"/>
  <c r="N67" i="10"/>
  <c r="N63" i="10"/>
  <c r="H72" i="10"/>
  <c r="H73" i="10"/>
  <c r="H74" i="10"/>
  <c r="H75" i="10"/>
  <c r="H76" i="10"/>
  <c r="H77" i="10"/>
  <c r="H71" i="10"/>
  <c r="F72" i="10"/>
  <c r="F73" i="10"/>
  <c r="F71" i="10"/>
  <c r="H132" i="11"/>
  <c r="H133" i="11"/>
  <c r="H134" i="11"/>
  <c r="H135" i="11"/>
  <c r="H136" i="11"/>
  <c r="H137" i="11"/>
  <c r="H131" i="11"/>
  <c r="F132" i="11"/>
  <c r="F133" i="11"/>
  <c r="F135" i="11"/>
  <c r="F131" i="11"/>
  <c r="N124" i="11"/>
  <c r="N125" i="11"/>
  <c r="N126" i="11"/>
  <c r="N127" i="11"/>
  <c r="N123" i="11"/>
  <c r="F79" i="10" l="1"/>
  <c r="F139" i="11"/>
  <c r="H139" i="11"/>
  <c r="H7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EFuchs</author>
  </authors>
  <commentList>
    <comment ref="A6" authorId="0" shapeId="0" xr:uid="{00000000-0006-0000-0D00-000001000000}">
      <text>
        <r>
          <rPr>
            <b/>
            <sz val="8"/>
            <color indexed="81"/>
            <rFont val="Tahoma"/>
            <family val="2"/>
          </rPr>
          <t>EFuchs:</t>
        </r>
        <r>
          <rPr>
            <sz val="8"/>
            <color indexed="81"/>
            <rFont val="Tahoma"/>
            <family val="2"/>
          </rPr>
          <t>See C 09 040 - C 09 044 for SP and SR changes</t>
        </r>
        <r>
          <rPr>
            <sz val="8"/>
            <color indexed="81"/>
            <rFont val="Tahoma"/>
            <family val="2"/>
          </rPr>
          <t xml:space="preserve">
</t>
        </r>
      </text>
    </comment>
    <comment ref="A43" authorId="0" shapeId="0" xr:uid="{00000000-0006-0000-0D00-000002000000}">
      <text>
        <r>
          <rPr>
            <b/>
            <sz val="8"/>
            <color indexed="81"/>
            <rFont val="Tahoma"/>
            <family val="2"/>
          </rPr>
          <t>EFuchs:</t>
        </r>
        <r>
          <rPr>
            <sz val="8"/>
            <color indexed="81"/>
            <rFont val="Tahoma"/>
            <family val="2"/>
          </rPr>
          <t xml:space="preserve">
Ref. to C 09 004 correction in AM calculation</t>
        </r>
      </text>
    </comment>
  </commentList>
</comments>
</file>

<file path=xl/sharedStrings.xml><?xml version="1.0" encoding="utf-8"?>
<sst xmlns="http://schemas.openxmlformats.org/spreadsheetml/2006/main" count="32424" uniqueCount="6456">
  <si>
    <t>Marcoat 125 and 125N Tech Sheet, and MSDS</t>
  </si>
  <si>
    <t>Change product appearance from "clear amber solution" to "slightly cloudy appearance".</t>
  </si>
  <si>
    <t>C 09 089</t>
  </si>
  <si>
    <t>CH 7/7/09</t>
  </si>
  <si>
    <t>E-48</t>
  </si>
  <si>
    <t>BT</t>
  </si>
  <si>
    <t>C 09 090</t>
  </si>
  <si>
    <t>EF 07/15/09</t>
  </si>
  <si>
    <t>AM/1746/002</t>
  </si>
  <si>
    <t>Rev. 7 to rev. 8 Assay blend prep (CAPA 09-002A)</t>
  </si>
  <si>
    <t>C 09 091</t>
  </si>
  <si>
    <t>PD 7/21/09</t>
  </si>
  <si>
    <t>F-03</t>
  </si>
  <si>
    <t>C 09 092</t>
  </si>
  <si>
    <t>JK 7/21/09</t>
  </si>
  <si>
    <t>Q-22</t>
  </si>
  <si>
    <t>Revise Form 3 to reflect label control table. Q-22 Rev. 1 to 2</t>
  </si>
  <si>
    <t>Rev. 0 to rev. 1  reduce scope to R&amp;D only</t>
  </si>
  <si>
    <t>C 09 093</t>
  </si>
  <si>
    <t>JK 8/3/09</t>
  </si>
  <si>
    <t>Relief Cream</t>
  </si>
  <si>
    <t>C 11 003</t>
  </si>
  <si>
    <t>SP/2864/002.00 Enteric Coated aspirin Tabs.</t>
  </si>
  <si>
    <t>C 09 094</t>
  </si>
  <si>
    <t>JK 8/4/09</t>
  </si>
  <si>
    <t>ISP 030</t>
  </si>
  <si>
    <t>Chopper Motor Changeout</t>
  </si>
  <si>
    <t>Originate New Batch Record   BR# R001rev. 0</t>
  </si>
  <si>
    <t>C09 095</t>
  </si>
  <si>
    <t>JK 8/18/09</t>
  </si>
  <si>
    <t>Ibuprofen Cream</t>
  </si>
  <si>
    <t>Originate New Batch Record   BR# I001rev. 0</t>
  </si>
  <si>
    <t>C09 096</t>
  </si>
  <si>
    <t>JK 8/20/09</t>
  </si>
  <si>
    <t>MBR Rev 0 to Rev 1</t>
  </si>
  <si>
    <t>C 09 097</t>
  </si>
  <si>
    <t>LB 8/26/09</t>
  </si>
  <si>
    <t>SP/2878/001</t>
  </si>
  <si>
    <t>Rev.0 to Rev.01 - Adjust amount of strips in stability log (not enough material)</t>
  </si>
  <si>
    <t>C 09 098</t>
  </si>
  <si>
    <t>JK 9/3/09</t>
  </si>
  <si>
    <t>ISP MBR's</t>
  </si>
  <si>
    <t>Remove In-Process color matching requirements following the first batch of a multi-batch campaign using the same raw material lot numbers.</t>
  </si>
  <si>
    <t>C 09 099</t>
  </si>
  <si>
    <t>JK 9/4/09</t>
  </si>
  <si>
    <t>ISP MBR's and E-32</t>
  </si>
  <si>
    <t>Remove references to magnets installed or removed from batch records and mixer SOP per ISP request.</t>
  </si>
  <si>
    <t>C 09 100</t>
  </si>
  <si>
    <t>JK 9/8/09</t>
  </si>
  <si>
    <t>Plasacryl</t>
  </si>
  <si>
    <t>Extend Plasacryl expiration dating to 12 months.</t>
  </si>
  <si>
    <t>JK9/9/09</t>
  </si>
  <si>
    <t>Plasacryl PF</t>
  </si>
  <si>
    <t>Generate specification document for Plasacryl PF</t>
  </si>
  <si>
    <t>C 09 101</t>
  </si>
  <si>
    <t>EF 09/10/09</t>
  </si>
  <si>
    <t>SR/2534/016 - SR/2534/018</t>
  </si>
  <si>
    <t>include 12Mo Micro resuls for placebo, 50mg and 300mg</t>
  </si>
  <si>
    <t>C 09 102</t>
  </si>
  <si>
    <t>C 09 103</t>
  </si>
  <si>
    <t>EF 09/16/09</t>
  </si>
  <si>
    <t>AM/1746/004.004</t>
  </si>
  <si>
    <t>Dissolution Method change in response to A 09-010</t>
  </si>
  <si>
    <t>C 09 104</t>
  </si>
  <si>
    <t>EF 10/06/09</t>
  </si>
  <si>
    <t>SP from12mo to 24mo (Changes requested by the client)</t>
  </si>
  <si>
    <t>SP/2534/006.00; SP/2534/007.01; SP/2534.00</t>
  </si>
  <si>
    <t>New SOP for use, calibration of refrigerators and freezers</t>
  </si>
  <si>
    <t>C 09 105</t>
  </si>
  <si>
    <t>CH 10/9/09</t>
  </si>
  <si>
    <t>C 09 106</t>
  </si>
  <si>
    <t>CH 10/13/09</t>
  </si>
  <si>
    <t>S-08</t>
  </si>
  <si>
    <t>C 09 107</t>
  </si>
  <si>
    <t>EF 10/13/09</t>
  </si>
  <si>
    <t>PS/2534/001, PS/2534/002</t>
  </si>
  <si>
    <t>Product Specification change per client request</t>
  </si>
  <si>
    <t>C 09 108</t>
  </si>
  <si>
    <t>S-09</t>
  </si>
  <si>
    <t>C 09 109</t>
  </si>
  <si>
    <t>CH 10/20/09</t>
  </si>
  <si>
    <t>SL</t>
  </si>
  <si>
    <t>C 09 110</t>
  </si>
  <si>
    <t>CH 10/21/09</t>
  </si>
  <si>
    <t>D-02</t>
  </si>
  <si>
    <t>Rev 2 to rev 3</t>
  </si>
  <si>
    <t>C 11 057</t>
  </si>
  <si>
    <t>SOP F-06</t>
  </si>
  <si>
    <t>add additional maintenance for dust collectors</t>
  </si>
  <si>
    <t>C 09 111</t>
  </si>
  <si>
    <t>JK 10/22/09</t>
  </si>
  <si>
    <t>Original form lost</t>
  </si>
  <si>
    <t>C 09 112</t>
  </si>
  <si>
    <t>CH 10/23/09</t>
  </si>
  <si>
    <t>S-17</t>
  </si>
  <si>
    <t>CH 10/29/09</t>
  </si>
  <si>
    <t>T-43</t>
  </si>
  <si>
    <t>C 09 113</t>
  </si>
  <si>
    <t>pd 10/30/0-9</t>
  </si>
  <si>
    <t>C 09 114</t>
  </si>
  <si>
    <t>Q-28</t>
  </si>
  <si>
    <t>C 09 115</t>
  </si>
  <si>
    <t>pd 11/4/09</t>
  </si>
  <si>
    <t>Q-02</t>
  </si>
  <si>
    <t>Rev. 0 to rev. 1.  Delete Batch Record Tracking Form and all sections referencing the section.</t>
  </si>
  <si>
    <t>C 11 002</t>
  </si>
  <si>
    <t>E-08</t>
  </si>
  <si>
    <t>Rev. 0 to rev. 1. Revise procedure section to clarify the procedure by adding more specific instructions.  Added Past due CAPA Report.  Added Logbook numbers.</t>
  </si>
  <si>
    <t>C 09 116</t>
  </si>
  <si>
    <t>EF 11/12/09</t>
  </si>
  <si>
    <t>Change analytical lab location/configuration under MVP-009-001.00</t>
  </si>
  <si>
    <t>Lab Move from Malvern (MVP-009-001.00)</t>
  </si>
  <si>
    <t>C 09 117</t>
  </si>
  <si>
    <t>CH 11/17/09</t>
  </si>
  <si>
    <t>Q-21</t>
  </si>
  <si>
    <t xml:space="preserve"> LF</t>
  </si>
  <si>
    <t>C 09 118</t>
  </si>
  <si>
    <t>JK 11/19/09</t>
  </si>
  <si>
    <t>Marcoat EC-100</t>
  </si>
  <si>
    <t>Generate BR, labels, MSDS, Tech Sheets, Formulation Master Document</t>
  </si>
  <si>
    <t>C 09 119</t>
  </si>
  <si>
    <t>CH 11/20/09</t>
  </si>
  <si>
    <t xml:space="preserve">T-30 </t>
  </si>
  <si>
    <t>C 09 120</t>
  </si>
  <si>
    <t>T-17</t>
  </si>
  <si>
    <t>C 09 121</t>
  </si>
  <si>
    <t>EF 11/23/09</t>
  </si>
  <si>
    <t>MVP-009-001.00</t>
  </si>
  <si>
    <t>DSC Inst. (A066) move to new lab at Norristown</t>
  </si>
  <si>
    <t>C 09 122</t>
  </si>
  <si>
    <t>CH 11/24/09</t>
  </si>
  <si>
    <t>T-12</t>
  </si>
  <si>
    <t>C 09 123</t>
  </si>
  <si>
    <t>CH 12/2/09</t>
  </si>
  <si>
    <t>E-05</t>
  </si>
  <si>
    <t>C 09 124</t>
  </si>
  <si>
    <t>Product Specification change</t>
  </si>
  <si>
    <t>PS/2968/001.000</t>
  </si>
  <si>
    <t>PD 12/3/09</t>
  </si>
  <si>
    <t>C 09 125</t>
  </si>
  <si>
    <t>EF 12/04/09</t>
  </si>
  <si>
    <t>Change analytical lab location/configuration under MVP-009-001.00 HPLCs A142, A157, A158, A159</t>
  </si>
  <si>
    <t>C 09 126</t>
  </si>
  <si>
    <t>EF 12/08/09</t>
  </si>
  <si>
    <t>Change analytical lab location/configuration under MVP-009-001.00 Disso A116, A129, A128, A117</t>
  </si>
  <si>
    <t>C 09 127</t>
  </si>
  <si>
    <t>D-20</t>
  </si>
  <si>
    <t>C 11 025</t>
  </si>
  <si>
    <t>C 11 026</t>
  </si>
  <si>
    <t>E-18</t>
  </si>
  <si>
    <t>Change analytical lab location/configuration under MVP-009-001.00 balances A068, A083, A160, A161, A162</t>
  </si>
  <si>
    <t>C 09 128</t>
  </si>
  <si>
    <t>C 09 129</t>
  </si>
  <si>
    <t>JK 12/10/09</t>
  </si>
  <si>
    <t>Q-24</t>
  </si>
  <si>
    <t>Q-25</t>
  </si>
  <si>
    <t xml:space="preserve">PD </t>
  </si>
  <si>
    <t>C 09 130</t>
  </si>
  <si>
    <t>C 11 042</t>
  </si>
  <si>
    <t>C 11 043</t>
  </si>
  <si>
    <t>update to reflect current practicies</t>
  </si>
  <si>
    <t>CH 12/16/09</t>
  </si>
  <si>
    <t>T-07</t>
  </si>
  <si>
    <t>C 09 131</t>
  </si>
  <si>
    <t>PD 12/17/09</t>
  </si>
  <si>
    <t>E-55</t>
  </si>
  <si>
    <t>C 09 132</t>
  </si>
  <si>
    <t>CH 12/18/09</t>
  </si>
  <si>
    <t>E-47</t>
  </si>
  <si>
    <t>C 09 133</t>
  </si>
  <si>
    <t>T-04</t>
  </si>
  <si>
    <t>C 09 134</t>
  </si>
  <si>
    <t>JK 12/21/09</t>
  </si>
  <si>
    <t>C 09 135</t>
  </si>
  <si>
    <t>CH 12/21/09</t>
  </si>
  <si>
    <t>E-50</t>
  </si>
  <si>
    <t>C 09 136</t>
  </si>
  <si>
    <t>PD 12/21/09</t>
  </si>
  <si>
    <t>E-53</t>
  </si>
  <si>
    <t>E-38</t>
  </si>
  <si>
    <t>C 09 137</t>
  </si>
  <si>
    <t>Biennial review. Rev. 0 to 1</t>
  </si>
  <si>
    <t>Biennial review rev. 1 to rev. 2</t>
  </si>
  <si>
    <t>Biennial review. rev. 0 to rev. 1</t>
  </si>
  <si>
    <t>Change Control Log - 2010</t>
  </si>
  <si>
    <t>Plasacryl PF  BR-PF001</t>
  </si>
  <si>
    <t>C 10 001</t>
  </si>
  <si>
    <t>C 10 002</t>
  </si>
  <si>
    <t>CH 1/13/10</t>
  </si>
  <si>
    <t>T-10</t>
  </si>
  <si>
    <t>C 10 003</t>
  </si>
  <si>
    <t>CH 1/19/10</t>
  </si>
  <si>
    <t>T-19</t>
  </si>
  <si>
    <t>PD 1/8/10</t>
  </si>
  <si>
    <t>PD 2/2/10</t>
  </si>
  <si>
    <t>Batch records for Marcoat (125 and 125N) and Plasacry (Regualar and PF)</t>
  </si>
  <si>
    <t>Change Control Log - 2011</t>
  </si>
  <si>
    <t>C 11 001</t>
  </si>
  <si>
    <t xml:space="preserve">Revise to record raw material expiration date                      Marcoat 125 rev. 9 to rev. 10                                             Maroat 125N rev. 6 to rev. 7                                              Plasacryl rev. 3 to rev. 4                                                            Plasacryl PF rev. 1 to rev. 2 </t>
  </si>
  <si>
    <t>C 10 004</t>
  </si>
  <si>
    <t>C 10 005</t>
  </si>
  <si>
    <t>EF 2/2/10</t>
  </si>
  <si>
    <t>Theracida SR/2757/022.0, SR/2757/032.00</t>
  </si>
  <si>
    <t xml:space="preserve">In the header of the stability report "Pilocarpine HCL" to be removed from lot# </t>
  </si>
  <si>
    <t>C 10 006</t>
  </si>
  <si>
    <t>EF 2/16/10</t>
  </si>
  <si>
    <t>Analytical lab relocation from Malvern to Norristown</t>
  </si>
  <si>
    <t>C 11 066</t>
  </si>
  <si>
    <t>pd 7/26/2011</t>
  </si>
  <si>
    <t>SOP F-19</t>
  </si>
  <si>
    <t>Revise to reflect current practice. Rev. 0 to rev. 1</t>
  </si>
  <si>
    <t>C 11 067</t>
  </si>
  <si>
    <t>SOP E-11</t>
  </si>
  <si>
    <t>Revise to include additonal cleaning and maintenance rev. 1 to rev. 2.</t>
  </si>
  <si>
    <t>Revise to include the addition of a 3rd compressor system</t>
  </si>
  <si>
    <t>C 11 069</t>
  </si>
  <si>
    <t>Revise preparation of drawdown cards for Abbotts 120013PA09.  rev. 2 to rev. 3.</t>
  </si>
  <si>
    <t>Revise IMTech shipping checklist to include verification that heat treated skids are used  rev. 4 to rev. 5.</t>
  </si>
  <si>
    <t>C 11 070</t>
  </si>
  <si>
    <t>SOP F-17</t>
  </si>
  <si>
    <t>Biennial review rev. 0 to rev. 1</t>
  </si>
  <si>
    <t>C 11 071</t>
  </si>
  <si>
    <t>pd 7/27/2011</t>
  </si>
  <si>
    <t>Target Date</t>
  </si>
  <si>
    <t>Change pH result form 2 decimal places to 1 decimal place</t>
  </si>
  <si>
    <t>C 11 072</t>
  </si>
  <si>
    <t>lmc 7/29/2011</t>
  </si>
  <si>
    <t>CA/3385/001</t>
  </si>
  <si>
    <t>Correct the footnote to remove extraneous zero from lot #.</t>
  </si>
  <si>
    <t>LMC</t>
  </si>
  <si>
    <t>rev. 0 to rev. 1,  Add process for review of pre-execution CTM batch records prior to approval, re-format and clarify.  Changed to SOP D-14</t>
  </si>
  <si>
    <t>A-21, A-13</t>
  </si>
  <si>
    <t>C 10 007</t>
  </si>
  <si>
    <t>pd 2/24/10</t>
  </si>
  <si>
    <t>new equipment SOP for ovens</t>
  </si>
  <si>
    <t>C 10 008</t>
  </si>
  <si>
    <t>CH 2/25/10</t>
  </si>
  <si>
    <t>CF</t>
  </si>
  <si>
    <t>C 10 009</t>
  </si>
  <si>
    <t>EF 03/01/10</t>
  </si>
  <si>
    <t>C 10 053</t>
  </si>
  <si>
    <t>pd 12/30/10</t>
  </si>
  <si>
    <t>CA/2893/002, CA/2893/003, CA/2893/004</t>
  </si>
  <si>
    <t>Revision of CoAs to correct MLT specification and results</t>
  </si>
  <si>
    <t>E-61</t>
  </si>
  <si>
    <t>C 10 010</t>
  </si>
  <si>
    <t>EF 03/05/10</t>
  </si>
  <si>
    <t>Revise spec. statement to reflect client req.</t>
  </si>
  <si>
    <t>PS/2893/001</t>
  </si>
  <si>
    <t>C 10 011</t>
  </si>
  <si>
    <t>CH 3/15/10</t>
  </si>
  <si>
    <t>Q-05</t>
  </si>
  <si>
    <t>C 10 012</t>
  </si>
  <si>
    <t>CH 3/18/10</t>
  </si>
  <si>
    <t>F-11, F-13, F-14, F-15, F-16</t>
  </si>
  <si>
    <t>Initiation of SOP for Plasacryl  LOD</t>
  </si>
  <si>
    <t>CH 3/23/10</t>
  </si>
  <si>
    <t>F-06</t>
  </si>
  <si>
    <t>C 10 013</t>
  </si>
  <si>
    <t>C 10 014</t>
  </si>
  <si>
    <t>CH 3/24/10</t>
  </si>
  <si>
    <t>T-14</t>
  </si>
  <si>
    <t>C 10 015</t>
  </si>
  <si>
    <t>New SOP F-12 for water system; obsolete E-58, T-16</t>
  </si>
  <si>
    <t>E-54</t>
  </si>
  <si>
    <t>C 10 016</t>
  </si>
  <si>
    <t>CH 3/31/10</t>
  </si>
  <si>
    <t>Q-08</t>
  </si>
  <si>
    <t>C 10 017</t>
  </si>
  <si>
    <t>CA system. Advantia 2nd floor manufacturing.</t>
  </si>
  <si>
    <t>CA - 2nd floor.</t>
  </si>
  <si>
    <t>C 10 018</t>
  </si>
  <si>
    <t>C11 024</t>
  </si>
  <si>
    <t>third tank addition to the first floor treated water</t>
  </si>
  <si>
    <t>Facility/System, treated water</t>
  </si>
  <si>
    <t>CH 4/12/10</t>
  </si>
  <si>
    <t>T-39, E-02</t>
  </si>
  <si>
    <t>Obsolescence/New SOP</t>
  </si>
  <si>
    <t>C 10 019</t>
  </si>
  <si>
    <t>pd 4/22/10</t>
  </si>
  <si>
    <t>C 10 020</t>
  </si>
  <si>
    <t xml:space="preserve">SOP Q-12 </t>
  </si>
  <si>
    <t>Rev. 3 to rev. 4.  Remove "QC Sticker" from Ingredients shipping check list. A "QC sticker is no longer used.</t>
  </si>
  <si>
    <t>C 10 021</t>
  </si>
  <si>
    <t>EF 4/28/10</t>
  </si>
  <si>
    <t>PS/2534/002</t>
  </si>
  <si>
    <t>Rev.4 to rev.5 Remove "gelatin" from Apperance Spec. GL1001 300mg Caps.</t>
  </si>
  <si>
    <t>C 10 022</t>
  </si>
  <si>
    <t>EF 5/4/10</t>
  </si>
  <si>
    <t>A-25</t>
  </si>
  <si>
    <t>To include section describes conductivity function</t>
  </si>
  <si>
    <t>C 10 023</t>
  </si>
  <si>
    <t>EF 5/7/10</t>
  </si>
  <si>
    <t>VP/3037/001</t>
  </si>
  <si>
    <t>Change imps list in Validation Protocol</t>
  </si>
  <si>
    <t>C 10 024</t>
  </si>
  <si>
    <t>EF 5/10/10</t>
  </si>
  <si>
    <t>AM/2836/003</t>
  </si>
  <si>
    <t>To correct typo in procedure</t>
  </si>
  <si>
    <t>C 10 025</t>
  </si>
  <si>
    <t>EF 6/2/10</t>
  </si>
  <si>
    <t>SP/2875/001 &amp; SP/2875/002</t>
  </si>
  <si>
    <t>To include 9Mo Stability Pull for FV-100 200mg Caps</t>
  </si>
  <si>
    <t>C 10 026</t>
  </si>
  <si>
    <t>pd 6/3/10</t>
  </si>
  <si>
    <t>Product name change from Plasacryl PF to Plasacryl T20</t>
  </si>
  <si>
    <t>C 11 041</t>
  </si>
  <si>
    <t>New customer specific Marcoat 125N CofA</t>
  </si>
  <si>
    <t>New Marcoat 125N CofA</t>
  </si>
  <si>
    <t>Plasacryl PF:  batch record, product labels, CofA, Tech sheet MSDS, DMF, specification</t>
  </si>
  <si>
    <t>C 10 027</t>
  </si>
  <si>
    <t>EF 6/15/10</t>
  </si>
  <si>
    <t>T-20 Appearance Test</t>
  </si>
  <si>
    <t xml:space="preserve">add descriptions for appearance testing of suppositories </t>
  </si>
  <si>
    <t>C 10 028</t>
  </si>
  <si>
    <t>pd 6/17/10</t>
  </si>
  <si>
    <t>C 10 029</t>
  </si>
  <si>
    <t>EF 6/28/10</t>
  </si>
  <si>
    <t>A-15</t>
  </si>
  <si>
    <t>Rev.2 to rev.3 to reflect changes in the procedure due to Lab. Relocation</t>
  </si>
  <si>
    <t>C 10 030</t>
  </si>
  <si>
    <t>FF 7/6/10</t>
  </si>
  <si>
    <t>C 10 031</t>
  </si>
  <si>
    <t>C 10 032</t>
  </si>
  <si>
    <t>Condensor change (like for like) 2nd floor</t>
  </si>
  <si>
    <t>New Compressor (basement)</t>
  </si>
  <si>
    <t>C 10 033</t>
  </si>
  <si>
    <t>EF 7/7/10</t>
  </si>
  <si>
    <t>D-15</t>
  </si>
  <si>
    <t>Rev.2 to rev.3 to reflect changes to single facility</t>
  </si>
  <si>
    <t>C 10 052</t>
  </si>
  <si>
    <t>EF 12/03/10</t>
  </si>
  <si>
    <t>SOP A-15 rev. 4</t>
  </si>
  <si>
    <t>Revise to include changes in the stability initiation process as the result of analytical CAPA 10-003A</t>
  </si>
  <si>
    <t>C 10 034</t>
  </si>
  <si>
    <t>C 11 048</t>
  </si>
  <si>
    <t>CA/3202/006.00</t>
  </si>
  <si>
    <t>CoA FP  Phenylephrine HCl Assay resultl report to three decimals</t>
  </si>
  <si>
    <t>pd 7/27/10</t>
  </si>
  <si>
    <t>IMTech CofA's</t>
  </si>
  <si>
    <t>Delete production release and add manufacturing site to CofA's</t>
  </si>
  <si>
    <t>C 10 035</t>
  </si>
  <si>
    <t>pd 8/11/10</t>
  </si>
  <si>
    <t>SOP E-59 Korsh XL-100 Tablet Press</t>
  </si>
  <si>
    <t>rev. 2 to rev. 3 . Update to include operation under load and inspection after major maintenance occurs.</t>
  </si>
  <si>
    <t>C 10 036</t>
  </si>
  <si>
    <t>EF 8/18/10</t>
  </si>
  <si>
    <t>To include standard stability data (30 days exp.)</t>
  </si>
  <si>
    <t>XY</t>
  </si>
  <si>
    <t>C 10 037</t>
  </si>
  <si>
    <t>revise AM/2893/001, include CU preparation as per client req.</t>
  </si>
  <si>
    <t>EF 8/19/10</t>
  </si>
  <si>
    <t>AM/2893/001.00</t>
  </si>
  <si>
    <t>C 10 038</t>
  </si>
  <si>
    <t>pd 8/26/10</t>
  </si>
  <si>
    <t>SOP F-01 Housekeeping</t>
  </si>
  <si>
    <t xml:space="preserve"> Rev. 1 to rev 2. Revise to reflect the function is now performed in-house. </t>
  </si>
  <si>
    <t>C 10 039</t>
  </si>
  <si>
    <t>SOP Q-05 Pest Control</t>
  </si>
  <si>
    <t>C 10 051</t>
  </si>
  <si>
    <t>pd 12/1/10</t>
  </si>
  <si>
    <t>SOP E-62 new</t>
  </si>
  <si>
    <t xml:space="preserve">New SOP for Silverson High Shear Mixer </t>
  </si>
  <si>
    <t>Rev. 2 to rev. 3. Revise to reflect maintenance to thew vector fly traps</t>
  </si>
  <si>
    <t>C 10 040</t>
  </si>
  <si>
    <t>Validation Protocol for Mesalamine Disso VP/3028/002.00</t>
  </si>
  <si>
    <t>C 10 050</t>
  </si>
  <si>
    <t>EF 12/01/10</t>
  </si>
  <si>
    <t>SOP A-04 new</t>
  </si>
  <si>
    <t xml:space="preserve">New SOP Spreadsheet Template Validation and Use </t>
  </si>
  <si>
    <t>To include changes in acceptance criteria for Disso validation</t>
  </si>
  <si>
    <t>EF 8/27/10</t>
  </si>
  <si>
    <t>C 10 041</t>
  </si>
  <si>
    <t>pd 9/28/10</t>
  </si>
  <si>
    <t>SOP T-09</t>
  </si>
  <si>
    <t>Update per CAPA 10-011 (#7), Plasacryl T20 information &amp; pH meter rev. 1 to rev. 2</t>
  </si>
  <si>
    <t>SOP E-46 new</t>
  </si>
  <si>
    <t>New SOP for roller campaction system Equipment ID 310</t>
  </si>
  <si>
    <t>C 10 049</t>
  </si>
  <si>
    <t>pd 11/24/10</t>
  </si>
  <si>
    <t>C 10 042</t>
  </si>
  <si>
    <t>FF 10/7/10</t>
  </si>
  <si>
    <t>C 10 043</t>
  </si>
  <si>
    <t>EF 10/14/10</t>
  </si>
  <si>
    <t>CA/3154/001, CA/3154/002</t>
  </si>
  <si>
    <t>C 10 044</t>
  </si>
  <si>
    <t>see C 10 039</t>
  </si>
  <si>
    <t>C 10 047</t>
  </si>
  <si>
    <t>pd 11/18/10</t>
  </si>
  <si>
    <t>remove shipping checklist form Finsihed Product Ingredient Release Checklist (Form 3).  Shipping checklist will be kept by production. Rev. 2 to rev. 3.</t>
  </si>
  <si>
    <t>C 10 048</t>
  </si>
  <si>
    <t>Updateto reflect current practices for ISPand IMTech raw material receipt. Rev. 3 to rev. 4.</t>
  </si>
  <si>
    <t>C 10 046</t>
  </si>
  <si>
    <t>C 10 045</t>
  </si>
  <si>
    <t>EF 11/17/10</t>
  </si>
  <si>
    <t xml:space="preserve">AM2893/002/00 </t>
  </si>
  <si>
    <t>Revise amount of minitabs in disintegration test method</t>
  </si>
  <si>
    <t>CBR-0001 Rev 1</t>
  </si>
  <si>
    <t>Change to Rev.2  Various format changes</t>
  </si>
  <si>
    <t>pd 10/20/10</t>
  </si>
  <si>
    <t xml:space="preserve">SOP F-03 </t>
  </si>
  <si>
    <t>Update per CAPA 10-011, require GMP covering of cleaned utensils for IMTech mfg. rev. 4 to rev. 5</t>
  </si>
  <si>
    <t>FF 10/19/10</t>
  </si>
  <si>
    <t>pd 7/19/2011</t>
  </si>
  <si>
    <t>TR/3385/0001.01</t>
  </si>
  <si>
    <t>C 11 060</t>
  </si>
  <si>
    <t>C 11 061</t>
  </si>
  <si>
    <t>C 11 062</t>
  </si>
  <si>
    <t>Incorrect API lot number on test result report.</t>
  </si>
  <si>
    <t>C 11 063</t>
  </si>
  <si>
    <t>pd 7/21/2011</t>
  </si>
  <si>
    <t>All ISP manufacturing batch records</t>
  </si>
  <si>
    <t xml:space="preserve">Revise batch records to include a step to confirm equipment is dry before charging </t>
  </si>
  <si>
    <t>C 11 064</t>
  </si>
  <si>
    <t>pd 7/22/2011</t>
  </si>
  <si>
    <t>Stability chambers, refrigerator and freezer monitoring system</t>
  </si>
  <si>
    <t>Replace Labwatch monitoring system with Veriteq  Monitoring system</t>
  </si>
  <si>
    <t>C 11 065</t>
  </si>
  <si>
    <t>LF 7/22/2011</t>
  </si>
  <si>
    <t>Plasacryl manufacturing kettle</t>
  </si>
  <si>
    <t>Increase opening in lid to facilitate cleaning and propeller adjustment.</t>
  </si>
  <si>
    <t>CHIP S</t>
  </si>
  <si>
    <t>Change to Rev.1 - Micro test wasn't performed using USP specified size, new ref. w/repeat results</t>
  </si>
  <si>
    <t>Change #</t>
  </si>
  <si>
    <t>C 06 001</t>
  </si>
  <si>
    <t>C 06 002</t>
  </si>
  <si>
    <t>Reason for Change</t>
  </si>
  <si>
    <t>Requestor</t>
  </si>
  <si>
    <t>QA person</t>
  </si>
  <si>
    <t>Date Initiated</t>
  </si>
  <si>
    <t>Post Implementation Date</t>
  </si>
  <si>
    <t>C 06 003</t>
  </si>
  <si>
    <t>Product/SOP                                  Impacted</t>
  </si>
  <si>
    <t>SOP D-02</t>
  </si>
  <si>
    <t>C 11 040</t>
  </si>
  <si>
    <t>Revision 1 to Revision 2</t>
  </si>
  <si>
    <t>AS</t>
  </si>
  <si>
    <t>SOP P-02</t>
  </si>
  <si>
    <t>Revision 0 to Revision 1</t>
  </si>
  <si>
    <t>SOP D-03</t>
  </si>
  <si>
    <t>C 06 004</t>
  </si>
  <si>
    <t>LF</t>
  </si>
  <si>
    <t>SOP D-07</t>
  </si>
  <si>
    <t>C 06 005</t>
  </si>
  <si>
    <t>SOP D-09</t>
  </si>
  <si>
    <t>C 06 006</t>
  </si>
  <si>
    <t>SOP P-01</t>
  </si>
  <si>
    <t xml:space="preserve">Request to obsolete SOP </t>
  </si>
  <si>
    <t>C 06 007</t>
  </si>
  <si>
    <t>SOP Q-04</t>
  </si>
  <si>
    <t>C 06 008</t>
  </si>
  <si>
    <t>SOP D-04</t>
  </si>
  <si>
    <t>Status</t>
  </si>
  <si>
    <t>files</t>
  </si>
  <si>
    <t>Change Control Log - 2006</t>
  </si>
  <si>
    <t>C 06 009</t>
  </si>
  <si>
    <t>SOP E-28</t>
  </si>
  <si>
    <t>AB</t>
  </si>
  <si>
    <t>RPI= requires post implementation</t>
  </si>
  <si>
    <t>C 06 010</t>
  </si>
  <si>
    <t>1st floor of facility</t>
  </si>
  <si>
    <t>New numbering system</t>
  </si>
  <si>
    <t>C 06 011</t>
  </si>
  <si>
    <t>C 06 012</t>
  </si>
  <si>
    <t>SP-06-001.0 to rev. 01</t>
  </si>
  <si>
    <t>VMP-06-001.0 to rev. 01</t>
  </si>
  <si>
    <t>Advantia Prime - Validation Master Plan</t>
  </si>
  <si>
    <t>Advantia Prime - Stability Protocol</t>
  </si>
  <si>
    <t>C 06 013</t>
  </si>
  <si>
    <t>VP-06-004.0 to rev. 01</t>
  </si>
  <si>
    <t>C 06 014</t>
  </si>
  <si>
    <t>PSP.PA3.32001.01428.00 to rev. 01</t>
  </si>
  <si>
    <t>MG</t>
  </si>
  <si>
    <t>C 11 056</t>
  </si>
  <si>
    <t>rev. 2 to include an additional CU test as per client request</t>
  </si>
  <si>
    <t>Penwest Protocol</t>
  </si>
  <si>
    <t>C 06 015</t>
  </si>
  <si>
    <t>qualification protocol</t>
  </si>
  <si>
    <t>EQ-06-018B.0 to revision 1</t>
  </si>
  <si>
    <t>C 06 016</t>
  </si>
  <si>
    <t>SOP E-07</t>
  </si>
  <si>
    <t>MH</t>
  </si>
  <si>
    <t>C 06 017</t>
  </si>
  <si>
    <t>SOP Q-21</t>
  </si>
  <si>
    <t>C 06 018</t>
  </si>
  <si>
    <t>SOP T-48</t>
  </si>
  <si>
    <t>NK</t>
  </si>
  <si>
    <t>C 06 019</t>
  </si>
  <si>
    <t>SOP T-04</t>
  </si>
  <si>
    <t>VM</t>
  </si>
  <si>
    <t>C 06 020</t>
  </si>
  <si>
    <t>SOP P-04</t>
  </si>
  <si>
    <t>C 06 021</t>
  </si>
  <si>
    <t>Advantia Prime 185997BA01</t>
  </si>
  <si>
    <t>C 06 022</t>
  </si>
  <si>
    <t>RW</t>
  </si>
  <si>
    <t>Penwest Report  AR/1615/002.01</t>
  </si>
  <si>
    <t>revision 01 to 02</t>
  </si>
  <si>
    <t>E-01, new SOP</t>
  </si>
  <si>
    <t>BR1773-01 and VP-06-006.01</t>
  </si>
  <si>
    <t>SOP D-19</t>
  </si>
  <si>
    <t>SOP A-10</t>
  </si>
  <si>
    <t>C 07 001</t>
  </si>
  <si>
    <t>C 07 002</t>
  </si>
  <si>
    <t>SP/1659/001.00 and SP/1759/001.00</t>
  </si>
  <si>
    <t>also I 06006</t>
  </si>
  <si>
    <t>C 11 047</t>
  </si>
  <si>
    <t>New SOP E-51</t>
  </si>
  <si>
    <t>New SOP for the MPS MC-2 Electronic Tablet couter</t>
  </si>
  <si>
    <t>C 07 003</t>
  </si>
  <si>
    <t>SOP E-05</t>
  </si>
  <si>
    <t>Revision 0 to Rev 01</t>
  </si>
  <si>
    <t>BY</t>
  </si>
  <si>
    <t>C 07 004</t>
  </si>
  <si>
    <t>SOP R-07</t>
  </si>
  <si>
    <t>Rev 0 to Rev 1</t>
  </si>
  <si>
    <t>JS</t>
  </si>
  <si>
    <t>C 07 005</t>
  </si>
  <si>
    <t>SOP S-11</t>
  </si>
  <si>
    <t>C 07 006</t>
  </si>
  <si>
    <t>SOP E-38</t>
  </si>
  <si>
    <t>C 07 007</t>
  </si>
  <si>
    <t>SOP E-29</t>
  </si>
  <si>
    <t>C 07 008</t>
  </si>
  <si>
    <t>SOP D-15</t>
  </si>
  <si>
    <t>Rev 1 to Rev 2</t>
  </si>
  <si>
    <t>JR</t>
  </si>
  <si>
    <t>C 07 009</t>
  </si>
  <si>
    <t>C 07 010</t>
  </si>
  <si>
    <t>SOP R-05</t>
  </si>
  <si>
    <t>SOP R-01</t>
  </si>
  <si>
    <t>JLS</t>
  </si>
  <si>
    <t>C 07 011</t>
  </si>
  <si>
    <t>SOP E-20</t>
  </si>
  <si>
    <t>DP</t>
  </si>
  <si>
    <t>C 07 012</t>
  </si>
  <si>
    <t>C 07 013</t>
  </si>
  <si>
    <t>C 07 014</t>
  </si>
  <si>
    <t>SP/1894/005.00</t>
  </si>
  <si>
    <t>SP/1894/006.00</t>
  </si>
  <si>
    <t>SP/1894/004.00</t>
  </si>
  <si>
    <t>Change Control Log - 2007</t>
  </si>
  <si>
    <t>C 07 015</t>
  </si>
  <si>
    <t>VP/1894/002.00</t>
  </si>
  <si>
    <t>C 07 016</t>
  </si>
  <si>
    <t>AM/1894/007.00</t>
  </si>
  <si>
    <t>C 07 017</t>
  </si>
  <si>
    <t>AM/1894/011.00</t>
  </si>
  <si>
    <t>C 07 018</t>
  </si>
  <si>
    <t>C 07 019</t>
  </si>
  <si>
    <t>VP/1811/002.00</t>
  </si>
  <si>
    <t>AM/1811/002.00</t>
  </si>
  <si>
    <t>C 07 020</t>
  </si>
  <si>
    <t>AM/1894/007.01</t>
  </si>
  <si>
    <t>C 07 021</t>
  </si>
  <si>
    <t>AM/1894/011.01</t>
  </si>
  <si>
    <t>C 07 022</t>
  </si>
  <si>
    <t>C 07 023</t>
  </si>
  <si>
    <t>Rev 2 to Rev 3</t>
  </si>
  <si>
    <t>C 07 024</t>
  </si>
  <si>
    <t>C 07 025</t>
  </si>
  <si>
    <t>C 07 026</t>
  </si>
  <si>
    <t>C 07 027</t>
  </si>
  <si>
    <t>VP/1894/003.00</t>
  </si>
  <si>
    <t>VP/1894/004.00</t>
  </si>
  <si>
    <t>C 07 028</t>
  </si>
  <si>
    <t>VP/1894/005.00</t>
  </si>
  <si>
    <t>C 07 029</t>
  </si>
  <si>
    <t>C 07 030</t>
  </si>
  <si>
    <t>SOP E-10</t>
  </si>
  <si>
    <t>BM</t>
  </si>
  <si>
    <t>C 07 031</t>
  </si>
  <si>
    <t>AM/1894/010.01</t>
  </si>
  <si>
    <t>C 07 032</t>
  </si>
  <si>
    <t>AM/1894/012.02</t>
  </si>
  <si>
    <t>AM/1894/012.00</t>
  </si>
  <si>
    <t>AM/1894/008.00</t>
  </si>
  <si>
    <t>AM/1894/010.00</t>
  </si>
  <si>
    <t>AM/1894/012.01</t>
  </si>
  <si>
    <t>C 07 033</t>
  </si>
  <si>
    <t>C 07 034</t>
  </si>
  <si>
    <t>VP/1894/003.01</t>
  </si>
  <si>
    <t>VP/1894/004.01</t>
  </si>
  <si>
    <t>C 07 035</t>
  </si>
  <si>
    <t>C 07 036</t>
  </si>
  <si>
    <t>C 07 037</t>
  </si>
  <si>
    <t>AM/1894/012.03</t>
  </si>
  <si>
    <t>Rev 3 to Rev 4</t>
  </si>
  <si>
    <t>AM/1894/010.02</t>
  </si>
  <si>
    <t>CA/1894/004.00</t>
  </si>
  <si>
    <t>CofA number to CA/1894/006.00</t>
  </si>
  <si>
    <t>SD/1894/005</t>
  </si>
  <si>
    <t>C 07 038</t>
  </si>
  <si>
    <t>AR/1894/008.00</t>
  </si>
  <si>
    <t>AM/1894/011.02</t>
  </si>
  <si>
    <t>C 07 039</t>
  </si>
  <si>
    <t>SD/1894/006.00</t>
  </si>
  <si>
    <t>C 07 040</t>
  </si>
  <si>
    <t>C 07 041</t>
  </si>
  <si>
    <t>C 07 042</t>
  </si>
  <si>
    <t>C 07 043</t>
  </si>
  <si>
    <t>AM/1916/001.00</t>
  </si>
  <si>
    <t>MIG</t>
  </si>
  <si>
    <t>AM/1916/002.00</t>
  </si>
  <si>
    <t xml:space="preserve">MIG </t>
  </si>
  <si>
    <t>C 07 044</t>
  </si>
  <si>
    <t>C 07 045</t>
  </si>
  <si>
    <t>C 07 046</t>
  </si>
  <si>
    <t>C 07 047</t>
  </si>
  <si>
    <t>SD/1916/001.00</t>
  </si>
  <si>
    <t>SD/1916/002.00</t>
  </si>
  <si>
    <t>SD/1916/003.00</t>
  </si>
  <si>
    <t>SD/1916/004.00</t>
  </si>
  <si>
    <t>C 07 048</t>
  </si>
  <si>
    <t>SOP D-10</t>
  </si>
  <si>
    <t>JK</t>
  </si>
  <si>
    <t>C 07 049</t>
  </si>
  <si>
    <t>SOP D-08</t>
  </si>
  <si>
    <t>C 07 050</t>
  </si>
  <si>
    <t>C 07 051</t>
  </si>
  <si>
    <t>SP/2077/001.0</t>
  </si>
  <si>
    <t>SP/2078/001.0</t>
  </si>
  <si>
    <t>C 07 052</t>
  </si>
  <si>
    <t>Rev 0 to Rev1</t>
  </si>
  <si>
    <t>TS</t>
  </si>
  <si>
    <t>C 07 058</t>
  </si>
  <si>
    <t>IM</t>
  </si>
  <si>
    <t>YS</t>
  </si>
  <si>
    <t>C 07 059</t>
  </si>
  <si>
    <t>C 07 060</t>
  </si>
  <si>
    <t>AM/1916/001.01</t>
  </si>
  <si>
    <t>AM/1916/002.01</t>
  </si>
  <si>
    <t>C 07 061</t>
  </si>
  <si>
    <t>CA/2106/001.00</t>
  </si>
  <si>
    <t>C 11 037</t>
  </si>
  <si>
    <t>E-14</t>
  </si>
  <si>
    <t>C 11 038</t>
  </si>
  <si>
    <t>C 11 039</t>
  </si>
  <si>
    <t>E-49</t>
  </si>
  <si>
    <t xml:space="preserve">Rev. 00 to Rev. 01due to sample prep. typo </t>
  </si>
  <si>
    <t>C 11 016</t>
  </si>
  <si>
    <t>C 11 017</t>
  </si>
  <si>
    <t>C 11 018</t>
  </si>
  <si>
    <t>C 11 019</t>
  </si>
  <si>
    <t>E-34 rev.1 to rev.2</t>
  </si>
  <si>
    <t>S-01rev.1 to rev.2</t>
  </si>
  <si>
    <t>C 11 020</t>
  </si>
  <si>
    <t>S-21 rev.1 to rev.2</t>
  </si>
  <si>
    <t>S-10 rev.1 to rev.2</t>
  </si>
  <si>
    <t>S-04 rev.1 to rev.2</t>
  </si>
  <si>
    <t>F-01 rev.1 to rev.2</t>
  </si>
  <si>
    <t>C 11 021</t>
  </si>
  <si>
    <t>C 11 022</t>
  </si>
  <si>
    <t>E-05 rev.3 to rev.4</t>
  </si>
  <si>
    <t>operational changes PK V-Blenders</t>
  </si>
  <si>
    <t>C 11 023</t>
  </si>
  <si>
    <t>new equipment (Tablet Deduster) SOP</t>
  </si>
  <si>
    <t>new CoA number to CA/2106/002.00</t>
  </si>
  <si>
    <t>C 07 062</t>
  </si>
  <si>
    <t>OM</t>
  </si>
  <si>
    <t>C 07 063</t>
  </si>
  <si>
    <t>TM</t>
  </si>
  <si>
    <t>C 07 064</t>
  </si>
  <si>
    <t>Obsolete - move SOP to E#</t>
  </si>
  <si>
    <t>C 07 065</t>
  </si>
  <si>
    <t>C 07 066</t>
  </si>
  <si>
    <t>Rev 0 to1</t>
  </si>
  <si>
    <t>AR/1916/002.00 to AR/1916/002.01</t>
  </si>
  <si>
    <t>AR/1916/001.00 to AR/1916/001.01</t>
  </si>
  <si>
    <t>AM/1916/001.01 to AM/1916/001.02</t>
  </si>
  <si>
    <t>C 07 067</t>
  </si>
  <si>
    <t>C 07 068</t>
  </si>
  <si>
    <t>C 07 069</t>
  </si>
  <si>
    <t xml:space="preserve">AR/1916/002.00 </t>
  </si>
  <si>
    <t xml:space="preserve">AR/1916/001.00 </t>
  </si>
  <si>
    <t xml:space="preserve">AM/1916/001.01 </t>
  </si>
  <si>
    <t>SOP T27</t>
  </si>
  <si>
    <t>SOP T28</t>
  </si>
  <si>
    <t>SOP T-36</t>
  </si>
  <si>
    <t>SOP E13</t>
  </si>
  <si>
    <t>SOP E24</t>
  </si>
  <si>
    <t>C 07 070</t>
  </si>
  <si>
    <t>C 07 071</t>
  </si>
  <si>
    <t>SOP Q-20</t>
  </si>
  <si>
    <t>C 07 072</t>
  </si>
  <si>
    <t>SK</t>
  </si>
  <si>
    <t>C 07 073</t>
  </si>
  <si>
    <t>VP-07-001.0</t>
  </si>
  <si>
    <t xml:space="preserve">Revise protocol to remove chopper and plow RPM references and replace with "Constant Speed". Remove reference for additional blend time following mixer scraping. Add actual swab points used and remove swab point for discharge port. Remove reference to pre-screen HPMC. </t>
  </si>
  <si>
    <t>C 07 074</t>
  </si>
  <si>
    <t>S-07</t>
  </si>
  <si>
    <t>Update format</t>
  </si>
  <si>
    <t>C 07 075</t>
  </si>
  <si>
    <t>C 07 076</t>
  </si>
  <si>
    <t>C 07 077</t>
  </si>
  <si>
    <t>S-15</t>
  </si>
  <si>
    <t>C 07 078</t>
  </si>
  <si>
    <t>S-05</t>
  </si>
  <si>
    <t>S-13</t>
  </si>
  <si>
    <t>C 07 079</t>
  </si>
  <si>
    <t>AM/1894/010.03</t>
  </si>
  <si>
    <t>D-19</t>
  </si>
  <si>
    <t>Re 1 to Rev2</t>
  </si>
  <si>
    <t>DF</t>
  </si>
  <si>
    <t>C 07 080</t>
  </si>
  <si>
    <t>AM/1894/012.04</t>
  </si>
  <si>
    <t>Rev 4 to Rev 5</t>
  </si>
  <si>
    <t>C 07 081</t>
  </si>
  <si>
    <t>C 07 082</t>
  </si>
  <si>
    <t>AM/1894/013.00</t>
  </si>
  <si>
    <t>C 07 083</t>
  </si>
  <si>
    <t>C 07 084</t>
  </si>
  <si>
    <t>CBR-1875-01, CBR-1935-01, CBR 1919-01</t>
  </si>
  <si>
    <t>Creation of universal Cleaning Batch Record for all mixers.</t>
  </si>
  <si>
    <t>C 07 085</t>
  </si>
  <si>
    <t>AM/1916/002.02</t>
  </si>
  <si>
    <t>C 07 086</t>
  </si>
  <si>
    <t>SD/1916/001.01</t>
  </si>
  <si>
    <t>C 07 087</t>
  </si>
  <si>
    <t>C 07 088</t>
  </si>
  <si>
    <t>C 07 089</t>
  </si>
  <si>
    <t>SD/1916/002.01</t>
  </si>
  <si>
    <t>SD/1916/003.02</t>
  </si>
  <si>
    <t>SD/1916/004.01</t>
  </si>
  <si>
    <t>C 07 090</t>
  </si>
  <si>
    <t>SOP E-06</t>
  </si>
  <si>
    <t>Request to obsolete SOP</t>
  </si>
  <si>
    <t>PF</t>
  </si>
  <si>
    <t>C 07 091</t>
  </si>
  <si>
    <t>C 07 092</t>
  </si>
  <si>
    <t>C 07 093</t>
  </si>
  <si>
    <t>E-24</t>
  </si>
  <si>
    <t>E-25</t>
  </si>
  <si>
    <t>C 11 054</t>
  </si>
  <si>
    <t>C 11 055</t>
  </si>
  <si>
    <t>SOP A-02</t>
  </si>
  <si>
    <t>E-26</t>
  </si>
  <si>
    <t>Rev 0 to 1</t>
  </si>
  <si>
    <t>C 07 094</t>
  </si>
  <si>
    <t>VP-07-002.0</t>
  </si>
  <si>
    <t>C 07 095</t>
  </si>
  <si>
    <t>VMP-06-001.1</t>
  </si>
  <si>
    <t>C 07 096</t>
  </si>
  <si>
    <t>FDQ-06-001.0</t>
  </si>
  <si>
    <t>C 07 097</t>
  </si>
  <si>
    <t>MBR 2244</t>
  </si>
  <si>
    <t>C 07 098</t>
  </si>
  <si>
    <t>CV-06-001.0</t>
  </si>
  <si>
    <t>C 07 099</t>
  </si>
  <si>
    <t>C 07 100</t>
  </si>
  <si>
    <t>LM</t>
  </si>
  <si>
    <t>SP/2015/002.00</t>
  </si>
  <si>
    <t>SP/2015/001.00</t>
  </si>
  <si>
    <t>C 07 101</t>
  </si>
  <si>
    <t>SD/1916/005.01</t>
  </si>
  <si>
    <t>DC</t>
  </si>
  <si>
    <t>C 07 102</t>
  </si>
  <si>
    <t>E-16</t>
  </si>
  <si>
    <t>Rev 0</t>
  </si>
  <si>
    <t>SOP T-28 Rev 0 to be made obsolete</t>
  </si>
  <si>
    <t>C 07 103</t>
  </si>
  <si>
    <t>SP/1746/001</t>
  </si>
  <si>
    <t>C 07 104</t>
  </si>
  <si>
    <t>SD/2015/001.00</t>
  </si>
  <si>
    <t>C 07 061a</t>
  </si>
  <si>
    <t>C 07 105</t>
  </si>
  <si>
    <t>C 07 106</t>
  </si>
  <si>
    <t>SOP E-37</t>
  </si>
  <si>
    <t>C 07 107</t>
  </si>
  <si>
    <t>AM/1916/001.02</t>
  </si>
  <si>
    <t>AM/2015/001/00</t>
  </si>
  <si>
    <t>C 07 108</t>
  </si>
  <si>
    <t>C 07 109</t>
  </si>
  <si>
    <t>C 11 015</t>
  </si>
  <si>
    <t>AM/2864/003</t>
  </si>
  <si>
    <t>MBR 1935 135 Kg Rev 0</t>
  </si>
  <si>
    <t>SOP's E-11/Q-17</t>
  </si>
  <si>
    <t>C 07 110</t>
  </si>
  <si>
    <t>SOP E-17</t>
  </si>
  <si>
    <t>RL</t>
  </si>
  <si>
    <t>C 07 111</t>
  </si>
  <si>
    <t>lm</t>
  </si>
  <si>
    <t>as</t>
  </si>
  <si>
    <t>SD/2015/001.01</t>
  </si>
  <si>
    <t>SOP A-05</t>
  </si>
  <si>
    <t>C 07 112</t>
  </si>
  <si>
    <t>C 07 113</t>
  </si>
  <si>
    <t>AM/2078/001.00</t>
  </si>
  <si>
    <t>C 07 114</t>
  </si>
  <si>
    <t>C 07 115</t>
  </si>
  <si>
    <t>AM/2198/002</t>
  </si>
  <si>
    <t>DLC</t>
  </si>
  <si>
    <t>C 07 116</t>
  </si>
  <si>
    <t>SOP D-14</t>
  </si>
  <si>
    <t>PD</t>
  </si>
  <si>
    <t>Complete</t>
  </si>
  <si>
    <t>C 07 117</t>
  </si>
  <si>
    <t>AM/1916/001.03</t>
  </si>
  <si>
    <t>completed</t>
  </si>
  <si>
    <t>C 07 118</t>
  </si>
  <si>
    <t>AM/1746/001</t>
  </si>
  <si>
    <t>C 07 119</t>
  </si>
  <si>
    <t>VP/1746/001</t>
  </si>
  <si>
    <t>Rev. 0 to Rev.1</t>
  </si>
  <si>
    <t>RHW</t>
  </si>
  <si>
    <t>C 07 120</t>
  </si>
  <si>
    <t>C 07 121</t>
  </si>
  <si>
    <t>Rev.1 to Rev. 2</t>
  </si>
  <si>
    <t>C 07 122</t>
  </si>
  <si>
    <t>C 07 123</t>
  </si>
  <si>
    <t>C 07 124</t>
  </si>
  <si>
    <t>C 11 035</t>
  </si>
  <si>
    <t>E-60</t>
  </si>
  <si>
    <t>Obsolete SOP - softeare no longer in-use</t>
  </si>
  <si>
    <t>RT</t>
  </si>
  <si>
    <t>C 11 036</t>
  </si>
  <si>
    <t>T-03</t>
  </si>
  <si>
    <t>Obsolete SOP - all instructions are contained in equipment SOPs</t>
  </si>
  <si>
    <t>SOP E-30</t>
  </si>
  <si>
    <t>C 07 125</t>
  </si>
  <si>
    <t>SOP T-38</t>
  </si>
  <si>
    <t>Rev. 1 to Rev.2</t>
  </si>
  <si>
    <t>C 07 126</t>
  </si>
  <si>
    <t>C 07 127</t>
  </si>
  <si>
    <t>C 07 128</t>
  </si>
  <si>
    <t>AM/2015/001</t>
  </si>
  <si>
    <t>C 07 129</t>
  </si>
  <si>
    <t>AR/2015/003.0</t>
  </si>
  <si>
    <t>C 07 130</t>
  </si>
  <si>
    <t>C 07 131</t>
  </si>
  <si>
    <t>AM/2198/001</t>
  </si>
  <si>
    <t>VP/2198/002</t>
  </si>
  <si>
    <t>C 07 132</t>
  </si>
  <si>
    <t>Rev 1 to 2</t>
  </si>
  <si>
    <t>CH</t>
  </si>
  <si>
    <t>C 07 133</t>
  </si>
  <si>
    <t>SOP A-13</t>
  </si>
  <si>
    <t>C 07 134</t>
  </si>
  <si>
    <t>SP/2015/001.02</t>
  </si>
  <si>
    <t>C 07 135</t>
  </si>
  <si>
    <t>VP/2015/002</t>
  </si>
  <si>
    <t>version /002 to /003</t>
  </si>
  <si>
    <t>hardess tester</t>
  </si>
  <si>
    <t>C 07 136</t>
  </si>
  <si>
    <t>SOP E-24</t>
  </si>
  <si>
    <t>Rev. 0 to 1</t>
  </si>
  <si>
    <t>AG</t>
  </si>
  <si>
    <t>see C 07 136</t>
  </si>
  <si>
    <t>C 07 137</t>
  </si>
  <si>
    <t>AM/1746/003.0</t>
  </si>
  <si>
    <t>C 07 138</t>
  </si>
  <si>
    <t>TG</t>
  </si>
  <si>
    <t>AM/2326/002.00 to AM/2326/002.01</t>
  </si>
  <si>
    <t>C 07 139</t>
  </si>
  <si>
    <t>VP/2326/0002.00</t>
  </si>
  <si>
    <t>C 07 140</t>
  </si>
  <si>
    <t>SOP T-14</t>
  </si>
  <si>
    <t>C 07 141</t>
  </si>
  <si>
    <t>C 07 142</t>
  </si>
  <si>
    <t>SOP T-10</t>
  </si>
  <si>
    <t>C 07 143</t>
  </si>
  <si>
    <t>SOP T-18</t>
  </si>
  <si>
    <t>SOP T-30</t>
  </si>
  <si>
    <t>C 07 144</t>
  </si>
  <si>
    <t>C 07 145</t>
  </si>
  <si>
    <t>SOP E-59</t>
  </si>
  <si>
    <t>AD</t>
  </si>
  <si>
    <t>C 07 146</t>
  </si>
  <si>
    <t>Rev. 0 to 1 Add description to appearance test</t>
  </si>
  <si>
    <t>C 07 147</t>
  </si>
  <si>
    <t>AM/1746/002.00</t>
  </si>
  <si>
    <t>C 07 148</t>
  </si>
  <si>
    <t>C 07 149</t>
  </si>
  <si>
    <t>AM/1746/001.03</t>
  </si>
  <si>
    <t>C 07 150</t>
  </si>
  <si>
    <t>AM/1746/003.01</t>
  </si>
  <si>
    <t>C 07 151</t>
  </si>
  <si>
    <t>C 07 152</t>
  </si>
  <si>
    <t>SD/2326/002.00</t>
  </si>
  <si>
    <t>SD/2326/001.00</t>
  </si>
  <si>
    <t>C 07 153</t>
  </si>
  <si>
    <t>C 07 154</t>
  </si>
  <si>
    <t>Rev. 1 to Rev 2</t>
  </si>
  <si>
    <t>C 07 155</t>
  </si>
  <si>
    <t>SOP Q-14</t>
  </si>
  <si>
    <t>C 07 156</t>
  </si>
  <si>
    <t>SOP Q-15</t>
  </si>
  <si>
    <t>C 07 157</t>
  </si>
  <si>
    <t>SOP T-50</t>
  </si>
  <si>
    <t>Change Control Log - 2008</t>
  </si>
  <si>
    <t>END 2007 CHANGE CONTROLS</t>
  </si>
  <si>
    <t>C 08 001</t>
  </si>
  <si>
    <t>SP/2395/002.00</t>
  </si>
  <si>
    <t>rev 00 to 01</t>
  </si>
  <si>
    <t>C 08 002</t>
  </si>
  <si>
    <t>SP/2395/001.00</t>
  </si>
  <si>
    <t>C 08 003</t>
  </si>
  <si>
    <t>CV-06-001</t>
  </si>
  <si>
    <t xml:space="preserve">Rev 1.1 to 1.2 </t>
  </si>
  <si>
    <t>C 08 004</t>
  </si>
  <si>
    <t>C 08 005</t>
  </si>
  <si>
    <t>SD/2015/001.02</t>
  </si>
  <si>
    <t>C 08 006</t>
  </si>
  <si>
    <t>C 08 007</t>
  </si>
  <si>
    <t>Rev 0 to rev 1</t>
  </si>
  <si>
    <t>C 08 008</t>
  </si>
  <si>
    <t>AM/1746/003.02</t>
  </si>
  <si>
    <t>SD/2015/001.03</t>
  </si>
  <si>
    <t>SOP T-11</t>
  </si>
  <si>
    <t>C 08 009</t>
  </si>
  <si>
    <t>SD/2326/002</t>
  </si>
  <si>
    <t>SD/2326/001</t>
  </si>
  <si>
    <t>C 08 010</t>
  </si>
  <si>
    <t>VP/1746/002</t>
  </si>
  <si>
    <t>C 08 011</t>
  </si>
  <si>
    <t>Labwatch monitoring Q'n</t>
  </si>
  <si>
    <t>addition of sensors, etc.</t>
  </si>
  <si>
    <t>C 08 012</t>
  </si>
  <si>
    <t>C 08 013</t>
  </si>
  <si>
    <t>C 08 014</t>
  </si>
  <si>
    <t>C 08 015</t>
  </si>
  <si>
    <t>rev 4 to rev 5</t>
  </si>
  <si>
    <t>C 08 016</t>
  </si>
  <si>
    <t>C 08 017</t>
  </si>
  <si>
    <t>C 08 018</t>
  </si>
  <si>
    <t>C 08 019</t>
  </si>
  <si>
    <t>C 08 020</t>
  </si>
  <si>
    <t>SP/2275/001.00</t>
  </si>
  <si>
    <t>SD/1916.001.02</t>
  </si>
  <si>
    <t>SD/1916.002.02</t>
  </si>
  <si>
    <t>SD/1916/003.03</t>
  </si>
  <si>
    <t>SD/1916/004.02</t>
  </si>
  <si>
    <t>C 08 021</t>
  </si>
  <si>
    <t>Rev 1 to rev 2</t>
  </si>
  <si>
    <t>SP/2326/001.01</t>
  </si>
  <si>
    <t>SP/2326/001.00</t>
  </si>
  <si>
    <t>C 08 022</t>
  </si>
  <si>
    <t>C 08 023</t>
  </si>
  <si>
    <t>SD/2326/003.01</t>
  </si>
  <si>
    <t>Rev. 1 to Rev. 2</t>
  </si>
  <si>
    <t>C 08 024</t>
  </si>
  <si>
    <t>SOP T-06</t>
  </si>
  <si>
    <t>C 08 025</t>
  </si>
  <si>
    <t>SD/1811/001.00</t>
  </si>
  <si>
    <t>Rev.0 to Rev. 1</t>
  </si>
  <si>
    <t>C 08 026</t>
  </si>
  <si>
    <t>AM/1916/001.04</t>
  </si>
  <si>
    <t>Rev. 04 to Rev. 05</t>
  </si>
  <si>
    <t>C 08 027</t>
  </si>
  <si>
    <t>AM/1746/003.03</t>
  </si>
  <si>
    <t>C 08 028</t>
  </si>
  <si>
    <t>AM/1746/002.02</t>
  </si>
  <si>
    <t>C 08 029</t>
  </si>
  <si>
    <t>C 08 030</t>
  </si>
  <si>
    <t>C 11 046</t>
  </si>
  <si>
    <t>PS/3170/003.0</t>
  </si>
  <si>
    <t>Release spec. to reflect changes in the product</t>
  </si>
  <si>
    <t>VP/1746/002.01</t>
  </si>
  <si>
    <t>VP/1746/003.00</t>
  </si>
  <si>
    <t>C 08 031</t>
  </si>
  <si>
    <t>SOP D-05</t>
  </si>
  <si>
    <t>SR</t>
  </si>
  <si>
    <t>C 08 032</t>
  </si>
  <si>
    <t>SD/2326/004.00</t>
  </si>
  <si>
    <t>C 08 033</t>
  </si>
  <si>
    <t>SOP E-40</t>
  </si>
  <si>
    <t>C 08 034</t>
  </si>
  <si>
    <t>SD/2326/004.01</t>
  </si>
  <si>
    <t>C 08 035</t>
  </si>
  <si>
    <t>C 08 036</t>
  </si>
  <si>
    <t>C 08 037</t>
  </si>
  <si>
    <t>C 08 038</t>
  </si>
  <si>
    <t>SOP E-08</t>
  </si>
  <si>
    <t>JL</t>
  </si>
  <si>
    <t>C 08 039</t>
  </si>
  <si>
    <t>CA/2326/001</t>
  </si>
  <si>
    <t>new doc number to CA/2326/002</t>
  </si>
  <si>
    <t>Note: doc # incorrect see CC 08 005</t>
  </si>
  <si>
    <t>Rev. 2 to Rev. 3</t>
  </si>
  <si>
    <t xml:space="preserve">note: inadvertant doc # mixup; </t>
  </si>
  <si>
    <t>C 08 040</t>
  </si>
  <si>
    <t xml:space="preserve">Various BR Format Revisions </t>
  </si>
  <si>
    <t>Format Changes from Original BR's</t>
  </si>
  <si>
    <t>C 08 041</t>
  </si>
  <si>
    <t>Add corrective actions from I 08 010</t>
  </si>
  <si>
    <t>MBR 1935 MBR 2125</t>
  </si>
  <si>
    <t>C 08 042</t>
  </si>
  <si>
    <t>LB</t>
  </si>
  <si>
    <t>Update method for clarity</t>
  </si>
  <si>
    <t>C 08 043</t>
  </si>
  <si>
    <t>CC</t>
  </si>
  <si>
    <t>AM/2198/002.01</t>
  </si>
  <si>
    <t>Disso update rev 1 to rev 2</t>
  </si>
  <si>
    <t>Completed</t>
  </si>
  <si>
    <t>Not used, combined under C 08 035</t>
  </si>
  <si>
    <t>C 08 044</t>
  </si>
  <si>
    <t>C 08 045</t>
  </si>
  <si>
    <t>E-20</t>
  </si>
  <si>
    <t>E-21</t>
  </si>
  <si>
    <t>DM</t>
  </si>
  <si>
    <t>C 08 047</t>
  </si>
  <si>
    <t>C 08 046</t>
  </si>
  <si>
    <t>update 5mg spec doc to meet contract lab</t>
  </si>
  <si>
    <t>update 25mg spec doc to meet contract lab</t>
  </si>
  <si>
    <t>C 08 048</t>
  </si>
  <si>
    <t>New SOP for Water press</t>
  </si>
  <si>
    <t>New SOP for Water Press</t>
  </si>
  <si>
    <t>update 100mg spec doc to meet contract lab</t>
  </si>
  <si>
    <t>SD/2326/001.05</t>
  </si>
  <si>
    <t>C 11 032</t>
  </si>
  <si>
    <t>E-10</t>
  </si>
  <si>
    <t>C 11 033</t>
  </si>
  <si>
    <t>C 11 034</t>
  </si>
  <si>
    <t>E-13</t>
  </si>
  <si>
    <t>SD/2326/002.05</t>
  </si>
  <si>
    <t>C 11 052</t>
  </si>
  <si>
    <t>SOP A-06</t>
  </si>
  <si>
    <t>JI</t>
  </si>
  <si>
    <t>C 11 053</t>
  </si>
  <si>
    <t>SD/2326/004.02</t>
  </si>
  <si>
    <t>C 08 049</t>
  </si>
  <si>
    <t>SOP S-18</t>
  </si>
  <si>
    <t>C 08 050</t>
  </si>
  <si>
    <t>SOP Q-22</t>
  </si>
  <si>
    <t>C 08 051</t>
  </si>
  <si>
    <t>CA/2326/003</t>
  </si>
  <si>
    <t>update COA from 003 to 005</t>
  </si>
  <si>
    <t>C 08 052</t>
  </si>
  <si>
    <t>CA/2326/004</t>
  </si>
  <si>
    <t>update COA from 004 to 006</t>
  </si>
  <si>
    <t>C 11 012</t>
  </si>
  <si>
    <t>SR/3028/001.00 -SR/3028/005.00</t>
  </si>
  <si>
    <t>C 11 013</t>
  </si>
  <si>
    <t>CA/3028/001.00 - CA/3028/002.0</t>
  </si>
  <si>
    <t>Disso Test Results evaluation due to Excel spreadsheet error</t>
  </si>
  <si>
    <t>C 11 014</t>
  </si>
  <si>
    <t>AR/3028/002.00</t>
  </si>
  <si>
    <t xml:space="preserve">Disso AM Validation Report change due to Excel spreadsheet error </t>
  </si>
  <si>
    <t>C 08 053</t>
  </si>
  <si>
    <t>CA/2326/006</t>
  </si>
  <si>
    <t>update COA from 006 to 007</t>
  </si>
  <si>
    <t>C 08 054</t>
  </si>
  <si>
    <t>CA/2326/005,CA/2326/007</t>
  </si>
  <si>
    <t>update COA from 005 to 008, 007 to 009</t>
  </si>
  <si>
    <t>SD/2326/001.06,SD/2326/002.06</t>
  </si>
  <si>
    <t>spec doc from 001.06, 002.06 to 001.07, 002.07</t>
  </si>
  <si>
    <t>C 08 055</t>
  </si>
  <si>
    <t>C 08 056</t>
  </si>
  <si>
    <t xml:space="preserve">SOP T-06 </t>
  </si>
  <si>
    <t xml:space="preserve">SR </t>
  </si>
  <si>
    <t>TRM</t>
  </si>
  <si>
    <t>Udpated and corrected SOP (Karl Fisher)</t>
  </si>
  <si>
    <t>C 08 057</t>
  </si>
  <si>
    <t>AM/1746/002.03</t>
  </si>
  <si>
    <t>Rev 3 to rev 4</t>
  </si>
  <si>
    <t>RK</t>
  </si>
  <si>
    <t>Cancelled</t>
  </si>
  <si>
    <t>C 08 058</t>
  </si>
  <si>
    <t>CA/2326/008 and CA/2326/009</t>
  </si>
  <si>
    <t>update to CA/2326/010 and CA/2326/011</t>
  </si>
  <si>
    <t>C 08 059</t>
  </si>
  <si>
    <t>SD/2198/001.00</t>
  </si>
  <si>
    <t>C 08 060</t>
  </si>
  <si>
    <t>AM/1746/003.04</t>
  </si>
  <si>
    <t>rev 04 to 05</t>
  </si>
  <si>
    <t>AM/1811/001.00</t>
  </si>
  <si>
    <t>C 08 061</t>
  </si>
  <si>
    <t>C 08 062</t>
  </si>
  <si>
    <t xml:space="preserve">CA/2326/005.00 5mg, CA/2326/007.00 25mg, CA/2326/0010.00 100mg {L}, CA/2326/0011.00 100mg {R} and SD/2326/001.06 5mg, SD/2326/002.06 25mg, SD/2326/004.03 100mg </t>
  </si>
  <si>
    <t xml:space="preserve"> Revised to:  CA/2326/0013.00 5mg, CA/2326/0012.00 25mg, CA/2326/0014.00 100mg {L}, CA/2326/0015.00 100mg {R} and SD/2326/001.07 5mg, SD/2326/002.07 25mg, SD/2326/004.04 100mg </t>
  </si>
  <si>
    <t>C 08 063</t>
  </si>
  <si>
    <t>AM/1811/002.01</t>
  </si>
  <si>
    <t>d</t>
  </si>
  <si>
    <t>C 08 064</t>
  </si>
  <si>
    <t>biennial review/Rev 0 to1</t>
  </si>
  <si>
    <t>C 08 065</t>
  </si>
  <si>
    <t>SD/2198/001.01</t>
  </si>
  <si>
    <t>C 08 066</t>
  </si>
  <si>
    <t>AM/2326/001.00</t>
  </si>
  <si>
    <t>C 08 067</t>
  </si>
  <si>
    <t>SOP Q-05</t>
  </si>
  <si>
    <t>C 08 068</t>
  </si>
  <si>
    <t xml:space="preserve">SOP F -01 </t>
  </si>
  <si>
    <t>C 08 069</t>
  </si>
  <si>
    <t>SOPs Q-17 and E-11</t>
  </si>
  <si>
    <t>C 08 070</t>
  </si>
  <si>
    <t>SP/2326/001.00 and SP/2326/002.00</t>
  </si>
  <si>
    <t>C 08 071</t>
  </si>
  <si>
    <t>SOP M-02</t>
  </si>
  <si>
    <t>Rev.0 to rev. 1</t>
  </si>
  <si>
    <t>C 08 072</t>
  </si>
  <si>
    <t>Rev. 4 to rev 5</t>
  </si>
  <si>
    <t>C 08 073</t>
  </si>
  <si>
    <t>SOP Q-12</t>
  </si>
  <si>
    <t>Rev. 0 to rev. 1</t>
  </si>
  <si>
    <t>AM/1746/002.04</t>
  </si>
  <si>
    <t>AM/1746.003.05</t>
  </si>
  <si>
    <t>Rev. 05 to 06</t>
  </si>
  <si>
    <t>C 08 074</t>
  </si>
  <si>
    <t>C 08 075</t>
  </si>
  <si>
    <t>AM/1746.004.00</t>
  </si>
  <si>
    <t>C 08 076</t>
  </si>
  <si>
    <t>SOP Q-19</t>
  </si>
  <si>
    <t>C 08 077</t>
  </si>
  <si>
    <t>SP/1746/009.00</t>
  </si>
  <si>
    <t>C 08 078</t>
  </si>
  <si>
    <t>AM/1746/002.05</t>
  </si>
  <si>
    <t>C 08 079</t>
  </si>
  <si>
    <t>AM/1746/003.06</t>
  </si>
  <si>
    <t>Rev. 06 to 07</t>
  </si>
  <si>
    <t>C08 080</t>
  </si>
  <si>
    <t>SOP F-02</t>
  </si>
  <si>
    <t>C 08 081</t>
  </si>
  <si>
    <t>SOP S-06</t>
  </si>
  <si>
    <t>C 08 082</t>
  </si>
  <si>
    <t>SOP S-10</t>
  </si>
  <si>
    <t>C 11 008</t>
  </si>
  <si>
    <t>C 11 009</t>
  </si>
  <si>
    <t>S-06</t>
  </si>
  <si>
    <t>C 11 010</t>
  </si>
  <si>
    <t>C 11 011</t>
  </si>
  <si>
    <t>C 08 083</t>
  </si>
  <si>
    <t>SOP S-19</t>
  </si>
  <si>
    <t xml:space="preserve">SK </t>
  </si>
  <si>
    <t>C 08 084</t>
  </si>
  <si>
    <t>SOP S-20</t>
  </si>
  <si>
    <t>C 08 085</t>
  </si>
  <si>
    <t>SOP S-16</t>
  </si>
  <si>
    <t>C 08 086</t>
  </si>
  <si>
    <t>C 08 087</t>
  </si>
  <si>
    <t>SOP T-03</t>
  </si>
  <si>
    <t>SOPs T-02, E-60, E-07</t>
  </si>
  <si>
    <t>C 08 088</t>
  </si>
  <si>
    <t>Various ISP MBR Revisions</t>
  </si>
  <si>
    <t>Rev Changes for Format Upgrades Only</t>
  </si>
  <si>
    <t>C 08 089</t>
  </si>
  <si>
    <t>SOP S-13</t>
  </si>
  <si>
    <t>C 08 090</t>
  </si>
  <si>
    <t>SOP S-07</t>
  </si>
  <si>
    <t>N/A</t>
  </si>
  <si>
    <t>C 08 091</t>
  </si>
  <si>
    <t>C 08 092</t>
  </si>
  <si>
    <t>Plasacryl BR#P001 Rev 1 to Rev 2</t>
  </si>
  <si>
    <t>Additional Fill Chart page, removal of Dir. Of tech. Services sign-off.</t>
  </si>
  <si>
    <t>RG</t>
  </si>
  <si>
    <t>C 08 093</t>
  </si>
  <si>
    <t>SOP S-01</t>
  </si>
  <si>
    <t>C 08 094</t>
  </si>
  <si>
    <t>SOP S-02</t>
  </si>
  <si>
    <t>C 08 095</t>
  </si>
  <si>
    <t>SOP S-03</t>
  </si>
  <si>
    <t>C 08 096</t>
  </si>
  <si>
    <t>SOP F-05</t>
  </si>
  <si>
    <t>C 08 097</t>
  </si>
  <si>
    <t>SOP E-15</t>
  </si>
  <si>
    <t>MSM</t>
  </si>
  <si>
    <t>C 08 098</t>
  </si>
  <si>
    <t>AM/2015.001.02</t>
  </si>
  <si>
    <t>New facility monitoring system, update SOP rev. 1 to 2</t>
  </si>
  <si>
    <t>SOP T-27 Rev 0 to be made obsolete</t>
  </si>
  <si>
    <t>C 08 099</t>
  </si>
  <si>
    <t>SOP T-37</t>
  </si>
  <si>
    <t>Rev. 0 to Rev. 1</t>
  </si>
  <si>
    <t xml:space="preserve">CH </t>
  </si>
  <si>
    <t>C 08 100</t>
  </si>
  <si>
    <t>Obsolescence</t>
  </si>
  <si>
    <t>C 08 101</t>
  </si>
  <si>
    <t>C 08 102</t>
  </si>
  <si>
    <t>RHK</t>
  </si>
  <si>
    <t>AM/1746/004.01</t>
  </si>
  <si>
    <t>C 08 103</t>
  </si>
  <si>
    <t>AM/1746/003.07</t>
  </si>
  <si>
    <t>Rev 7 to Rev 8</t>
  </si>
  <si>
    <t>cancelled</t>
  </si>
  <si>
    <t xml:space="preserve">T-02 rev.0 to rev 1, E-60 rev. 0, E-07 rev 0 to rev 1 </t>
  </si>
  <si>
    <t>C 08 104</t>
  </si>
  <si>
    <t>SOP F-03</t>
  </si>
  <si>
    <t>addtional information for document</t>
  </si>
  <si>
    <t>C 08 105</t>
  </si>
  <si>
    <t>SD/1746/001.00</t>
  </si>
  <si>
    <t>C 08 106</t>
  </si>
  <si>
    <t>SD/1746/002.00</t>
  </si>
  <si>
    <t>C 08 107</t>
  </si>
  <si>
    <t>SD/2015/001.04</t>
  </si>
  <si>
    <t>LW</t>
  </si>
  <si>
    <t>C 08 108</t>
  </si>
  <si>
    <t>C 08 109</t>
  </si>
  <si>
    <t xml:space="preserve">SOP T-38 </t>
  </si>
  <si>
    <t>obsolete</t>
  </si>
  <si>
    <t>C 08 110</t>
  </si>
  <si>
    <t>HX</t>
  </si>
  <si>
    <t>C 08 111</t>
  </si>
  <si>
    <t>C 08 112</t>
  </si>
  <si>
    <t>SD/2534/003.00</t>
  </si>
  <si>
    <t>C 08 113</t>
  </si>
  <si>
    <t>SD/2534/001.00</t>
  </si>
  <si>
    <t>C 08 114</t>
  </si>
  <si>
    <t>SD/2534/002.00</t>
  </si>
  <si>
    <t>C 08 115</t>
  </si>
  <si>
    <t>SD/1811/001.01</t>
  </si>
  <si>
    <t xml:space="preserve">AS </t>
  </si>
  <si>
    <t>C 08 116</t>
  </si>
  <si>
    <t>SP/2588/001.00</t>
  </si>
  <si>
    <t>MR</t>
  </si>
  <si>
    <t>C 08 117</t>
  </si>
  <si>
    <t>SP/2534/007.00</t>
  </si>
  <si>
    <t>C 08 118</t>
  </si>
  <si>
    <t>SP/2588/002.00</t>
  </si>
  <si>
    <t>SP/2588/003.00</t>
  </si>
  <si>
    <t>C 08 120</t>
  </si>
  <si>
    <t>SP/2588/004.00</t>
  </si>
  <si>
    <t>C 08 119</t>
  </si>
  <si>
    <t>SOP T-13</t>
  </si>
  <si>
    <t>C 08 121</t>
  </si>
  <si>
    <t>AM/2534/001.01</t>
  </si>
  <si>
    <t>AM/2534/002.01</t>
  </si>
  <si>
    <t>C 08 122</t>
  </si>
  <si>
    <t>C 08 123</t>
  </si>
  <si>
    <t>AM/1746/004.02</t>
  </si>
  <si>
    <t>C 08 124</t>
  </si>
  <si>
    <t>SD/2326/003.03</t>
  </si>
  <si>
    <t>C 08 125</t>
  </si>
  <si>
    <t xml:space="preserve">SOP Q-05 </t>
  </si>
  <si>
    <t>C 08 126</t>
  </si>
  <si>
    <t>C 08 127</t>
  </si>
  <si>
    <t>SOP E-13</t>
  </si>
  <si>
    <t>C 08 128</t>
  </si>
  <si>
    <t>C 08 129</t>
  </si>
  <si>
    <t>Create SOP transport between malvern and norristown</t>
  </si>
  <si>
    <t>C 08 130</t>
  </si>
  <si>
    <t>SOP A-19</t>
  </si>
  <si>
    <t>By</t>
  </si>
  <si>
    <t>C 08 131</t>
  </si>
  <si>
    <t>C 08 132</t>
  </si>
  <si>
    <t>SD/2418/001.00</t>
  </si>
  <si>
    <t>C 08 133</t>
  </si>
  <si>
    <t>SD/2418/002.00</t>
  </si>
  <si>
    <t>C 08 134</t>
  </si>
  <si>
    <t>SOP A-17</t>
  </si>
  <si>
    <t>C 08 135</t>
  </si>
  <si>
    <t>SOP A-15</t>
  </si>
  <si>
    <t>C 08 136</t>
  </si>
  <si>
    <t>SOP A-16</t>
  </si>
  <si>
    <t xml:space="preserve"> C 08 137</t>
  </si>
  <si>
    <t>SD/2575/002.00</t>
  </si>
  <si>
    <t>C 11 051</t>
  </si>
  <si>
    <t>Biennual review</t>
  </si>
  <si>
    <t>C 08 138</t>
  </si>
  <si>
    <t>SD/2575/001.00</t>
  </si>
  <si>
    <t>C 08 139</t>
  </si>
  <si>
    <t>CA/2326/014.00</t>
  </si>
  <si>
    <t>update COA to CA/2472/001.00</t>
  </si>
  <si>
    <t>C 08 140</t>
  </si>
  <si>
    <t>CA/2572/001.00</t>
  </si>
  <si>
    <t>C 08 141</t>
  </si>
  <si>
    <t>CA/2326/001.00</t>
  </si>
  <si>
    <t>update COA to CA/2326/017.00</t>
  </si>
  <si>
    <t>C 08 142</t>
  </si>
  <si>
    <t>CA/2326/016.00</t>
  </si>
  <si>
    <t>update COA to CA/2568/001.00</t>
  </si>
  <si>
    <t xml:space="preserve">C 08 143 </t>
  </si>
  <si>
    <t>CA/2418/003.00</t>
  </si>
  <si>
    <t>update COA to CA/2418/004.00</t>
  </si>
  <si>
    <t>C 08 144</t>
  </si>
  <si>
    <t>SP/2534/008.00</t>
  </si>
  <si>
    <t>update COA to CA/2572/003.00</t>
  </si>
  <si>
    <t>C 08 145</t>
  </si>
  <si>
    <t>CA/2572/002.00</t>
  </si>
  <si>
    <t>update COA to CA/2572/004.00</t>
  </si>
  <si>
    <t>C 08 146</t>
  </si>
  <si>
    <t>CA/2604/001.00</t>
  </si>
  <si>
    <t>update COA to CA/2604/002.00</t>
  </si>
  <si>
    <t>note: refer to investigation I 08 039 SR 9/15/08</t>
  </si>
  <si>
    <t>C 08 147</t>
  </si>
  <si>
    <t>C 08 148</t>
  </si>
  <si>
    <t>FF</t>
  </si>
  <si>
    <t>SOP Q-08</t>
  </si>
  <si>
    <t>C 08 149</t>
  </si>
  <si>
    <t>Rev.2 to Rev. 3</t>
  </si>
  <si>
    <t>C 08 150</t>
  </si>
  <si>
    <t>C 08 151</t>
  </si>
  <si>
    <t>SOP E-25</t>
  </si>
  <si>
    <t xml:space="preserve"> 9/18/2008</t>
  </si>
  <si>
    <t>C 08 152</t>
  </si>
  <si>
    <t>C 08 153</t>
  </si>
  <si>
    <t>SOP A-03, A-07, A-20, A-24</t>
  </si>
  <si>
    <t>C 08 154</t>
  </si>
  <si>
    <t>MF/2568/001.00</t>
  </si>
  <si>
    <t>C 08 155</t>
  </si>
  <si>
    <t>MF/2326/003.00</t>
  </si>
  <si>
    <t>SOP D-17</t>
  </si>
  <si>
    <t>C 08 156</t>
  </si>
  <si>
    <t>C 08 157</t>
  </si>
  <si>
    <t>MF/2326/003.01</t>
  </si>
  <si>
    <t>MF/2568/001.01</t>
  </si>
  <si>
    <t>C 08 158</t>
  </si>
  <si>
    <t xml:space="preserve">New SOP </t>
  </si>
  <si>
    <t>new SOP number for controlled substances at Malvern</t>
  </si>
  <si>
    <t xml:space="preserve">New SOP Q-11 </t>
  </si>
  <si>
    <t>Obsolete R-4 and R-8</t>
  </si>
  <si>
    <t>C 08 159</t>
  </si>
  <si>
    <t>New SOP F-17</t>
  </si>
  <si>
    <t>New SOP for AHU-1</t>
  </si>
  <si>
    <t>C 08 160</t>
  </si>
  <si>
    <t>SD/2575/002.01</t>
  </si>
  <si>
    <t>C 08 161</t>
  </si>
  <si>
    <t>SD/2568/001.00</t>
  </si>
  <si>
    <t>C 08 162</t>
  </si>
  <si>
    <t>SD/2418/001.01</t>
  </si>
  <si>
    <t>C 08 163</t>
  </si>
  <si>
    <t>SD/2326/001.07</t>
  </si>
  <si>
    <t>C 08 164</t>
  </si>
  <si>
    <t>CA/2326/013.00</t>
  </si>
  <si>
    <t>update COA to CA/2326/018.00</t>
  </si>
  <si>
    <t>C 08 165</t>
  </si>
  <si>
    <t>New SOP T-12</t>
  </si>
  <si>
    <t>SOP T-19</t>
  </si>
  <si>
    <t>Not made effective</t>
  </si>
  <si>
    <t>C 08 166</t>
  </si>
  <si>
    <t>C 08 167</t>
  </si>
  <si>
    <t>New SOP</t>
  </si>
  <si>
    <t>new SOP number for analytical lab NB use</t>
  </si>
  <si>
    <t>C 08 168</t>
  </si>
  <si>
    <t>New SOP number for Analytical data report/review</t>
  </si>
  <si>
    <t>C 08 169</t>
  </si>
  <si>
    <t>SOP Q-13</t>
  </si>
  <si>
    <t>C 08 170</t>
  </si>
  <si>
    <t>SOP S-04</t>
  </si>
  <si>
    <t>C 08 171</t>
  </si>
  <si>
    <t>SOP E-23</t>
  </si>
  <si>
    <t>C 08 172</t>
  </si>
  <si>
    <t>C 11 031</t>
  </si>
  <si>
    <t>Security F-02</t>
  </si>
  <si>
    <t>new SOP number for Analytical Methods</t>
  </si>
  <si>
    <t>clarify CTM release and addf ingredients release</t>
  </si>
  <si>
    <t>C 11 045</t>
  </si>
  <si>
    <t>Revise Korsh tablet press SOP to add descriptions and more specific instructions for tooling installation and visual inspection. Rev. 3 to rev. 4.  See CAPA 11-006</t>
  </si>
  <si>
    <t>E-59</t>
  </si>
  <si>
    <t>C 08 173</t>
  </si>
  <si>
    <t>CU</t>
  </si>
  <si>
    <t>C 08 174</t>
  </si>
  <si>
    <t>New SOP E-18</t>
  </si>
  <si>
    <t>Vorti-Siv SOP</t>
  </si>
  <si>
    <t>C 08 175</t>
  </si>
  <si>
    <t>C 08 176</t>
  </si>
  <si>
    <t>SOP D-20</t>
  </si>
  <si>
    <t>C 08 177</t>
  </si>
  <si>
    <t>New SOP for tablet counter</t>
  </si>
  <si>
    <t>SOP E-51</t>
  </si>
  <si>
    <t>C 08 178</t>
  </si>
  <si>
    <t>SOP E-12</t>
  </si>
  <si>
    <t>MM</t>
  </si>
  <si>
    <t>C 08 179</t>
  </si>
  <si>
    <t>SOP F-07</t>
  </si>
  <si>
    <t>C 08 180</t>
  </si>
  <si>
    <t>C 08 181</t>
  </si>
  <si>
    <t>SD/2534/001.01 and SD/2534/002.01</t>
  </si>
  <si>
    <t>C 08 182</t>
  </si>
  <si>
    <t>SOP A-11</t>
  </si>
  <si>
    <t>C 08 183</t>
  </si>
  <si>
    <t>SOP T-46</t>
  </si>
  <si>
    <t>C 08 184</t>
  </si>
  <si>
    <t>SOP E-26</t>
  </si>
  <si>
    <t>C 08 185</t>
  </si>
  <si>
    <t>SOP T-08</t>
  </si>
  <si>
    <t xml:space="preserve"> Rev 0 to rev 1</t>
  </si>
  <si>
    <t>C 08 186</t>
  </si>
  <si>
    <t>SD/2418/001.02</t>
  </si>
  <si>
    <t>C 08 187</t>
  </si>
  <si>
    <t>SD/2472/001.01</t>
  </si>
  <si>
    <t>C 08 188</t>
  </si>
  <si>
    <t>SD/2575/002.02</t>
  </si>
  <si>
    <t>C 08 189</t>
  </si>
  <si>
    <t>SD/2568/001.01</t>
  </si>
  <si>
    <t>C 08 190</t>
  </si>
  <si>
    <t>SOP E35, T-37</t>
  </si>
  <si>
    <t>Merger</t>
  </si>
  <si>
    <t>Rev 0 to Rev 1, Obsolete E-28 &amp; E-36</t>
  </si>
  <si>
    <t>SOP E-32, E-28, E-36</t>
  </si>
  <si>
    <t>C 08 191</t>
  </si>
  <si>
    <t>SOP E-03</t>
  </si>
  <si>
    <t>C 08 192</t>
  </si>
  <si>
    <t>SOP T-49</t>
  </si>
  <si>
    <t>Rev 0 to rev 1; Move to E-09</t>
  </si>
  <si>
    <t>see C 08 150</t>
  </si>
  <si>
    <t xml:space="preserve">Convert to a QA SOP Q-09 and revise, Osolete M-02 </t>
  </si>
  <si>
    <t>C 08 193</t>
  </si>
  <si>
    <t>C 08 194</t>
  </si>
  <si>
    <t>SOP S-12</t>
  </si>
  <si>
    <t>C 08 195</t>
  </si>
  <si>
    <t>SOP R-01, R-03</t>
  </si>
  <si>
    <t>C 08 196</t>
  </si>
  <si>
    <t>SOP Q-06</t>
  </si>
  <si>
    <t>New SOP A-21</t>
  </si>
  <si>
    <t>C 08 197</t>
  </si>
  <si>
    <t>New SOP A-26</t>
  </si>
  <si>
    <t>Analytical Purchase Orders</t>
  </si>
  <si>
    <t>C 08 198</t>
  </si>
  <si>
    <t>SOP A-01</t>
  </si>
  <si>
    <t>C 08 199</t>
  </si>
  <si>
    <t>New SOP A-18</t>
  </si>
  <si>
    <t xml:space="preserve">Distek Autosampler </t>
  </si>
  <si>
    <t>C 08 200</t>
  </si>
  <si>
    <t>rev 0 to rev 1</t>
  </si>
  <si>
    <t>C 08 201</t>
  </si>
  <si>
    <t>Centrifuge Operation</t>
  </si>
  <si>
    <t>New SOP A-06</t>
  </si>
  <si>
    <t>C 08 202</t>
  </si>
  <si>
    <t>SOP A-08</t>
  </si>
  <si>
    <t>C 08 203</t>
  </si>
  <si>
    <t xml:space="preserve"> C 11 007</t>
  </si>
  <si>
    <t>Revise plasacryl batch record BR-P001 to reflect realistic batch yields base on target fill weights.</t>
  </si>
  <si>
    <t>Batch record BR-P001 rev. 5</t>
  </si>
  <si>
    <t>New SOP A-09</t>
  </si>
  <si>
    <t>Analytical Verification</t>
  </si>
  <si>
    <t>C 08 204</t>
  </si>
  <si>
    <t>SOP A-14</t>
  </si>
  <si>
    <t>C 08 205</t>
  </si>
  <si>
    <t>C 08 206</t>
  </si>
  <si>
    <t>New SOP A-27</t>
  </si>
  <si>
    <t>EZChrome Operation</t>
  </si>
  <si>
    <t>C 08 207</t>
  </si>
  <si>
    <t>Mettler Toledo pH meter</t>
  </si>
  <si>
    <t>C 08 208</t>
  </si>
  <si>
    <t>Receipt of Reference Standards</t>
  </si>
  <si>
    <t>C 08 209</t>
  </si>
  <si>
    <t>Receiving RM and Reagents at Malvern</t>
  </si>
  <si>
    <t>C 08 210</t>
  </si>
  <si>
    <t>C 08 211</t>
  </si>
  <si>
    <t>C 08 212</t>
  </si>
  <si>
    <t>Analytical Laboratory Investigations</t>
  </si>
  <si>
    <t>C 08 213</t>
  </si>
  <si>
    <t>SOP T-15</t>
  </si>
  <si>
    <t>C 08 214</t>
  </si>
  <si>
    <t>SOP F-09</t>
  </si>
  <si>
    <t>C 08 215</t>
  </si>
  <si>
    <t>SOP E-31</t>
  </si>
  <si>
    <t>Post Implementation Approval Date</t>
  </si>
  <si>
    <t>Change Control Log - 2009</t>
  </si>
  <si>
    <t>Issue by/date</t>
  </si>
  <si>
    <t>Product/SOP/document etc,                                  Impacted</t>
  </si>
  <si>
    <t>C 08 216</t>
  </si>
  <si>
    <t>SOP T-45</t>
  </si>
  <si>
    <t>C 08 217</t>
  </si>
  <si>
    <t>SOP E-43</t>
  </si>
  <si>
    <t>C 08 218</t>
  </si>
  <si>
    <t>New SOP Q-03</t>
  </si>
  <si>
    <t>Deviations: Planned and Unplanned</t>
  </si>
  <si>
    <t>Obsolete, create new SOP For Pest Control</t>
  </si>
  <si>
    <t>C 08 219</t>
  </si>
  <si>
    <t>SOP E-44</t>
  </si>
  <si>
    <t>New SOP for Valprobes</t>
  </si>
  <si>
    <t>C 08 220</t>
  </si>
  <si>
    <t>BR#001</t>
  </si>
  <si>
    <t>C 08 221</t>
  </si>
  <si>
    <t>BR #002</t>
  </si>
  <si>
    <t>12/19/008</t>
  </si>
  <si>
    <t>C 09 001</t>
  </si>
  <si>
    <t>CH 1/6/09</t>
  </si>
  <si>
    <t>P-03, P-04</t>
  </si>
  <si>
    <t>Obsolete P-03, P-04 rev 1 to rev 2</t>
  </si>
  <si>
    <t>MS</t>
  </si>
  <si>
    <t>C 09 002</t>
  </si>
  <si>
    <t>SR 1/8/09</t>
  </si>
  <si>
    <t>C 11 050</t>
  </si>
  <si>
    <t>SP/2672/001</t>
  </si>
  <si>
    <t>CW</t>
  </si>
  <si>
    <t>C 09 003</t>
  </si>
  <si>
    <t>CH 1/9/09</t>
  </si>
  <si>
    <t>T-39</t>
  </si>
  <si>
    <t>Rev 0 to rev 1; move to E-02</t>
  </si>
  <si>
    <t>SR 1/12/09</t>
  </si>
  <si>
    <t>C 11 004</t>
  </si>
  <si>
    <t>T-30</t>
  </si>
  <si>
    <t>Obsolete SOP - instrument no longer in-use</t>
  </si>
  <si>
    <t>A-22</t>
  </si>
  <si>
    <t>Rev. to update sample receipt and handling at Norristown</t>
  </si>
  <si>
    <t>C 11 005</t>
  </si>
  <si>
    <t>C11 006</t>
  </si>
  <si>
    <t>Rev. to update sample submission procedure at Norristown</t>
  </si>
  <si>
    <t>Rev 0 to rev1</t>
  </si>
  <si>
    <t>see C 11 030</t>
  </si>
  <si>
    <t>SOP E-50</t>
  </si>
  <si>
    <t>C 11 030</t>
  </si>
  <si>
    <t>C 09 005</t>
  </si>
  <si>
    <t>JK 1/13/09</t>
  </si>
  <si>
    <t>Q-27</t>
  </si>
  <si>
    <t>C 09 006</t>
  </si>
  <si>
    <t>SR 1/13/09</t>
  </si>
  <si>
    <t>SOP A-07</t>
  </si>
  <si>
    <t>C 09 007</t>
  </si>
  <si>
    <t>SOP A-20</t>
  </si>
  <si>
    <t>C 09 008</t>
  </si>
  <si>
    <t>SR 1/15/09</t>
  </si>
  <si>
    <t>AM/1746/004</t>
  </si>
  <si>
    <t>C 09 009</t>
  </si>
  <si>
    <t>C 09 010</t>
  </si>
  <si>
    <t>C 09 011</t>
  </si>
  <si>
    <t>CH 1/16/09</t>
  </si>
  <si>
    <t>E-33</t>
  </si>
  <si>
    <t>E-34</t>
  </si>
  <si>
    <t>S-15, S-16</t>
  </si>
  <si>
    <t>Rev 1 to rev 2 for S-16, make S-15 obsolete</t>
  </si>
  <si>
    <t xml:space="preserve">cancelled </t>
  </si>
  <si>
    <t>see  C 08 091</t>
  </si>
  <si>
    <t>C 09 012</t>
  </si>
  <si>
    <t>CH 2/17/09</t>
  </si>
  <si>
    <t>S-21</t>
  </si>
  <si>
    <t>C 11 059</t>
  </si>
  <si>
    <t>Contract Services MBR</t>
  </si>
  <si>
    <t>HH</t>
  </si>
  <si>
    <t>C 09 013</t>
  </si>
  <si>
    <t>E-32</t>
  </si>
  <si>
    <t>JK 2/23/09</t>
  </si>
  <si>
    <t>Elimination of EDTA &amp; Formatting Changes Marcoat 125</t>
  </si>
  <si>
    <t xml:space="preserve"> Formatting Changes Marcoat 125N</t>
  </si>
  <si>
    <t>C 09 014</t>
  </si>
  <si>
    <t xml:space="preserve"> SOP Q-28</t>
  </si>
  <si>
    <t>PD 2/24/09</t>
  </si>
  <si>
    <t>C 09 015</t>
  </si>
  <si>
    <t>CH 2/27/09</t>
  </si>
  <si>
    <t>SOP E-41</t>
  </si>
  <si>
    <t>C 09 016</t>
  </si>
  <si>
    <t>SOP E-42</t>
  </si>
  <si>
    <t>C 09 017</t>
  </si>
  <si>
    <t>SOP E-35</t>
  </si>
  <si>
    <t>New SOP (batch record tracking)</t>
  </si>
  <si>
    <t>New SOP (V-blender)</t>
  </si>
  <si>
    <t>C 09 018</t>
  </si>
  <si>
    <t>JK 3/2/09</t>
  </si>
  <si>
    <t>Amendment for new mixers and mixer usage for all blends</t>
  </si>
  <si>
    <t>C 09 019</t>
  </si>
  <si>
    <t>CH 3/3/09</t>
  </si>
  <si>
    <t>C 09 020</t>
  </si>
  <si>
    <t>C 09 021</t>
  </si>
  <si>
    <t>CH 3/4/09</t>
  </si>
  <si>
    <t>C 09 022</t>
  </si>
  <si>
    <t>JK 3/5/09</t>
  </si>
  <si>
    <t xml:space="preserve">Various MBR Format Revisions </t>
  </si>
  <si>
    <t>Format Changes from Original MBR's</t>
  </si>
  <si>
    <t>C 09 023</t>
  </si>
  <si>
    <t>CH 3/9/09</t>
  </si>
  <si>
    <t>SOP E-22</t>
  </si>
  <si>
    <t>C 09 024</t>
  </si>
  <si>
    <t>MR 3/10/09</t>
  </si>
  <si>
    <t>SOP T-47</t>
  </si>
  <si>
    <t>Rev 0 to rev 1; move to E-15</t>
  </si>
  <si>
    <t>C 09 025</t>
  </si>
  <si>
    <t>JK 3/11/09</t>
  </si>
  <si>
    <t>CBR</t>
  </si>
  <si>
    <t>C 09 026</t>
  </si>
  <si>
    <t>EF 03/11/09</t>
  </si>
  <si>
    <t>EF</t>
  </si>
  <si>
    <t xml:space="preserve"> *Rev2 to describe true practicies relates to Stability Program at Emerson</t>
  </si>
  <si>
    <t>SR/EF</t>
  </si>
  <si>
    <t>Rev 01 to rev 02</t>
  </si>
  <si>
    <t>C 09 027</t>
  </si>
  <si>
    <t>SP/2534/008</t>
  </si>
  <si>
    <t>Rev. 01 to 02 (remove disso testing from regimen)</t>
  </si>
  <si>
    <t>FF 3/26/09</t>
  </si>
  <si>
    <t>SOP E-04</t>
  </si>
  <si>
    <t>C 09 028</t>
  </si>
  <si>
    <t>JK 4/14/09</t>
  </si>
  <si>
    <t>VMP-06-001.03</t>
  </si>
  <si>
    <t>Include Preferred HS to product family, remove dedicated mixers for whites and clears.</t>
  </si>
  <si>
    <t>SP</t>
  </si>
  <si>
    <t>C 09 029</t>
  </si>
  <si>
    <t>EF 4/14/09</t>
  </si>
  <si>
    <t xml:space="preserve"> SOP A-15</t>
  </si>
  <si>
    <t>Revise SOP F-06 to include preventive maintenance.</t>
  </si>
  <si>
    <t>Revise list of docs., add form, combine content of A-12 and A-17</t>
  </si>
  <si>
    <t>EF 03/25/09</t>
  </si>
  <si>
    <t>CH 4/14/09</t>
  </si>
  <si>
    <t>SOP E-39</t>
  </si>
  <si>
    <t>C 09 030</t>
  </si>
  <si>
    <t>C 09 031</t>
  </si>
  <si>
    <t>Correct Lot # Of RAD1901.2HCl 50mg Caps</t>
  </si>
  <si>
    <t>C 09 032</t>
  </si>
  <si>
    <t>SP/1746/006.00</t>
  </si>
  <si>
    <t>SP/1746/007.00</t>
  </si>
  <si>
    <t>Correct Lot # Of RAD1901.2HCl 25mg Caps</t>
  </si>
  <si>
    <t>C 09 033</t>
  </si>
  <si>
    <t>SP/1746/008.00</t>
  </si>
  <si>
    <t>Correct Lot # Of RAD1901.2HCl 10mg Caps</t>
  </si>
  <si>
    <t>C 09 034</t>
  </si>
  <si>
    <t>Correct Lot # Of RAD1901.2HCl Placebo Caps</t>
  </si>
  <si>
    <t>C 09 035</t>
  </si>
  <si>
    <t>Update micro testing req. as a result of USP/EP method harmonization</t>
  </si>
  <si>
    <t>SP/2588/001.01</t>
  </si>
  <si>
    <t>C 09 036</t>
  </si>
  <si>
    <t>SP/2588/002.01</t>
  </si>
  <si>
    <t>C 09 037</t>
  </si>
  <si>
    <t>SP/2588/003.01</t>
  </si>
  <si>
    <t>C 09 038</t>
  </si>
  <si>
    <t>SP/2588/004.01</t>
  </si>
  <si>
    <t>C 09 039</t>
  </si>
  <si>
    <t>SP/2591/001.00</t>
  </si>
  <si>
    <t>remove DSC testing requirement</t>
  </si>
  <si>
    <t>EF 4/21/09</t>
  </si>
  <si>
    <r>
      <t>C 09 004</t>
    </r>
    <r>
      <rPr>
        <sz val="10"/>
        <color indexed="10"/>
        <rFont val="Century Gothic"/>
        <family val="2"/>
      </rPr>
      <t>**</t>
    </r>
  </si>
  <si>
    <r>
      <t>AM/1746/002</t>
    </r>
    <r>
      <rPr>
        <sz val="10"/>
        <color indexed="10"/>
        <rFont val="Century Gothic"/>
        <family val="2"/>
      </rPr>
      <t>**</t>
    </r>
  </si>
  <si>
    <r>
      <t>Rev 06 to rev 07</t>
    </r>
    <r>
      <rPr>
        <sz val="10"/>
        <color indexed="10"/>
        <rFont val="Century Gothic"/>
        <family val="2"/>
      </rPr>
      <t>**</t>
    </r>
  </si>
  <si>
    <r>
      <t>**</t>
    </r>
    <r>
      <rPr>
        <sz val="10"/>
        <rFont val="Century Gothic"/>
        <family val="2"/>
      </rPr>
      <t>C 09 040</t>
    </r>
  </si>
  <si>
    <r>
      <t>**</t>
    </r>
    <r>
      <rPr>
        <sz val="10"/>
        <rFont val="Century Gothic"/>
        <family val="2"/>
      </rPr>
      <t>C 09 041</t>
    </r>
  </si>
  <si>
    <t>CA/2676/002.01, CA/2888/003.01</t>
  </si>
  <si>
    <r>
      <t>**</t>
    </r>
    <r>
      <rPr>
        <sz val="10"/>
        <rFont val="Century Gothic"/>
        <family val="2"/>
      </rPr>
      <t>C 09 042</t>
    </r>
  </si>
  <si>
    <t>SR/1746/001.00-SR/1746/007.00, SR/1746/009.00-SR/1746/015.00, SR/017.00-SR/1746/023.00</t>
  </si>
  <si>
    <t>Change in the reported Assay value of RAD 1901.2HCL for 10mg caps Lot P2588-12, 25mg caps Lot P2588-23, 50mg caps Lot P2588-34</t>
  </si>
  <si>
    <t>CA/2588/002.01,CA/2588/003/01,CA/258/004.01</t>
  </si>
  <si>
    <t>C 11 029</t>
  </si>
  <si>
    <t>to add bulk prep in sample prep procedure</t>
  </si>
  <si>
    <t>Change in the reported Assay value of RAD 1901.2HCL for 25mg caps Lot 2676-12, 50mg caps Lot 2676-23</t>
  </si>
  <si>
    <t>Change in the reported value in Stability Test Reports</t>
  </si>
  <si>
    <r>
      <t>**</t>
    </r>
    <r>
      <rPr>
        <sz val="10"/>
        <rFont val="Century Gothic"/>
        <family val="2"/>
      </rPr>
      <t>C 09 043</t>
    </r>
  </si>
  <si>
    <t>SR/2588/001.00-SR/2588/003.00, SR/2588/005.00, SR/2588/006.00-SR/2588/008.00, SR/2588/010.00</t>
  </si>
  <si>
    <t>Change in the reported value in Stability Test Reports Lot P2435A-M2438(50mg), Lot P2435A-M2437(25mg), Lot P2435A-M2436(10mg)</t>
  </si>
  <si>
    <t>Change in the reported value in Stability Test Reports Lot P2588-34), Lot P2588-23, Lot P2588-12, P2588-01</t>
  </si>
  <si>
    <r>
      <t>**</t>
    </r>
    <r>
      <rPr>
        <sz val="10"/>
        <rFont val="Century Gothic"/>
        <family val="2"/>
      </rPr>
      <t>C 09 044</t>
    </r>
  </si>
  <si>
    <t>SR/2591/001.00-SR/2591/007.00</t>
  </si>
  <si>
    <t>C 09 045</t>
  </si>
  <si>
    <t>CH 4/22/09</t>
  </si>
  <si>
    <t>E-52</t>
  </si>
  <si>
    <t>Completed see C09 028.</t>
  </si>
  <si>
    <t>C 09 046</t>
  </si>
  <si>
    <t>FF 4/23/09</t>
  </si>
  <si>
    <t>EQ-09-003.00</t>
  </si>
  <si>
    <t>Remove verification of Valprobe calibration</t>
  </si>
  <si>
    <t>C 09 047</t>
  </si>
  <si>
    <t>EF 4/23/09</t>
  </si>
  <si>
    <t>E-19</t>
  </si>
  <si>
    <t>E-45</t>
  </si>
  <si>
    <t>C 09 048</t>
  </si>
  <si>
    <t>Create equipment SOP for the Distek Disintegration Bath</t>
  </si>
  <si>
    <t>CH 4/24/09</t>
  </si>
  <si>
    <t>Specify hands on training is not required for minor revisions. Hands on training will be determined when the RFC form is submitted to QA for review and approval.  Update training forms to include a proficiency statement.  Add department supervisor is responsible for ensuring their direct reports are up to date on training</t>
  </si>
  <si>
    <t>C 11  049</t>
  </si>
  <si>
    <t>N/A see C09021</t>
  </si>
  <si>
    <t>N/A see C08212</t>
  </si>
  <si>
    <t>C 09 049</t>
  </si>
  <si>
    <t>SOP D-18</t>
  </si>
  <si>
    <t>PD 4/27/09</t>
  </si>
  <si>
    <t>C 09 050</t>
  </si>
  <si>
    <t>JK 4/28/09</t>
  </si>
  <si>
    <t>R-05</t>
  </si>
  <si>
    <t>Batch records BR-P001, BR-T20-001, New batch record BR-002</t>
  </si>
  <si>
    <r>
      <t xml:space="preserve">Revise sampling attachment to reflect </t>
    </r>
    <r>
      <rPr>
        <sz val="10"/>
        <rFont val="Arial"/>
        <family val="2"/>
      </rPr>
      <t>√</t>
    </r>
    <r>
      <rPr>
        <sz val="10"/>
        <rFont val="Century Gothic"/>
        <family val="2"/>
      </rPr>
      <t>n+1 round up to next whole number</t>
    </r>
  </si>
  <si>
    <t>C 09 051</t>
  </si>
  <si>
    <t>Q-12</t>
  </si>
  <si>
    <t>Revise Ingredients Checklist</t>
  </si>
  <si>
    <t>C 11 044</t>
  </si>
  <si>
    <t>E-31</t>
  </si>
  <si>
    <t>Rev. 0 to rev.1 biennual review</t>
  </si>
  <si>
    <t>Rev. 1 to rev.2 biennual review</t>
  </si>
  <si>
    <t>biennual review</t>
  </si>
  <si>
    <t>biennual review rev. 1 to rev. 2</t>
  </si>
  <si>
    <t>biennual review rev. 0 to rev. 1</t>
  </si>
  <si>
    <t>biennual review rev. 2 to rev. 3</t>
  </si>
  <si>
    <t>biennual review rev 0 to rev 1</t>
  </si>
  <si>
    <t>biennual review rev 1 to rev 2</t>
  </si>
  <si>
    <t xml:space="preserve">biennual review </t>
  </si>
  <si>
    <t>C 09 052</t>
  </si>
  <si>
    <t>CH 4/29/09</t>
  </si>
  <si>
    <t>T-05</t>
  </si>
  <si>
    <t>C 09 053</t>
  </si>
  <si>
    <t>T-09</t>
  </si>
  <si>
    <t>Rev 0 to rev 1; expand to cover Marcoat pH</t>
  </si>
  <si>
    <t>C 09 054</t>
  </si>
  <si>
    <t>E-30</t>
  </si>
  <si>
    <t>C 09 055</t>
  </si>
  <si>
    <t>E-27</t>
  </si>
  <si>
    <t>Obsolete</t>
  </si>
  <si>
    <t>Post Implementation Approval/date</t>
  </si>
  <si>
    <t xml:space="preserve"> Rev 1 to Rev 2*  see C 09 026</t>
  </si>
  <si>
    <t>C 09 056</t>
  </si>
  <si>
    <t>CH 5/4/09</t>
  </si>
  <si>
    <t>Q-29</t>
  </si>
  <si>
    <t>C 09 057</t>
  </si>
  <si>
    <t>CH 5/13/09</t>
  </si>
  <si>
    <t>F-10</t>
  </si>
  <si>
    <t>C 09 058</t>
  </si>
  <si>
    <t>F-18</t>
  </si>
  <si>
    <t>Hard copy missing</t>
  </si>
  <si>
    <t>C 09 059</t>
  </si>
  <si>
    <t>C 11 058</t>
  </si>
  <si>
    <t>Room logbook R019</t>
  </si>
  <si>
    <t>EF 5/13/09</t>
  </si>
  <si>
    <t>A-05</t>
  </si>
  <si>
    <t>Revise expiration dating system</t>
  </si>
  <si>
    <t>C 09 060</t>
  </si>
  <si>
    <t>EF 05/13/09</t>
  </si>
  <si>
    <t>A-10</t>
  </si>
  <si>
    <t xml:space="preserve">Create/ update submission forms for testing </t>
  </si>
  <si>
    <t>C 09 061</t>
  </si>
  <si>
    <t>JK 5/15/09</t>
  </si>
  <si>
    <t>Marcoat 125 Labels, Tech Sheet, and MSDS</t>
  </si>
  <si>
    <t>Update to remove reference to EDTA</t>
  </si>
  <si>
    <t>C 09 062</t>
  </si>
  <si>
    <t>CH 5/19/09</t>
  </si>
  <si>
    <t>T-48</t>
  </si>
  <si>
    <t>C 09 063</t>
  </si>
  <si>
    <t>EF 05/27/09</t>
  </si>
  <si>
    <t>To add 18month pull per client request</t>
  </si>
  <si>
    <t>C 09 064</t>
  </si>
  <si>
    <t>SP/2588/001- SP/2588/004 Rev.2 to Rev.3</t>
  </si>
  <si>
    <t>SOP A-24</t>
  </si>
  <si>
    <t>C 09 065</t>
  </si>
  <si>
    <t>SOP T-20</t>
  </si>
  <si>
    <t>New SOP for appearance tesing of Drug Product</t>
  </si>
  <si>
    <t>C 09 066</t>
  </si>
  <si>
    <t>SD/2534/001 - SD/2534/003</t>
  </si>
  <si>
    <t>C 09 067</t>
  </si>
  <si>
    <t>CA/2534/001 - CA/2534/003</t>
  </si>
  <si>
    <t>C 09 068</t>
  </si>
  <si>
    <t>SR/2534/001 - SR/2534/003</t>
  </si>
  <si>
    <t>C 09 069</t>
  </si>
  <si>
    <t>CH 5/28/09</t>
  </si>
  <si>
    <t>SOP F-04</t>
  </si>
  <si>
    <t>C 09 070</t>
  </si>
  <si>
    <t>JK 5/28/09</t>
  </si>
  <si>
    <t xml:space="preserve">Abbott MBR's 1935 and 2125 </t>
  </si>
  <si>
    <t>Revise to include a second check for the Batch Shop Document calculations and entries by manufacturing. Response to Abbott complaint # 11996.</t>
  </si>
  <si>
    <t>C 09 071</t>
  </si>
  <si>
    <t>CH 5/29/09</t>
  </si>
  <si>
    <t>F-19</t>
  </si>
  <si>
    <t>Revise apperance spec. to size "0" caps</t>
  </si>
  <si>
    <t>Revise apperance spec. to size "0" caps TZ - 3M</t>
  </si>
  <si>
    <t>C 11 027</t>
  </si>
  <si>
    <t xml:space="preserve">E-20 </t>
  </si>
  <si>
    <t>C 11 028</t>
  </si>
  <si>
    <t>E-56</t>
  </si>
  <si>
    <t xml:space="preserve">DM </t>
  </si>
  <si>
    <t>C 09 072</t>
  </si>
  <si>
    <t>F-12</t>
  </si>
  <si>
    <t>C 09 073</t>
  </si>
  <si>
    <t>Q-30</t>
  </si>
  <si>
    <t>New SOP:  Finished Product Labeling for Human Consumption</t>
  </si>
  <si>
    <t>PD 6/2/09</t>
  </si>
  <si>
    <t>SOP E-11 Rev 0 to Rev 1 ; obsolete Q-17 and combine into E-11</t>
  </si>
  <si>
    <t>C 09 074</t>
  </si>
  <si>
    <t>CH 6/2/09</t>
  </si>
  <si>
    <t>S-14</t>
  </si>
  <si>
    <t>PD 6/3/09</t>
  </si>
  <si>
    <t>D-06</t>
  </si>
  <si>
    <t>C 09 075</t>
  </si>
  <si>
    <t>C 09 076</t>
  </si>
  <si>
    <t>EF 6/3/09</t>
  </si>
  <si>
    <t>A-08</t>
  </si>
  <si>
    <t>Rev.2 to include use of dishwasher for glassware</t>
  </si>
  <si>
    <t>C 09 077</t>
  </si>
  <si>
    <t>A-28</t>
  </si>
  <si>
    <t>New SOP for use of Empowe Pro 2 software</t>
  </si>
  <si>
    <t>C 09 078</t>
  </si>
  <si>
    <t>C 09 079</t>
  </si>
  <si>
    <t>T-06</t>
  </si>
  <si>
    <t>Rev. 3 to include forms</t>
  </si>
  <si>
    <t>C 09 080</t>
  </si>
  <si>
    <t>CH 6/8/09</t>
  </si>
  <si>
    <t>D-04</t>
  </si>
  <si>
    <t>C 09 081</t>
  </si>
  <si>
    <t>JK 6/11/09</t>
  </si>
  <si>
    <t>C 09 082</t>
  </si>
  <si>
    <t>P-06</t>
  </si>
  <si>
    <t>New SOP: Personal Hygiene</t>
  </si>
  <si>
    <t>C 09 083</t>
  </si>
  <si>
    <t>EF 06/12/09</t>
  </si>
  <si>
    <t>E-29</t>
  </si>
  <si>
    <t>C 09 084</t>
  </si>
  <si>
    <t xml:space="preserve">Rev. to delete TM procedure from SP (needs to be individual monograph) </t>
  </si>
  <si>
    <t>Q-15</t>
  </si>
  <si>
    <t>Rev. 1 bi-enniel review, ver. procedure clarification</t>
  </si>
  <si>
    <t>C 09 085</t>
  </si>
  <si>
    <t>JK 6/15/09</t>
  </si>
  <si>
    <t>Format Changes from Original MBR's/ Audit Report Improvements</t>
  </si>
  <si>
    <t>C 09 086</t>
  </si>
  <si>
    <t>Generate new paraben free batch record, update product labels, tech sheets and MSDS.</t>
  </si>
  <si>
    <t>Originate Reprocessing/Rework</t>
  </si>
  <si>
    <t>C 09 087</t>
  </si>
  <si>
    <t>CH 6/25/09</t>
  </si>
  <si>
    <t>T-11</t>
  </si>
  <si>
    <t>Plasacryl BR P-001 Rev 2-3</t>
  </si>
  <si>
    <t>Plasacryl BR PF-001 Rev 0</t>
  </si>
  <si>
    <t>C 09 088</t>
  </si>
  <si>
    <t>JK 6/30/09</t>
  </si>
  <si>
    <t>C 11 073</t>
  </si>
  <si>
    <t>CofA PT110502</t>
  </si>
  <si>
    <t>pd 837/2011</t>
  </si>
  <si>
    <t>Change Solids Content result to include 1 decimal place</t>
  </si>
  <si>
    <t>C 11 074</t>
  </si>
  <si>
    <t>CofA PT110601</t>
  </si>
  <si>
    <t>pd 8/11/2011</t>
  </si>
  <si>
    <t>pd 8/12/2011</t>
  </si>
  <si>
    <t xml:space="preserve">SOP D-06 </t>
  </si>
  <si>
    <t>C 11 075</t>
  </si>
  <si>
    <t>C 11 076</t>
  </si>
  <si>
    <t>C 11 077</t>
  </si>
  <si>
    <t>C 11 078</t>
  </si>
  <si>
    <t>SOP E-48</t>
  </si>
  <si>
    <t>C 11 079</t>
  </si>
  <si>
    <t>Biennial review rev. 2 to rev. 3</t>
  </si>
  <si>
    <t>C 11 080</t>
  </si>
  <si>
    <t>SOP E-32</t>
  </si>
  <si>
    <t>Biennial review rev. 3 to rev. 4</t>
  </si>
  <si>
    <t>C 11 081</t>
  </si>
  <si>
    <t>SOP E-33</t>
  </si>
  <si>
    <t>C 11 082</t>
  </si>
  <si>
    <t>SOP E-34</t>
  </si>
  <si>
    <t>C 11 083</t>
  </si>
  <si>
    <t>SOP Q-28</t>
  </si>
  <si>
    <t>C 11 084</t>
  </si>
  <si>
    <t>pd 8/17/2011</t>
  </si>
  <si>
    <t>LC</t>
  </si>
  <si>
    <t>C 11 085</t>
  </si>
  <si>
    <t>C 11 086</t>
  </si>
  <si>
    <t>SOP D018</t>
  </si>
  <si>
    <t>C 11 087</t>
  </si>
  <si>
    <t>SOP P-06</t>
  </si>
  <si>
    <t>C 11 088</t>
  </si>
  <si>
    <t>SOP Q-29</t>
  </si>
  <si>
    <t xml:space="preserve">LC </t>
  </si>
  <si>
    <t>C 11 089</t>
  </si>
  <si>
    <t>C 11 090</t>
  </si>
  <si>
    <t>SOP E024</t>
  </si>
  <si>
    <t>C 11 091</t>
  </si>
  <si>
    <t>SOP E-45</t>
  </si>
  <si>
    <t>SOP E-21</t>
  </si>
  <si>
    <t>C 11 092</t>
  </si>
  <si>
    <t>C 11 093</t>
  </si>
  <si>
    <t>C 11 094</t>
  </si>
  <si>
    <t>C 11 095</t>
  </si>
  <si>
    <t>END 2008 CHANGE CONTROLS</t>
  </si>
  <si>
    <t>END 2009 CHANGE CONTROLS</t>
  </si>
  <si>
    <t>Rev 2 to rev 3 biennual review</t>
  </si>
  <si>
    <t>new analytical SOP A29</t>
  </si>
  <si>
    <t>Biennual review rev. 0 to rev. 1</t>
  </si>
  <si>
    <t>C 11 096</t>
  </si>
  <si>
    <t>PS/3202/002.00</t>
  </si>
  <si>
    <t>correct the method reference to reflect the correct method used</t>
  </si>
  <si>
    <t>lmc 08/22/11</t>
  </si>
  <si>
    <t>PS/2893/001.01 &amp; PS/2893/002.00</t>
  </si>
  <si>
    <t>6/2/2011, 8/23/11</t>
  </si>
  <si>
    <t>C 11 097</t>
  </si>
  <si>
    <t>pd 8/24/2011</t>
  </si>
  <si>
    <t>SOP A-26</t>
  </si>
  <si>
    <t>C 11 068</t>
  </si>
  <si>
    <t>C 11 098</t>
  </si>
  <si>
    <t>SOP F-10</t>
  </si>
  <si>
    <t>SOP S-22</t>
  </si>
  <si>
    <t>C 11 099</t>
  </si>
  <si>
    <t>C 11 100</t>
  </si>
  <si>
    <t>C 11 101</t>
  </si>
  <si>
    <t>C 11 102</t>
  </si>
  <si>
    <t>END 2010 CHANGE CONTROLS</t>
  </si>
  <si>
    <t>C 11 103</t>
  </si>
  <si>
    <t>C 11 104</t>
  </si>
  <si>
    <t>C 11 105</t>
  </si>
  <si>
    <t>C 11 106</t>
  </si>
  <si>
    <t>SOP Q-09</t>
  </si>
  <si>
    <t>C 11 107</t>
  </si>
  <si>
    <t>SOP Q-30</t>
  </si>
  <si>
    <t>See C 09 051</t>
  </si>
  <si>
    <t>C 11 108</t>
  </si>
  <si>
    <t>lmc 8/24/11</t>
  </si>
  <si>
    <t>SP/3297/002.00</t>
  </si>
  <si>
    <t>C 11 109</t>
  </si>
  <si>
    <t>PD 8/24/2011</t>
  </si>
  <si>
    <t>SM</t>
  </si>
  <si>
    <t>C 11 110</t>
  </si>
  <si>
    <t>C 11 111</t>
  </si>
  <si>
    <t>C 11 112</t>
  </si>
  <si>
    <t>SOP A-03</t>
  </si>
  <si>
    <t>C 11 113</t>
  </si>
  <si>
    <t>SOP A-09</t>
  </si>
  <si>
    <t>C 11 114</t>
  </si>
  <si>
    <t>Plasacryl Products</t>
  </si>
  <si>
    <t>PS-80 RM change in manufacturing site</t>
  </si>
  <si>
    <t>LF 8/25/2011</t>
  </si>
  <si>
    <t>C 11 115</t>
  </si>
  <si>
    <t>pd 8/26/2011</t>
  </si>
  <si>
    <t xml:space="preserve">EC1110801 CofA </t>
  </si>
  <si>
    <t>Revise date of manufacture and expiration date</t>
  </si>
  <si>
    <t>C 11 045A</t>
  </si>
  <si>
    <t>E-12</t>
  </si>
  <si>
    <t>C 11 116</t>
  </si>
  <si>
    <t>C 11 117</t>
  </si>
  <si>
    <t>C 11 118</t>
  </si>
  <si>
    <t>C 11 119</t>
  </si>
  <si>
    <t>SOP A-18</t>
  </si>
  <si>
    <t>C 11 120</t>
  </si>
  <si>
    <t>New SOP A-23</t>
  </si>
  <si>
    <t>C 11 121</t>
  </si>
  <si>
    <t>SOP A-23</t>
  </si>
  <si>
    <t>New rev of SOP for Operation of DSC rev. 1 to rev. 2</t>
  </si>
  <si>
    <t>C 11 122</t>
  </si>
  <si>
    <t>C 11 123</t>
  </si>
  <si>
    <t>pd 8/29/2011</t>
  </si>
  <si>
    <t>SOP E-09</t>
  </si>
  <si>
    <t>C 11 124</t>
  </si>
  <si>
    <t>SOP E-27</t>
  </si>
  <si>
    <t>C 11 125</t>
  </si>
  <si>
    <t>pd 8/29/2001</t>
  </si>
  <si>
    <t>C 11 126</t>
  </si>
  <si>
    <t>11/012011</t>
  </si>
  <si>
    <t>C 11 127</t>
  </si>
  <si>
    <t>SOP T-05</t>
  </si>
  <si>
    <t>C 11 128</t>
  </si>
  <si>
    <t>C 11 129</t>
  </si>
  <si>
    <t>SOP T-12</t>
  </si>
  <si>
    <t>C 11 130</t>
  </si>
  <si>
    <t>C 11 131</t>
  </si>
  <si>
    <t>E-58</t>
  </si>
  <si>
    <t>C 11 132</t>
  </si>
  <si>
    <t>SOP T-16</t>
  </si>
  <si>
    <t>delete color designation for mop heads, specify designated storage for CTM manufacturing,added labeled buckets of Contract Services and Ingredients manufacturing rev. 2 to rev. 3</t>
  </si>
  <si>
    <t>Biennial review</t>
  </si>
  <si>
    <t>C 11 133</t>
  </si>
  <si>
    <t>pd 8/28/2011</t>
  </si>
  <si>
    <t>SOP T-43</t>
  </si>
  <si>
    <t>C 11 134</t>
  </si>
  <si>
    <t>C 11 135</t>
  </si>
  <si>
    <t>Biennial review rev. 1 to rev. 2, update responsibilities and to reflect current practive</t>
  </si>
  <si>
    <t>C 11 136</t>
  </si>
  <si>
    <t>SOP E-19</t>
  </si>
  <si>
    <t>C 11 137</t>
  </si>
  <si>
    <t>pd 8/31/2011</t>
  </si>
  <si>
    <t>SOP E-57</t>
  </si>
  <si>
    <t>Biennial review rev. 0 to rev. 1 reorganize content, add internal cleaning of machine, update responsibilities</t>
  </si>
  <si>
    <t>C 11 138</t>
  </si>
  <si>
    <t>pd 9/1/2011</t>
  </si>
  <si>
    <t>C 11 139</t>
  </si>
  <si>
    <t>T-18</t>
  </si>
  <si>
    <t>C 11 140</t>
  </si>
  <si>
    <t>E-40</t>
  </si>
  <si>
    <t>C 11 141</t>
  </si>
  <si>
    <t>P-04</t>
  </si>
  <si>
    <t>refer to C 11 042</t>
  </si>
  <si>
    <t>Correct references to proper methods and product specification</t>
  </si>
  <si>
    <t>See C 11 043</t>
  </si>
  <si>
    <t>update to reflect current practicies rev. 0 to rev. 1</t>
  </si>
  <si>
    <t>Update all Contract Services MBR's for clarity and currect procedure for liquid addition and packaging.</t>
  </si>
  <si>
    <t>C 11 142</t>
  </si>
  <si>
    <t>pd 9/16/2011</t>
  </si>
  <si>
    <t>Q-11</t>
  </si>
  <si>
    <t>C 11 143</t>
  </si>
  <si>
    <t>pd 9/27/2011</t>
  </si>
  <si>
    <t>Marcoat 125 and 125N Batch Records</t>
  </si>
  <si>
    <t>C 11 144</t>
  </si>
  <si>
    <t>lmc 9/28/11</t>
  </si>
  <si>
    <t>Correct the document number from SP to SR to reflect correct identity as a stability test results report (not a protocol)</t>
  </si>
  <si>
    <t>Stability Test Results Report 3210/002.00</t>
  </si>
  <si>
    <t>C 11 145</t>
  </si>
  <si>
    <t>pd</t>
  </si>
  <si>
    <t>Biennial rev. rev. 3 to rev. 4. Revise scope, responsibilities, dispensing form. Define requirements for EU sampling. Add cold chain SOP reference</t>
  </si>
  <si>
    <t>C 11 146</t>
  </si>
  <si>
    <t>PS/3210/001</t>
  </si>
  <si>
    <t>Modify related substances specification as per client</t>
  </si>
  <si>
    <t>lmc 10/6/11</t>
  </si>
  <si>
    <t>C 11 147</t>
  </si>
  <si>
    <t>pd 10/6/2011</t>
  </si>
  <si>
    <t xml:space="preserve">Biennial review rev. 1 to rev. 2.  Revised procedures to reflect current practice and requirements.  Added additional room pressure checks. Changed need for QA inprocess checks based on risk assessment. </t>
  </si>
  <si>
    <t>C 11 148</t>
  </si>
  <si>
    <t>lmc 10/10/11</t>
  </si>
  <si>
    <t>SR/2875/019 &amp; SR/2875/020</t>
  </si>
  <si>
    <t>Update 18-month results as per LIR A11-013</t>
  </si>
  <si>
    <t>C 11 149</t>
  </si>
  <si>
    <t>pd 10/13/2011</t>
  </si>
  <si>
    <t>C 11 150</t>
  </si>
  <si>
    <t>SOP S-14</t>
  </si>
  <si>
    <t>C 11 151</t>
  </si>
  <si>
    <t>lmc 10/13/11</t>
  </si>
  <si>
    <t>PS/3210/002</t>
  </si>
  <si>
    <t>Update rationale as per client</t>
  </si>
  <si>
    <t>C 11 152</t>
  </si>
  <si>
    <t>CA/3385/001, 002, 003, 004</t>
  </si>
  <si>
    <t>Revise these 4 CofAs to reflect labeling configurations as per Repligen memo.</t>
  </si>
  <si>
    <t>lmc 10/21/11</t>
  </si>
  <si>
    <t>C 11 153</t>
  </si>
  <si>
    <t>lmc 10/24/11</t>
  </si>
  <si>
    <t>AM/2672/002.00</t>
  </si>
  <si>
    <t>Update example  chromatogram to clarify</t>
  </si>
  <si>
    <t>C 11 154</t>
  </si>
  <si>
    <t>hh 11/2/11</t>
  </si>
  <si>
    <t>C 11 155</t>
  </si>
  <si>
    <t>pd 11/7/2011</t>
  </si>
  <si>
    <t>New SOP identifying policies and procedures related to domain based accounts and procedures</t>
  </si>
  <si>
    <t>C 11 156</t>
  </si>
  <si>
    <t>Equipment ID F0055</t>
  </si>
  <si>
    <t>Screw compressor tie into the system loop, after the drier, to run 2 drops to the basement</t>
  </si>
  <si>
    <t>C 11 157</t>
  </si>
  <si>
    <t>Equipment ID F0020</t>
  </si>
  <si>
    <t>2nd Floor compressor #1 replace like for like</t>
  </si>
  <si>
    <t>C 11 158</t>
  </si>
  <si>
    <t>pd 11/8/2011</t>
  </si>
  <si>
    <t>New SOP for the Collette 25L high Shear Mixer ID#</t>
  </si>
  <si>
    <t>Marcoat 125N Batch Records</t>
  </si>
  <si>
    <t xml:space="preserve">C 11 159 </t>
  </si>
  <si>
    <t>hh 11/11/2011</t>
  </si>
  <si>
    <t>Formula change to increase hydrogen peroxide to 0.20 %, submerge lids in 70% IPA for sanitization</t>
  </si>
  <si>
    <t xml:space="preserve">reverting step of submerging lids to spraying lids with 70% IPA </t>
  </si>
  <si>
    <t>11/8/201</t>
  </si>
  <si>
    <t>C 11 160</t>
  </si>
  <si>
    <t>hh 11/14/2011</t>
  </si>
  <si>
    <t>Marcoat 125 N</t>
  </si>
  <si>
    <t xml:space="preserve">extending expiration duration from 3 to 6 months </t>
  </si>
  <si>
    <t>C 11 161</t>
  </si>
  <si>
    <t>lf 11/14/2011</t>
  </si>
  <si>
    <t>Compressed Air System</t>
  </si>
  <si>
    <t>Install isolation valves on compressor 1 and 2 of system asset F0020 (2nd floor)</t>
  </si>
  <si>
    <t>C 11 162</t>
  </si>
  <si>
    <t>lmc 12/02/11</t>
  </si>
  <si>
    <t>AR/3210/001</t>
  </si>
  <si>
    <t>Work completed on 10/24/11; Client signed docs on 12/02/11</t>
  </si>
  <si>
    <t>Completed; held up by client</t>
  </si>
  <si>
    <t>Update batch records to relect current practices.  Marcoat 125 rev. 10, 11,12 to rev 13,  Marcoat 125N rev. 7, ,8 ,9 to rev. 10</t>
  </si>
  <si>
    <t>C 11 163</t>
  </si>
  <si>
    <t>pd 12/8/2011</t>
  </si>
  <si>
    <t>BR 001 Marcoat 124, BR 002 Marcoat125N</t>
  </si>
  <si>
    <t>Add confirmation of mag gauges per audit request.  BR 001 rev. 13 to rev.14. BR 002 rev 10 to rev. 11.</t>
  </si>
  <si>
    <t>C 11 164</t>
  </si>
  <si>
    <t>SOP F-02 and SOP S-16</t>
  </si>
  <si>
    <t>Security/File alarm system to be updated by contractor Simplex Grinnel.  SOP's to be reviewed and updated if necessary</t>
  </si>
  <si>
    <t>C 11 165</t>
  </si>
  <si>
    <t>pd 12/16/2011</t>
  </si>
  <si>
    <t>New SOP  E-63</t>
  </si>
  <si>
    <t>New SOP E-64</t>
  </si>
  <si>
    <t>New SOP E-64 rev. 0 for Vertiq Viewlane Stability Chamber monitoring system</t>
  </si>
  <si>
    <t>New SOP define capabilities of Asset Management web based application for tracking PM's and Calibrations</t>
  </si>
  <si>
    <t>SOP to be assigned (SOP I-01)</t>
  </si>
  <si>
    <t>C 11 166</t>
  </si>
  <si>
    <t>hh 12/22/2011</t>
  </si>
  <si>
    <t>C of A</t>
  </si>
  <si>
    <t>Plasacryl C of A update</t>
  </si>
  <si>
    <t>Change Control Log - 2012</t>
  </si>
  <si>
    <t>SR/3399/002.00 first signed on 12/14/11</t>
  </si>
  <si>
    <t>Document number is incorrect; should be SR/3399/004.00</t>
  </si>
  <si>
    <t>C 12 001</t>
  </si>
  <si>
    <t>END 2011 CHANGE CONTROLS</t>
  </si>
  <si>
    <t>C 12 002</t>
  </si>
  <si>
    <t>Room  115A pressurization and HEPA filtration</t>
  </si>
  <si>
    <t>To facilitate proper air circulation and flow a HEPA filter supply, door sweeps and room vent covers will be installed in room 115A</t>
  </si>
  <si>
    <t>C 12 003</t>
  </si>
  <si>
    <t>Room 120 electrical power</t>
  </si>
  <si>
    <t>Install a 480V receptacle in room 120 to run the Collette Gral 25 High Sheer Granualtor</t>
  </si>
  <si>
    <t>Obsolete room 123 logbook (R019).  Room 123 to become an analytical lab annex.  Equipment placed in annex to be requalified.</t>
  </si>
  <si>
    <t>C 12 004</t>
  </si>
  <si>
    <t>AP/3443/001 &amp; AP/3443/002</t>
  </si>
  <si>
    <t>Revise both protocols to add 12mg dose</t>
  </si>
  <si>
    <t>C 12 005</t>
  </si>
  <si>
    <t>Revise SOP F-19 Operation and Maintenace of Emergency Power System to include the use and maintenance of portable units</t>
  </si>
  <si>
    <t>Update batch records fo reflect current practice.  Revise format.  Create Masters for batch records.  BR-P001 rev. 6, BR-P002 rev. 1, BR-T20001 rev. 2</t>
  </si>
  <si>
    <t>C 12 006</t>
  </si>
  <si>
    <t>BR-P001, BR-P002, BR-T20-001, BR-001, BR-002</t>
  </si>
  <si>
    <t>C 12 007</t>
  </si>
  <si>
    <t>Changing the product name convention</t>
  </si>
  <si>
    <t>C 12 008</t>
  </si>
  <si>
    <t>PS/3443/001, PS/3443/002, PS/3443/003 &amp; PS/3443/004</t>
  </si>
  <si>
    <t>CA/3443/001 thru 004 &amp; CA/3449/001 thru 004</t>
  </si>
  <si>
    <t>C 12 009</t>
  </si>
  <si>
    <t>New SOP defining the backup and recovery process for domain based server data.</t>
  </si>
  <si>
    <t>MF</t>
  </si>
  <si>
    <t>C 12 010</t>
  </si>
  <si>
    <t>Revise to reflect method modifications and addition of 6mg dose</t>
  </si>
  <si>
    <t>C 12 011</t>
  </si>
  <si>
    <t>C 12 012</t>
  </si>
  <si>
    <t xml:space="preserve">Revise to include Director of Scientific Affairs and Quality Assurance or their representatives are to be notified prior to, and at completion of maintenance to compressed air supply. </t>
  </si>
  <si>
    <t>C 12 013</t>
  </si>
  <si>
    <t>SOP E-66</t>
  </si>
  <si>
    <t>New SOP for HP6890 GC</t>
  </si>
  <si>
    <t>PS</t>
  </si>
  <si>
    <t>C 12 014</t>
  </si>
  <si>
    <t>Revise Korsh SOP to include  inspection of the table gasket prior to use. See CAPA 11-023</t>
  </si>
  <si>
    <t>SOP S-08</t>
  </si>
  <si>
    <t>C 12 015</t>
  </si>
  <si>
    <t>C 12 016</t>
  </si>
  <si>
    <t>SOP S-09</t>
  </si>
  <si>
    <t>C 12 017</t>
  </si>
  <si>
    <t>Storage of compressed gas cylinders. Update responsibilities, Biennial review</t>
  </si>
  <si>
    <t>Forklift operation. Update responsibilities, Biennial review</t>
  </si>
  <si>
    <t>Organics solvents handling. Update responsibilities, Biennial review</t>
  </si>
  <si>
    <t>C 12 018</t>
  </si>
  <si>
    <t>SOP Q-24</t>
  </si>
  <si>
    <t>JBA System. Update responsibilities. Biennial review</t>
  </si>
  <si>
    <t>WERCS System. Update responsibilities, Biennial review</t>
  </si>
  <si>
    <t>C 12 019</t>
  </si>
  <si>
    <t>C 12 020</t>
  </si>
  <si>
    <t>PS/3422/001 rev00</t>
  </si>
  <si>
    <t>C 12 021</t>
  </si>
  <si>
    <t>Stability chambers A077 and A127</t>
  </si>
  <si>
    <t>Add 2 more shelves to each chamber to maximize capacity</t>
  </si>
  <si>
    <t>n/a</t>
  </si>
  <si>
    <t>Updating the specification for appearance for clarification</t>
  </si>
  <si>
    <t>3/14 waiting on client sig</t>
  </si>
  <si>
    <t xml:space="preserve"> SOP Q-03</t>
  </si>
  <si>
    <t xml:space="preserve"> Create SOP Q-03 for Cold Chain</t>
  </si>
  <si>
    <t>C 12 022</t>
  </si>
  <si>
    <t>AM/3376/001.00</t>
  </si>
  <si>
    <t>Revise the sample prep procedure in the assay method as per LIR #A12-001 and CAPA #12-001A</t>
  </si>
  <si>
    <t>C12 023</t>
  </si>
  <si>
    <t>PS/3376/001.00</t>
  </si>
  <si>
    <t>AP/3441/001.00</t>
  </si>
  <si>
    <t>Revise to remove Identification by FTIR, per client request</t>
  </si>
  <si>
    <t>C12 024</t>
  </si>
  <si>
    <t>CA/3422/001.00</t>
  </si>
  <si>
    <t>Revise to remove impurity XC17083, incorrectly identified as a specified impurity</t>
  </si>
  <si>
    <t>C12 025</t>
  </si>
  <si>
    <t>PS/3441/001.00 &amp; PS/3441/002.00</t>
  </si>
  <si>
    <t>Revise impurity specifications on both documents, per client request</t>
  </si>
  <si>
    <t>NB</t>
  </si>
  <si>
    <t>C 12 026</t>
  </si>
  <si>
    <t>R &amp; D suites</t>
  </si>
  <si>
    <t>Perform maintenance and repair, including addition of 230 and 480V recepticals.  Room 111 to include raising ceiling, installation of HEPA filtres, relocating compressed air and dust collectors.</t>
  </si>
  <si>
    <t>C 12 027</t>
  </si>
  <si>
    <t>Room 110 and 112</t>
  </si>
  <si>
    <t>Remove HVAC returns, consolidate and relocate to the hallway.</t>
  </si>
  <si>
    <t>C 12 028</t>
  </si>
  <si>
    <t>Room A116</t>
  </si>
  <si>
    <t>Covert 585 sq. ft. from office space to analytical lab. The new lab will be room A116B and the remaining office will be room A116A</t>
  </si>
  <si>
    <t>C 12 029</t>
  </si>
  <si>
    <t>Revise method to correct typo in mobile phase preparation.</t>
  </si>
  <si>
    <t>C12 030</t>
  </si>
  <si>
    <t>AM/2672/004</t>
  </si>
  <si>
    <t>AR/3443/001</t>
  </si>
  <si>
    <t>Revise the assay report to reflect accurate storage conditions for the standard</t>
  </si>
  <si>
    <t>C 12 031</t>
  </si>
  <si>
    <t>SOP E-67</t>
  </si>
  <si>
    <t>C 12 032</t>
  </si>
  <si>
    <t>Generator backup system</t>
  </si>
  <si>
    <t>Remove generator backup 20 amp circuits from room A111 and A112 and re-route to room A122 and A116B</t>
  </si>
  <si>
    <t>SOP Q-25</t>
  </si>
  <si>
    <t>New SOP E-67 , Operation and Cleaning of the Pneumatic Blister Press.</t>
  </si>
  <si>
    <t>New SOP E-65 for Ekato Unimix</t>
  </si>
  <si>
    <t>SOP E-65</t>
  </si>
  <si>
    <t>3/302012</t>
  </si>
  <si>
    <t>C 12 033</t>
  </si>
  <si>
    <t>SOP T-51</t>
  </si>
  <si>
    <t>New SOP:  Blister Seal Testing</t>
  </si>
  <si>
    <t>C 12 034</t>
  </si>
  <si>
    <t>AM/2968/001</t>
  </si>
  <si>
    <t>AEO</t>
  </si>
  <si>
    <t>AR/2968/002.00 (AM/2968/001 &amp; AM/2968/002)</t>
  </si>
  <si>
    <t>C 12 035</t>
  </si>
  <si>
    <t>AP/3441/004.00 and AP/3441/005.00</t>
  </si>
  <si>
    <t xml:space="preserve">Revise linearity section in both protocols to indicate that the RRF will be calculated using linearity data generated in AP/3441/002; Revise the criteria for sample prep equivalence to align with analysis precision criteria. </t>
  </si>
  <si>
    <t>C 12 036</t>
  </si>
  <si>
    <t>Install breaker box, wiring and conduit</t>
  </si>
  <si>
    <t>To service any equipment in the R&amp;D hallway area of the facility that requires 480V power.</t>
  </si>
  <si>
    <t>C 12 037</t>
  </si>
  <si>
    <t>Update SOP T-19 for use of specific beakers for products in solvent-based solutions</t>
  </si>
  <si>
    <t>C 12 038</t>
  </si>
  <si>
    <t>Issue date</t>
  </si>
  <si>
    <t>EC100 Batch Record CBR-0002</t>
  </si>
  <si>
    <t>Rev. 0 to rev. 1. Update cover page and change batch record number from CBR-0002 to CBR-002</t>
  </si>
  <si>
    <t>completed; Emersigned on 3/14/12 and signed by client on 4/23/12</t>
  </si>
  <si>
    <t>Add 2 refrigerators and 1 freezer to the Vaisala Viewline monitoring system.  Fridge asset numers A237, 240.  Freezer A241</t>
  </si>
  <si>
    <t>Vaisala Viewline monitoring system</t>
  </si>
  <si>
    <t>C 12 039</t>
  </si>
  <si>
    <t>C 12 040</t>
  </si>
  <si>
    <t>MSDS for IMTech products excluding Plasacryl T20.</t>
  </si>
  <si>
    <t>2 year review of MSDS for Plasacryl, Marcoat 125, Marcoat 125N, EC100</t>
  </si>
  <si>
    <t>C 12 041</t>
  </si>
  <si>
    <t>AM/2968/001 rev 01</t>
  </si>
  <si>
    <t>Update method to include working standard and sample solution stability</t>
  </si>
  <si>
    <t>C 12 042</t>
  </si>
  <si>
    <t>AM/3282/001 rev 00</t>
  </si>
  <si>
    <t>completed; Emersigned on 3/30/12; client signed 5/4/12</t>
  </si>
  <si>
    <t>Client cancelled this clarification / RFC document is missing</t>
  </si>
  <si>
    <t>Revise method to clarify storage condition of Ref Std, testing window and Area %Purity criteria for API samples.  Also added missing reference to Validation Report, missing calculation for %Anatabine, and grammatical corrections.</t>
  </si>
  <si>
    <t>C 12 043</t>
  </si>
  <si>
    <t>Moving of analytical equipment into new lab area; relocation of other analytical equipment within existing lab area</t>
  </si>
  <si>
    <t>Lab Expansion</t>
  </si>
  <si>
    <t>C 12 044</t>
  </si>
  <si>
    <t>Create batch record, CofA and product specification for Plasacryl HTP20</t>
  </si>
  <si>
    <t>C 12 045</t>
  </si>
  <si>
    <t>new SOP</t>
  </si>
  <si>
    <t>E-68, Mocon</t>
  </si>
  <si>
    <t>C 12 046</t>
  </si>
  <si>
    <t>See table  attached to RFC document.</t>
  </si>
  <si>
    <t>NAB</t>
  </si>
  <si>
    <t>Multiple (18) documents associated with Project Codes 3441 and 3459</t>
  </si>
  <si>
    <t>C 12 047</t>
  </si>
  <si>
    <t xml:space="preserve">SOP E-26 </t>
  </si>
  <si>
    <t>C 12 048</t>
  </si>
  <si>
    <t>SOP E-18</t>
  </si>
  <si>
    <t>For investigation I 12 012</t>
  </si>
  <si>
    <t>C 12 049</t>
  </si>
  <si>
    <t>SD/2672/001.00, SD/2672/002.00, SD/2672/003.00 and SD/2672/004.00</t>
  </si>
  <si>
    <t>Add micro testing to product spec, revise regimen format and update naming convention (to PS/2672/xxx).</t>
  </si>
  <si>
    <t>C 12 050</t>
  </si>
  <si>
    <t>SR/3432/001.00, SR/3432/002.00 and SR/3432/003.00</t>
  </si>
  <si>
    <t>Revise to remove a placebo-related peak incorrectly reported as an impurity at RRT 1.60</t>
  </si>
  <si>
    <t>C 12 051</t>
  </si>
  <si>
    <t>C 12 052</t>
  </si>
  <si>
    <t>SOP A-05 rev 3</t>
  </si>
  <si>
    <t>Revise to include statement on random sampling process as per CAPA 12-004A; revise to update content to include more detail.</t>
  </si>
  <si>
    <t>C 12 053</t>
  </si>
  <si>
    <t xml:space="preserve">New equipment:  BXA Rotating Rack Oven.  </t>
  </si>
  <si>
    <t xml:space="preserve">Convert room 123 from analytical lab space to R&amp;D manufacturing.  </t>
  </si>
  <si>
    <t>Facilities layout, Room logbook</t>
  </si>
  <si>
    <t>New SOP, PM system, Equipment logbook</t>
  </si>
  <si>
    <t>C 12 054</t>
  </si>
  <si>
    <t>New Equipment : Glatt VG-200 High Shear Granulator</t>
  </si>
  <si>
    <t>C 12 055</t>
  </si>
  <si>
    <t>Revise requirements for packaging component reconciliation when dispensing by weight.  Rev. 1 to rev. 2</t>
  </si>
  <si>
    <t>New commercial product PlasAcryl HTP20</t>
  </si>
  <si>
    <t>C 12 056</t>
  </si>
  <si>
    <t>Quality Manual</t>
  </si>
  <si>
    <t>Revise titles of SA director and org chart.</t>
  </si>
  <si>
    <t>completed; method approved for use on 04/12/2012</t>
  </si>
  <si>
    <t>C 12 057</t>
  </si>
  <si>
    <t>Facilities rm 126 and 129</t>
  </si>
  <si>
    <t>Repair damage to walls, paint ceiling and walls. Improve appearance of area and reduce size of closet.</t>
  </si>
  <si>
    <t>C 12 058</t>
  </si>
  <si>
    <t>Replace ceiling tiles in rooms 110 and 113 to epoxy type.  Build clean area outside rooms 110 and 111 in hallway add HEPA filtration to this new clean area and rm 110</t>
  </si>
  <si>
    <t>Facilities rm 110, 113 and hallway</t>
  </si>
  <si>
    <t>C 12 059</t>
  </si>
  <si>
    <t>A-Lab A116B</t>
  </si>
  <si>
    <t>Install new treated water system in A-Lab A116B to increase capacity.  New system is the same design as A111. Update SOP F-12 to include this system.  New logbook required for this system</t>
  </si>
  <si>
    <t>C 12 060</t>
  </si>
  <si>
    <t>CA/3441/001.01 &amp; CA/3459/002.01</t>
  </si>
  <si>
    <t>Revise to add reference to lot# of alternate packaging</t>
  </si>
  <si>
    <t>Rev 3 to rev 4 Modified to clarify type of cleaning required after a QA inspection.</t>
  </si>
  <si>
    <t>C 12 061</t>
  </si>
  <si>
    <t>biennual review rev 1 to rev 3 (rev 2 was skipped)</t>
  </si>
  <si>
    <t>Biennial review rev. 1 to rev. 3 (rev 2 skipped)</t>
  </si>
  <si>
    <t>(Duplicate) See C 11 038</t>
  </si>
  <si>
    <t>C 12 062</t>
  </si>
  <si>
    <t>include requirement for two independent check mechanisms for count in bottle packaging operations</t>
  </si>
  <si>
    <t>C 12 063</t>
  </si>
  <si>
    <t>Revise SOP to clarify procedure and request form; address CAPA 10-003, CAPA 10-011 and CAPA 11-018; and overdue biennial review.</t>
  </si>
  <si>
    <t>C 12 064</t>
  </si>
  <si>
    <t>Revise for CAPA 12-031</t>
  </si>
  <si>
    <t>C 12 065</t>
  </si>
  <si>
    <t>AM/2864/001 rev 00</t>
  </si>
  <si>
    <t>Revise to include sample prep for PlasACRYL HTP20</t>
  </si>
  <si>
    <t>C12 066</t>
  </si>
  <si>
    <t>SP/3385/001, SP/3385/002, SP/3385/003 &amp; SP/3385/004</t>
  </si>
  <si>
    <t>Revise all 4 docs (rev00 to rev01) to include additional timepoints (18M &amp; 24M) at 5C.  Add 12M timepoint to the placebo studies.</t>
  </si>
  <si>
    <t>C 12 067</t>
  </si>
  <si>
    <t>SOP A-15 rev 4 to rev 5</t>
  </si>
  <si>
    <t>Revise SOP A-15 for biennial review and minor updates resulting from GAP analysis</t>
  </si>
  <si>
    <t>C 12 068</t>
  </si>
  <si>
    <t>SOP A-14 rev 3 to rev 4</t>
  </si>
  <si>
    <t>Revise SOP A-14 to clarify and  reflect improvements in current practice.</t>
  </si>
  <si>
    <t>C 12 069</t>
  </si>
  <si>
    <t>Removal and repurposing of refrigerator/freezer A233 from Room 123A to Room A112.</t>
  </si>
  <si>
    <t>Analytical lab needs more cold storage space and additional cold storage units in Room 122 have removed the need for this asset in Room 123A.</t>
  </si>
  <si>
    <t>C 12 070</t>
  </si>
  <si>
    <t>C 12 071</t>
  </si>
  <si>
    <t>AP/3471/001 rev.00 to rev.01</t>
  </si>
  <si>
    <t>PS/2952/003 rev.00 to rev.01</t>
  </si>
  <si>
    <t xml:space="preserve">Revise validation protocol to remove incorrect nominal concentration value, add std stability experiment and update reference to correct method version. </t>
  </si>
  <si>
    <t>Revise to add Identification test to be done by HPLC method and change range format for Solids Content to clarify min and max.</t>
  </si>
  <si>
    <t>C 12 072</t>
  </si>
  <si>
    <t>Update the CofA for HTP20 to align with current specification</t>
  </si>
  <si>
    <t>CofA for PlasACRYL HTP20 rev 2 to rev 5</t>
  </si>
  <si>
    <t>C 12 073</t>
  </si>
  <si>
    <t>CTM Raw Materials in Room 123A</t>
  </si>
  <si>
    <t>Contents of Room 123A (CTM Raw Materials) to be transferred into Room 126.</t>
  </si>
  <si>
    <t>RC</t>
  </si>
  <si>
    <t>C 12 074</t>
  </si>
  <si>
    <t>AM/2864/001 rev 01 to rev 02</t>
  </si>
  <si>
    <t>C 12 075</t>
  </si>
  <si>
    <t>Anatabine Citrate Granulation</t>
  </si>
  <si>
    <t>Enter in Change Control Logbook Q011 before spreadsheet</t>
  </si>
  <si>
    <t>C 12 076</t>
  </si>
  <si>
    <t>New SOP for management and qualification of vendors, suppliers and service providers</t>
  </si>
  <si>
    <t xml:space="preserve">This procedure is a GMP expectation.  </t>
  </si>
  <si>
    <t>C 12 077</t>
  </si>
  <si>
    <t>Create SOP per CAPA 12-013 to cover safe handling and storage of API and clinical product (in-process and finished)</t>
  </si>
  <si>
    <t>New SOP R-09</t>
  </si>
  <si>
    <t>C 12 078</t>
  </si>
  <si>
    <t>New SOP E-70</t>
  </si>
  <si>
    <t>C 12 079</t>
  </si>
  <si>
    <t>New SOP E-69</t>
  </si>
  <si>
    <t xml:space="preserve">Creation of Piccola B-D Press </t>
  </si>
  <si>
    <t xml:space="preserve">Creation of Piccola B Press </t>
  </si>
  <si>
    <t>Terminated</t>
  </si>
  <si>
    <t>Duplicate C 10 038</t>
  </si>
  <si>
    <t>C 12 080</t>
  </si>
  <si>
    <t>F-03 rev. rev. 5 to rev. 6</t>
  </si>
  <si>
    <t>Revise SOP F-03 per CAPA 11-008 and 12-008 and to reflect current practice</t>
  </si>
  <si>
    <t>C 12 081</t>
  </si>
  <si>
    <t>replace seals</t>
  </si>
  <si>
    <t>ST</t>
  </si>
  <si>
    <t>C 12 082</t>
  </si>
  <si>
    <t>Korsch tablet press</t>
  </si>
  <si>
    <t>replace wiper blades on the paddle feeder</t>
  </si>
  <si>
    <t xml:space="preserve"> PD</t>
  </si>
  <si>
    <t>C 12 083</t>
  </si>
  <si>
    <t>SOP A-21 rev 1 to rev 2</t>
  </si>
  <si>
    <t>Revise for biennial review and to clarify and improve procedure</t>
  </si>
  <si>
    <t>C 12 084</t>
  </si>
  <si>
    <t>Move In-Process storage, finish goods storage and retain storage from Room 122 to Room 123A.</t>
  </si>
  <si>
    <t>To allow for more storage capability.</t>
  </si>
  <si>
    <t>C 12 085</t>
  </si>
  <si>
    <t>SOP Q-15 rev 1 to rev 2</t>
  </si>
  <si>
    <t>Revise to include minimum weight requirements and demonstration of reproducibility and biennial review.</t>
  </si>
  <si>
    <t>LMC/LF</t>
  </si>
  <si>
    <t>C 12 086</t>
  </si>
  <si>
    <t>SOP A-02 rev 1 to rev 2</t>
  </si>
  <si>
    <t>Revise for clarity and address secondary standards and standard purity.</t>
  </si>
  <si>
    <t>C 12 087</t>
  </si>
  <si>
    <t>New SOP for bottle cap torque tester</t>
  </si>
  <si>
    <t>C 12 088</t>
  </si>
  <si>
    <t>MBR EC-100 rev. 0 to rev. 1</t>
  </si>
  <si>
    <t>Revise to new format</t>
  </si>
  <si>
    <t>C 12 089</t>
  </si>
  <si>
    <t>SOP E-67 rev 0 to rev 1</t>
  </si>
  <si>
    <t>Revise to include setup and operation of replacement blister press.  New logbook will be issued and old press will be decommissioned. New press will be qualified.</t>
  </si>
  <si>
    <t>Correct entries in Table 4 to reflect accurate concentration; rev 00 to rev 01</t>
  </si>
  <si>
    <t>C 12 090</t>
  </si>
  <si>
    <t>Installation of refrigerator A254 in Room 122</t>
  </si>
  <si>
    <t>C 12 091</t>
  </si>
  <si>
    <t>New SOP for Product Recalls</t>
  </si>
  <si>
    <t>FDA requirement to have this procedure in place</t>
  </si>
  <si>
    <t>Add refrigerated storage capacity</t>
  </si>
  <si>
    <t>C 12 092</t>
  </si>
  <si>
    <t>Create room logook for room 214 and a receiving logbook for contract manufacturing.  Secure room 214 for QA only access. Contract manufacturing raw and in-process materials will be stored in room 214.</t>
  </si>
  <si>
    <t>C 12 093</t>
  </si>
  <si>
    <t>Empower 3 Installation and setup on HPLC Assets 151 &amp; 158</t>
  </si>
  <si>
    <t>Empower 3 to be installed to provide compliant-ready data acquisition and processing on chromatographic systems.</t>
  </si>
  <si>
    <t>C 12 094</t>
  </si>
  <si>
    <t>Revise to clarify current practice</t>
  </si>
  <si>
    <t>C 12 095</t>
  </si>
  <si>
    <t>AM/3471/001.03</t>
  </si>
  <si>
    <t>where is RFC?</t>
  </si>
  <si>
    <t>cancelled - see C 12 093</t>
  </si>
  <si>
    <t>C 12 096</t>
  </si>
  <si>
    <t>AM/3471/002.02</t>
  </si>
  <si>
    <t>Revise to add procedure for testing 18mg tablets</t>
  </si>
  <si>
    <t>C 12 097</t>
  </si>
  <si>
    <t>Revise to add default flushing parameters</t>
  </si>
  <si>
    <t>MW</t>
  </si>
  <si>
    <t>C 12 098</t>
  </si>
  <si>
    <t>Obsolete all ISP related SOP's</t>
  </si>
  <si>
    <t>E-32, E-32, Q-24, Q-25</t>
  </si>
  <si>
    <t>C 12 099</t>
  </si>
  <si>
    <t>SOP R-09</t>
  </si>
  <si>
    <t>Revise to correct two typographical errors</t>
  </si>
  <si>
    <t>LMC/CF</t>
  </si>
  <si>
    <t>New SOP E-73</t>
  </si>
  <si>
    <t>C 12 100</t>
  </si>
  <si>
    <t>2nd floor mfg and warehouse use</t>
  </si>
  <si>
    <t>Decommission 2nd flooor process rooms and warehouse for contract services use.  Client cancelled contract.</t>
  </si>
  <si>
    <t>C 12 101</t>
  </si>
  <si>
    <t>Extend 1st floor treated water loop with drops in room 110 and 111</t>
  </si>
  <si>
    <t>C 12 102</t>
  </si>
  <si>
    <t>Reduce/discontinue water testing</t>
  </si>
  <si>
    <t>Temporarily discontinue 2nd floor water testing as it is not in use; reduce frequency of water testing in A. Lab based on past results.</t>
  </si>
  <si>
    <t>C 12 103</t>
  </si>
  <si>
    <t>SP/3487/003</t>
  </si>
  <si>
    <t>Rev 0 to Rev 1 to modify timepoints and specify use of 6M data at 5C from SP/3453/001 for time zero.</t>
  </si>
  <si>
    <t>C 12 104</t>
  </si>
  <si>
    <t>Rev 2 to Rev 3 due to biennial review</t>
  </si>
  <si>
    <t>C 12 105</t>
  </si>
  <si>
    <t>Install electrical disconnect into room 111</t>
  </si>
  <si>
    <t>To accomodate new Fitzmill in room 111</t>
  </si>
  <si>
    <t>C 12 106</t>
  </si>
  <si>
    <t>Screw Compressor and Dryer (F0055) and Dryer (F0019)</t>
  </si>
  <si>
    <t>Re-install at higher elevations with threaded connections for quick disconnect if needed as preventative measure againsts adverse weather effects.</t>
  </si>
  <si>
    <t>Cancelled - equipment no longer on site</t>
  </si>
  <si>
    <t>C 12 107</t>
  </si>
  <si>
    <t>Decommissioning of ISP Contract Services area</t>
  </si>
  <si>
    <t>Contract with ISP has been terminated</t>
  </si>
  <si>
    <t>C12 108</t>
  </si>
  <si>
    <t>Rev. 3 to rev. 4. Biennial review</t>
  </si>
  <si>
    <t>C 12 109</t>
  </si>
  <si>
    <t>Make SOP obsolete as the equipment is no longer in use or on-site.  New SOP will be written for the current equipment on-site (L134).</t>
  </si>
  <si>
    <t>C 12 110</t>
  </si>
  <si>
    <t>new SOP for Xcelodose Capsule Filler</t>
  </si>
  <si>
    <t>New equipment</t>
  </si>
  <si>
    <t>C 12 111</t>
  </si>
  <si>
    <t>New SOP R-10</t>
  </si>
  <si>
    <t>New SOP R-10 Raw Material Handling for Contract Manufacturing</t>
  </si>
  <si>
    <t>C 12 112</t>
  </si>
  <si>
    <t>E-23 rev 2</t>
  </si>
  <si>
    <t>rev 1 to rev 2</t>
  </si>
  <si>
    <t>complete</t>
  </si>
  <si>
    <t>Cancelled - refer to C 12 104</t>
  </si>
  <si>
    <t>C 12 113</t>
  </si>
  <si>
    <t>SOP T-06 rev 3 to rev 4</t>
  </si>
  <si>
    <t>To clarify procedure and align it with reporting requirements.</t>
  </si>
  <si>
    <t>C 12 114</t>
  </si>
  <si>
    <t>for Mettler Toledo V30 KF Titrator</t>
  </si>
  <si>
    <t>see also C 12 062</t>
  </si>
  <si>
    <t>see also C 12 055</t>
  </si>
  <si>
    <t>C 12 115</t>
  </si>
  <si>
    <t xml:space="preserve">new SOP </t>
  </si>
  <si>
    <t>new SOP for the operation of the GE Kaye ValProbe System</t>
  </si>
  <si>
    <t>Q-23 rev.1</t>
  </si>
  <si>
    <t>SNM</t>
  </si>
  <si>
    <t>Biennial review. rev. 0 to rev. 1. Revised format, Minor editing changes, Revised Responsibilities, Deleted Malvern analytical lab and added the Norristown analytical lab section V.2. Added Attachment G.</t>
  </si>
  <si>
    <t>C 12 117</t>
  </si>
  <si>
    <t>C 12 118</t>
  </si>
  <si>
    <t>SOP E-61 rev. 0</t>
  </si>
  <si>
    <t>Obsolete , press to be de-commissioned</t>
  </si>
  <si>
    <t>C 12 119</t>
  </si>
  <si>
    <t>De-commission Accura D-Press asset L231</t>
  </si>
  <si>
    <t>Press not suitable for GMP use based on composition/wear on die table, and concerns regarding functionality</t>
  </si>
  <si>
    <t>C 12 120</t>
  </si>
  <si>
    <t>SOP E-53</t>
  </si>
  <si>
    <t>rev. 1 to rev. 2. Biennial review</t>
  </si>
  <si>
    <t>C 12 121</t>
  </si>
  <si>
    <t>SOP E-54</t>
  </si>
  <si>
    <t>C 12 122</t>
  </si>
  <si>
    <t>SOP T-07</t>
  </si>
  <si>
    <t xml:space="preserve">Obsolete T-07. New SOP E-75 for Texture Analyzer.  Equipment SOP more appropriate than testing SOP. </t>
  </si>
  <si>
    <t>C 12 123</t>
  </si>
  <si>
    <t>SOP Q-02</t>
  </si>
  <si>
    <t>Biennial Review rev. 1 to rev. 2.  Added CAPA Effectiveness Evaluation Report</t>
  </si>
  <si>
    <t>C 12 124</t>
  </si>
  <si>
    <t>Biennial review. Rev. 2 to rev. 3</t>
  </si>
  <si>
    <t>C 12 125</t>
  </si>
  <si>
    <t>Install a low pressure alarm on the compressed air loop.  Revise SOP F-04.</t>
  </si>
  <si>
    <t>Completed; SOP issued Jun 2009</t>
  </si>
  <si>
    <t>Make SOP T-16 obsolete and roll into SOP F-12</t>
  </si>
  <si>
    <t>C 12 116</t>
  </si>
  <si>
    <t>C 12 126</t>
  </si>
  <si>
    <t>C 12 127</t>
  </si>
  <si>
    <t>C 12 128</t>
  </si>
  <si>
    <t>C 12 129</t>
  </si>
  <si>
    <t>rev 3 to rev 4</t>
  </si>
  <si>
    <t>C 12 130</t>
  </si>
  <si>
    <t>SOP Q-27</t>
  </si>
  <si>
    <t xml:space="preserve">rev 0 to rev 1  </t>
  </si>
  <si>
    <t>C 12 131</t>
  </si>
  <si>
    <t>C 12 132</t>
  </si>
  <si>
    <t>C 12 133</t>
  </si>
  <si>
    <t>new SOP for Empower 3 Operation</t>
  </si>
  <si>
    <t>KK</t>
  </si>
  <si>
    <t>new SOP for Empower 3 Administration</t>
  </si>
  <si>
    <t>Cancelled; see RFC C 12 132</t>
  </si>
  <si>
    <r>
      <t>Revise to update prepare sample prep in dublicate and "TM" to registered "</t>
    </r>
    <r>
      <rPr>
        <sz val="10"/>
        <rFont val="Calibri"/>
        <family val="2"/>
      </rPr>
      <t>®"</t>
    </r>
  </si>
  <si>
    <t>C 12 134</t>
  </si>
  <si>
    <t xml:space="preserve">SOP S-17 </t>
  </si>
  <si>
    <t>SOP F-18</t>
  </si>
  <si>
    <t>new SOP A-28</t>
  </si>
  <si>
    <t>new SOP A-30</t>
  </si>
  <si>
    <t>C 12 135</t>
  </si>
  <si>
    <t>C 12 136</t>
  </si>
  <si>
    <t>Contents of stability chamber A058 to be moved to A254.  A058 insufficient capacity</t>
  </si>
  <si>
    <t>C 12 137</t>
  </si>
  <si>
    <t>C 12 138</t>
  </si>
  <si>
    <t>C 12 139</t>
  </si>
  <si>
    <t>Biennial Review</t>
  </si>
  <si>
    <t>SOP E-47</t>
  </si>
  <si>
    <t>C 12 140</t>
  </si>
  <si>
    <t>Updating the SOP to current format due to Biennial review.</t>
  </si>
  <si>
    <t>C 12 141</t>
  </si>
  <si>
    <t>Rev 2 to Rev 3 due to biennial review and CAPA items</t>
  </si>
  <si>
    <t># issued in duplicate with C 12 080</t>
  </si>
  <si>
    <t>Cancelled; no paperwork; See RFC C12 141</t>
  </si>
  <si>
    <t>Change Control Log - 2013</t>
  </si>
  <si>
    <t>END 2012 CHANGE CONTROLS</t>
  </si>
  <si>
    <t>Stability chambers A058 and A254</t>
  </si>
  <si>
    <t>New logbooks, Secure room 214</t>
  </si>
  <si>
    <t>C 13 001</t>
  </si>
  <si>
    <t>Move refrigerator A234 and freezer A235 from stability chamber Room A110 to Room 122.</t>
  </si>
  <si>
    <t>Refrigerator A234 and Freezer A235</t>
  </si>
  <si>
    <t>cancelled see C 11 145</t>
  </si>
  <si>
    <t>C 13 002</t>
  </si>
  <si>
    <t>Add 2nd HEPA filter to room 116</t>
  </si>
  <si>
    <t>Increase room pressure</t>
  </si>
  <si>
    <t>C 13 003</t>
  </si>
  <si>
    <t xml:space="preserve"> Revise to new cleaning batch record format.                                         New batch size. Create batch record for the production of 4 granulations.</t>
  </si>
  <si>
    <t>C 13 004</t>
  </si>
  <si>
    <t>Revise documents for PlasACRYL HTP20; reporting additional stability information</t>
  </si>
  <si>
    <t>Revise CoA, Product Spec and Specification &amp; Test Method for PlasACRYL HTP20; add additional lot info to stability summary</t>
  </si>
  <si>
    <t>C 13 005</t>
  </si>
  <si>
    <t>SOP S-23 Residual Material Disposal</t>
  </si>
  <si>
    <t>New SOP for waste disposal</t>
  </si>
  <si>
    <t>C 13 006</t>
  </si>
  <si>
    <t>Create SOP for treated water system. Include action/alert limits and specification for treated water system.   A complete review of the water system manual and contractors tasks will be completed and included in SOP E-58. All maintenance will be documented in logbook/worksheet.  Consolidation of SOP E-58 and T-16 in new SOP F-12</t>
  </si>
  <si>
    <t>cancelled  - see C 13 006</t>
  </si>
  <si>
    <t>New SOP F-12 for Treated Water Systems. Obsolete E-58 and T-16.</t>
  </si>
  <si>
    <t>E-07</t>
  </si>
  <si>
    <t>compl;eted</t>
  </si>
  <si>
    <t>C 13 007</t>
  </si>
  <si>
    <t>boilder room 012, water supply room 127 and 128</t>
  </si>
  <si>
    <t>Change from cold to hot water the water supply to the boiler in room 012. Replace ball valves in water supply to room 127 and 128.  Expedite heating of water for room 127 and 128</t>
  </si>
  <si>
    <t>C 13 008</t>
  </si>
  <si>
    <t>Q-03: rev 0 to rev 1</t>
  </si>
  <si>
    <t>C 13 009</t>
  </si>
  <si>
    <t>New SOP for Visitors</t>
  </si>
  <si>
    <t>C 13 010</t>
  </si>
  <si>
    <t>Obsolete E-09</t>
  </si>
  <si>
    <t>C 13 011</t>
  </si>
  <si>
    <t>SOP E-37, rev 3 to 4</t>
  </si>
  <si>
    <t>Duplicate with C 12 108</t>
  </si>
  <si>
    <t>C 13 012</t>
  </si>
  <si>
    <t>C 13 013</t>
  </si>
  <si>
    <t>De-commision Stokes table press L013</t>
  </si>
  <si>
    <t>De-commision Stokes table press L050</t>
  </si>
  <si>
    <t>Equipment is dated. Not in regular use</t>
  </si>
  <si>
    <t>SOP E-07 for Stokes Table Press</t>
  </si>
  <si>
    <t>Obsolete E-07.  Equipment decommisioned</t>
  </si>
  <si>
    <t>C 13 014</t>
  </si>
  <si>
    <t>C 13 015</t>
  </si>
  <si>
    <t xml:space="preserve">SOP E-62 Silverson High Sheer Mixes </t>
  </si>
  <si>
    <t>Model L4RT. Biennial review rev. 0 to rev. 1</t>
  </si>
  <si>
    <t>update to state company policy is to not allow any pesticiedes to be used inside the facility.  Obsolete Q-05 and rename F-20 to better align SOP topic with its alpha category, F-20 will start at revision 0.</t>
  </si>
  <si>
    <t>C 13 016</t>
  </si>
  <si>
    <t>C 13 017</t>
  </si>
  <si>
    <t>C 13 018</t>
  </si>
  <si>
    <t>AM/3506/001 Rev00 to Rev01</t>
  </si>
  <si>
    <t>To clarify, add and correct.</t>
  </si>
  <si>
    <t>AM/3506/002 Rev00 to Rev01</t>
  </si>
  <si>
    <t>PS/3506/003 Rev00 to Rev01</t>
  </si>
  <si>
    <t>To elaborate on appearance specification.</t>
  </si>
  <si>
    <t>C 13 019</t>
  </si>
  <si>
    <t>PS/3506/001, PS/3506/002 &amp; PS/32506/003</t>
  </si>
  <si>
    <t>Revise all 3 to reflect correct company address info; Remove IPA from Residual Solvents criteria in PS/3506/003.</t>
  </si>
  <si>
    <t xml:space="preserve">C 13 020 </t>
  </si>
  <si>
    <t>SOP T-17, E-76 rev0</t>
  </si>
  <si>
    <t>obsoleting T-17 and creation of E-76</t>
  </si>
  <si>
    <t>C 13 021</t>
  </si>
  <si>
    <t>AM/3500/001</t>
  </si>
  <si>
    <t>Rev 00 to Rev 01 to capture modifications made during method development in anticipation of validation.</t>
  </si>
  <si>
    <t>Rev. 0 New SOP</t>
  </si>
  <si>
    <t>Cancelled, see C13 022</t>
  </si>
  <si>
    <t>C 13 022</t>
  </si>
  <si>
    <t xml:space="preserve">SOP D-17 </t>
  </si>
  <si>
    <t>rev. 0 to rev. 1. Biennial review.  Revise entire procedure</t>
  </si>
  <si>
    <t>C 13 023</t>
  </si>
  <si>
    <t>Rev 01 to Rev 02 to capture additional modifications in anticipation of validation.</t>
  </si>
  <si>
    <t>C 13 024</t>
  </si>
  <si>
    <t>AM/3500/002</t>
  </si>
  <si>
    <t>Rev 02 to Rev 03 to capture additional modifications in anticipation of validation.</t>
  </si>
  <si>
    <t>C 13 025</t>
  </si>
  <si>
    <t>Rev 00 to Rev 01 to capture modifications made as a result of validation.</t>
  </si>
  <si>
    <t>C 13 026</t>
  </si>
  <si>
    <t>SOP Q-20, rev 1 to rev 2</t>
  </si>
  <si>
    <t>C 13 027</t>
  </si>
  <si>
    <t>Biennial review and CAPA, rev 1 to 2</t>
  </si>
  <si>
    <t>Make Obsolete, Information covered in other SOPs and Quality Manual</t>
  </si>
  <si>
    <t>C 13 028</t>
  </si>
  <si>
    <t>C 13 029</t>
  </si>
  <si>
    <t>C 13 030</t>
  </si>
  <si>
    <t>C 13 031</t>
  </si>
  <si>
    <t>C 13 032</t>
  </si>
  <si>
    <t>SOP A-09 rev 1 to rev 2</t>
  </si>
  <si>
    <t xml:space="preserve">Biennial review  </t>
  </si>
  <si>
    <t>SOP A-10 rev 4 to rev 5</t>
  </si>
  <si>
    <t xml:space="preserve">SOP A-31 </t>
  </si>
  <si>
    <t>SOP E-02 rev 0 to rev 1</t>
  </si>
  <si>
    <t>SOP E-05 rev 4 to rev 5</t>
  </si>
  <si>
    <t>C 13 033</t>
  </si>
  <si>
    <t>C 13 034</t>
  </si>
  <si>
    <t>Include all approved outside contract labs to perform heavy metals &amp; microbials</t>
  </si>
  <si>
    <t>AP/3485/001 rev 00 to rev 01 and AM/3485 rev 00 to rev  01</t>
  </si>
  <si>
    <t>Rev 00 to Rev 01 to correct minor errors (for both documents)</t>
  </si>
  <si>
    <t>C 13 035</t>
  </si>
  <si>
    <t>PS/3510/001 and PS/3510/002</t>
  </si>
  <si>
    <t>Rev 00 to Rev 01 for both to correct name  of test.</t>
  </si>
  <si>
    <t>Original missing, duplicate</t>
  </si>
  <si>
    <t>C 13 036</t>
  </si>
  <si>
    <t>Sop E-68</t>
  </si>
  <si>
    <t>add nameing convention for database files to prevent database corruption and data loss</t>
  </si>
  <si>
    <t>C 13 037</t>
  </si>
  <si>
    <t>new SOP Q-33, Cleaning Verification Program</t>
  </si>
  <si>
    <t>Need SOP for cleaning verification</t>
  </si>
  <si>
    <t>C 13 038</t>
  </si>
  <si>
    <t>AM/2757/001 Rev 0 to Rev 1</t>
  </si>
  <si>
    <t>Modify prep and add missing calculation of Related Substances</t>
  </si>
  <si>
    <t>C 13 039</t>
  </si>
  <si>
    <t>AM/2864/001 Rev 2 to Rev 3</t>
  </si>
  <si>
    <t>To make method specific to PlasACRYL T20 and HTP20 and clarify sample prep procedure.</t>
  </si>
  <si>
    <t>C 13 040</t>
  </si>
  <si>
    <t>SOP Q-32, rev 0 to rev 1</t>
  </si>
  <si>
    <t>SOP to include periodic requirement for mock recalls per quality audit program (SOP Q-20)</t>
  </si>
  <si>
    <t>Manufacturing process in room 111 requires treated water.  Loop must pass through room 110 to reach room 111</t>
  </si>
  <si>
    <t>Study ended</t>
  </si>
  <si>
    <t xml:space="preserve">SOP obsolete </t>
  </si>
  <si>
    <t>SOP obsolete</t>
  </si>
  <si>
    <t>C 13 041</t>
  </si>
  <si>
    <t>Marcoat Product Specs</t>
  </si>
  <si>
    <t>Product specifications for Marcoat 125, 125N, &amp; EC100</t>
  </si>
  <si>
    <t>C 13 042</t>
  </si>
  <si>
    <t>Rev 01 to Rev 02 - minor changes including new CEO</t>
  </si>
  <si>
    <t>C 13 043</t>
  </si>
  <si>
    <t>Rev 1 to Rev 2 - biennial review</t>
  </si>
  <si>
    <t>SOP A-25 Rev 1</t>
  </si>
  <si>
    <t>C 13 044</t>
  </si>
  <si>
    <t>Rev. 3 to include procedures for following vendor documentation for calibration/qualification</t>
  </si>
  <si>
    <t>C 13 045</t>
  </si>
  <si>
    <t>Disconnect water heater of stability chamber A143</t>
  </si>
  <si>
    <t>Stability chamber A143</t>
  </si>
  <si>
    <t>5/`14/13</t>
  </si>
  <si>
    <t>C 13 046</t>
  </si>
  <si>
    <t>SOP Q-12 Shipping</t>
  </si>
  <si>
    <t>revise per CAPA 12-038.  rev. 5 to rev. 6</t>
  </si>
  <si>
    <t>C 13 047</t>
  </si>
  <si>
    <t>Agilent HPLCs on Empower 3 platform</t>
  </si>
  <si>
    <t>Updated Agilent Instrument Control Framework software (driver) to be installed on Empower 3 to improve functionality.</t>
  </si>
  <si>
    <t>C 13 048</t>
  </si>
  <si>
    <t>Revise to correct the related substances criteria as per client request.</t>
  </si>
  <si>
    <t>PS/3510/001.01, PS/3510/002.01 &amp; PS/3511/001.00</t>
  </si>
  <si>
    <t>C 13 049</t>
  </si>
  <si>
    <t>PS/3459/001.01, PS/PS/3510/001.01, PS/3510/002.01 PS/3510/3.00 &amp; PS/3511/001.00</t>
  </si>
  <si>
    <t>Footer to be revised to remove reference to Malvern location.</t>
  </si>
  <si>
    <t>C 13 050</t>
  </si>
  <si>
    <t>Replace fan in CTM HVAC system</t>
  </si>
  <si>
    <t>C 13 051</t>
  </si>
  <si>
    <t>CTM HVAC system</t>
  </si>
  <si>
    <t>SOP T-52.0</t>
  </si>
  <si>
    <t>Revise to include drift component in formula and report format.</t>
  </si>
  <si>
    <t>Facility</t>
  </si>
  <si>
    <t>C 13 052</t>
  </si>
  <si>
    <t>C 13 053</t>
  </si>
  <si>
    <t xml:space="preserve">AC______rev. 1 to rev. 2, Create new cleaning batch record and checklist. </t>
  </si>
  <si>
    <t>Revise AC______rev. 1 to rev. 2 to clarify steps. Create new cleaning batch record without swabbiong and cleaning checklist for cleaning validation.</t>
  </si>
  <si>
    <t>Replace vinyl slats with high speed roll up door and a man door between 123 and 123B to separate shipping from rest of facility</t>
  </si>
  <si>
    <t>C 13 054</t>
  </si>
  <si>
    <t>AM/3460/001.00</t>
  </si>
  <si>
    <t>C 13 055</t>
  </si>
  <si>
    <t>AM/3460/002.00</t>
  </si>
  <si>
    <t>Rev 00 to Rev 01 to incorporate method validation results and make editorial changes.</t>
  </si>
  <si>
    <t>C 13 056</t>
  </si>
  <si>
    <t>C 13 057</t>
  </si>
  <si>
    <t>AM/3512/001.00</t>
  </si>
  <si>
    <t>AM/3512/002.00</t>
  </si>
  <si>
    <t>Rev 00 to Rev 01 to add changes based on additional MD.</t>
  </si>
  <si>
    <t>Rev 00 to Rev 01 to make correction and change based on MD.</t>
  </si>
  <si>
    <t>C 13 058</t>
  </si>
  <si>
    <t>C 13 059</t>
  </si>
  <si>
    <t>C 13 060</t>
  </si>
  <si>
    <t>C 13 061</t>
  </si>
  <si>
    <t>SOP A-29 rev 0</t>
  </si>
  <si>
    <t>SOP A-03 rev 2</t>
  </si>
  <si>
    <t>SOP A-01 rev 2</t>
  </si>
  <si>
    <t>New analytical SOP for tracking HPLC columns</t>
  </si>
  <si>
    <t>C 13 062</t>
  </si>
  <si>
    <t>Revise A-13 to include CAPA items and incorporate Q-29.  Obsolete Q-29</t>
  </si>
  <si>
    <t>SOP A-13 rev. 3 to rev. 4, Obsolete Q-29</t>
  </si>
  <si>
    <t>C 13 063</t>
  </si>
  <si>
    <t>AM/3500/001 rev 3 to rev 4</t>
  </si>
  <si>
    <t>Revisions based on additional validation work.</t>
  </si>
  <si>
    <t>C 13 064</t>
  </si>
  <si>
    <t>SOP Q-28 rev. 2 to rev. 3</t>
  </si>
  <si>
    <t>Biennial review. No changes recommended</t>
  </si>
  <si>
    <t>C 13 065</t>
  </si>
  <si>
    <t>AM/3525/001</t>
  </si>
  <si>
    <t>Rev 00 to Rev 01 to add changes based on additional MD, in anticipation of validation.</t>
  </si>
  <si>
    <t>C 13 066</t>
  </si>
  <si>
    <t>AM/3525/002</t>
  </si>
  <si>
    <t>C 13 067</t>
  </si>
  <si>
    <t>C 13 068</t>
  </si>
  <si>
    <t>SOP E-10, Sonic Sifter</t>
  </si>
  <si>
    <t>biennial review</t>
  </si>
  <si>
    <t>SOP E-25, tablet friability tester</t>
  </si>
  <si>
    <t>C 13 069</t>
  </si>
  <si>
    <t>Update to reflect instructions for gross weighing of API's prior to dispensing</t>
  </si>
  <si>
    <t>C 13 070</t>
  </si>
  <si>
    <t>Combine E-48 and E-49 into E-49. Obsolete E-48</t>
  </si>
  <si>
    <t>SOP E-48, SOP E-49</t>
  </si>
  <si>
    <t>C 13 071</t>
  </si>
  <si>
    <t>Rev 2 to Rev 3 to update procedures.</t>
  </si>
  <si>
    <t>C 13 072</t>
  </si>
  <si>
    <t>Rev 1 to Rev 2 to update procedures.</t>
  </si>
  <si>
    <t>C 13 073</t>
  </si>
  <si>
    <t>SOP T-04 and T-19</t>
  </si>
  <si>
    <t>Obsolete procedures.  No longer release testing ISP material</t>
  </si>
  <si>
    <t>C 13 074</t>
  </si>
  <si>
    <t>C 13 075</t>
  </si>
  <si>
    <t>C 13 076</t>
  </si>
  <si>
    <t>rev 1 to 2</t>
  </si>
  <si>
    <t>rev 5 to 6</t>
  </si>
  <si>
    <t>C 13 077</t>
  </si>
  <si>
    <t>C 13 078</t>
  </si>
  <si>
    <t>SOP E-63</t>
  </si>
  <si>
    <t>rev 0 to 1</t>
  </si>
  <si>
    <t>rev 2 to 3</t>
  </si>
  <si>
    <t>C 13 079</t>
  </si>
  <si>
    <t>C 13 080</t>
  </si>
  <si>
    <t>SP/3526/002</t>
  </si>
  <si>
    <t>rev 00 to rev 01</t>
  </si>
  <si>
    <t>Cancelled - content incorporated in T-20.2</t>
  </si>
  <si>
    <t>hard copy of C 11 069 cannot be located</t>
  </si>
  <si>
    <t>Cancelled, see C 13 073</t>
  </si>
  <si>
    <t>rev 4 to rev 5, Revise review periods of select SOP's from 2 to 3 years based on a low risk assessment.</t>
  </si>
  <si>
    <t>cancelled, see C 13 079</t>
  </si>
  <si>
    <t>C 13 081</t>
  </si>
  <si>
    <t>C 13 083</t>
  </si>
  <si>
    <t>SOP A-07 and SOP A-20</t>
  </si>
  <si>
    <r>
      <t>SOP A-07 rev 3 to rev 4 to include SOP A-20 content.  SOP A-</t>
    </r>
    <r>
      <rPr>
        <sz val="10"/>
        <rFont val="Calibri"/>
        <family val="2"/>
      </rPr>
      <t>_x001E_</t>
    </r>
    <r>
      <rPr>
        <sz val="10"/>
        <rFont val="Century Gothic"/>
        <family val="2"/>
      </rPr>
      <t>20 to be obsoleted.</t>
    </r>
  </si>
  <si>
    <t>C 13 082</t>
  </si>
  <si>
    <t>Dust Collector System</t>
  </si>
  <si>
    <t>Install a damper and in-line fan to the first floor dust collector system for CTM mfg rooms, R&amp;D rooms and Contract MFG room</t>
  </si>
  <si>
    <t>C 13 084</t>
  </si>
  <si>
    <t>A3______rev. 0 to rev. 1</t>
  </si>
  <si>
    <t>Revise batch record due to formula change</t>
  </si>
  <si>
    <t>C 13 085</t>
  </si>
  <si>
    <t>Install Empower 3 on the remainder of Waters HPLCs (Alliance 1, 3, 4 &amp; 5)</t>
  </si>
  <si>
    <t>Part of Empower 3 Validation Plan</t>
  </si>
  <si>
    <t>C 13 086</t>
  </si>
  <si>
    <t>AM/3525/001 rev 01 to 02, add ID, linearity std, 3 pt calibration, placebo prep, update chromatograms</t>
  </si>
  <si>
    <t>Method validation, see LIR</t>
  </si>
  <si>
    <t>SZ/PS</t>
  </si>
  <si>
    <t>C 13 087</t>
  </si>
  <si>
    <t>C 13 088</t>
  </si>
  <si>
    <t>C 13 089</t>
  </si>
  <si>
    <t>C 13 090</t>
  </si>
  <si>
    <t>Marcoat Raw Specification</t>
  </si>
  <si>
    <t>Plasacryl Raw Specification</t>
  </si>
  <si>
    <t>C 13 091</t>
  </si>
  <si>
    <t>SOP A-21</t>
  </si>
  <si>
    <t>Rev 2 to Rev 3 for CAPA and Empower 3</t>
  </si>
  <si>
    <t>C 13 092</t>
  </si>
  <si>
    <t>Buchi B-290 Spray Dryer.  ID: L401</t>
  </si>
  <si>
    <t>SOP A-30</t>
  </si>
  <si>
    <t>Rev 0 to Rev 1; minor editorial changes and add references to SOPs A-28 &amp; I-02</t>
  </si>
  <si>
    <t>Align to current practice, include new testing requirements</t>
  </si>
  <si>
    <t>C 13 093</t>
  </si>
  <si>
    <t>SOP P-02 rev. 3 to rev. 4</t>
  </si>
  <si>
    <t>C 13 094</t>
  </si>
  <si>
    <t>SOP F-06 rev. 2 to rev. 3</t>
  </si>
  <si>
    <t>Revise to include cleaning procedures for dust collector arms.</t>
  </si>
  <si>
    <t>JS/DM</t>
  </si>
  <si>
    <t>C 13 095</t>
  </si>
  <si>
    <t>Correct instructions for a confomring appearance test</t>
  </si>
  <si>
    <t>SOP T-20 rev. 2 to rev. 3</t>
  </si>
  <si>
    <t>C 13 096</t>
  </si>
  <si>
    <t>SOP T-09 rev. 3 to rev. 4</t>
  </si>
  <si>
    <t>Revise to include guidance on probe selection based on product type, record S/N of probe on test form</t>
  </si>
  <si>
    <t>C 13 097</t>
  </si>
  <si>
    <t>Logbook for Analytical Lab</t>
  </si>
  <si>
    <t>Archive logbooks RA111-01, RA112-01 and start one new logbook for rooms A111, A112 and A116B.  Logbook will also apply to fume hood L292 located within the Analytical Lab.</t>
  </si>
  <si>
    <t>C 13 098</t>
  </si>
  <si>
    <t>Logbooks for pH meters A185 &amp; A212</t>
  </si>
  <si>
    <t>New logbooks to include record of probe s/n.</t>
  </si>
  <si>
    <t>C 13 099</t>
  </si>
  <si>
    <t>Disconnect condensate heater on stability chamber A143</t>
  </si>
  <si>
    <t>C 13 100</t>
  </si>
  <si>
    <t>Revise S-16 emergency evacuation for clairy and ot incorporate new practices.</t>
  </si>
  <si>
    <t>Revise to include assembly, clean and disassembly of dust collector for CTM manufacturing and Contract Services manufacturing when needed. Aslo review for accuracy and any additional changes needed</t>
  </si>
  <si>
    <t>C 13 101</t>
  </si>
  <si>
    <t>C 13 102</t>
  </si>
  <si>
    <t>C 13 103</t>
  </si>
  <si>
    <t>SOP D-04 rev 3 to 4</t>
  </si>
  <si>
    <t>update review period requirement, clarify procedures, CAPA 13-019 item 1</t>
  </si>
  <si>
    <t>SOP Q-15 rev 2 to 3</t>
  </si>
  <si>
    <t>update for accuracy acceptance criteria for balances which use F class weights for accuracy verification.  CAPA 13-012 item 2</t>
  </si>
  <si>
    <t>SOP Q-22 rev 3 to 4</t>
  </si>
  <si>
    <t>add BSE/TSE program section, CAPA 13-017 item 4</t>
  </si>
  <si>
    <t>Add requirement to demonstrate effectiveness of annual cGMP training via questionaire.</t>
  </si>
  <si>
    <t>C 13 104</t>
  </si>
  <si>
    <t>SOP to be obsoleted as procedure is addressed within SOP P-02.</t>
  </si>
  <si>
    <t>C 13 105</t>
  </si>
  <si>
    <t>SOP R-09 rev. 1 to rev. 2</t>
  </si>
  <si>
    <t xml:space="preserve">completed </t>
  </si>
  <si>
    <t>Target Date Met? (Y, N, N/A)</t>
  </si>
  <si>
    <t>Y</t>
  </si>
  <si>
    <t>N</t>
  </si>
  <si>
    <t>C 13 106</t>
  </si>
  <si>
    <t>ACG2 rev. 2 to rev. 3</t>
  </si>
  <si>
    <t>Anatabine Citrate Granulation recipe rev. 2 to rev. 3 to relflect new parameters</t>
  </si>
  <si>
    <t>C 13 107</t>
  </si>
  <si>
    <t>PS/3342/001 &amp; PS/3342/002</t>
  </si>
  <si>
    <t>Rev 1 to Rev 2 for both to add EP method references and more specific specifications.</t>
  </si>
  <si>
    <t>C 13 108</t>
  </si>
  <si>
    <t>ACG71KG, A3______</t>
  </si>
  <si>
    <t>Revise ACG71KF, A3______rev. 1 t0 rev. 2 to update parametrers due to formula change, new raw materail</t>
  </si>
  <si>
    <t>C 13 109</t>
  </si>
  <si>
    <t>C 13 110</t>
  </si>
  <si>
    <t>AM/3525/001 rev 02 to rev 03</t>
  </si>
  <si>
    <t>Revisions based on validation results.</t>
  </si>
  <si>
    <t>C 13 111</t>
  </si>
  <si>
    <t>AM/3525/003 rev 00 to rev 01</t>
  </si>
  <si>
    <t>SZ</t>
  </si>
  <si>
    <t>C 13 112</t>
  </si>
  <si>
    <t>RM/2864/006.00 Ammonium Hydroxide RM Specification</t>
  </si>
  <si>
    <t>new document</t>
  </si>
  <si>
    <t>C 13 113</t>
  </si>
  <si>
    <t>Firmware on Agilent HPLC systems</t>
  </si>
  <si>
    <t>Downgrade versions in order to improve communication with Empower 3.</t>
  </si>
  <si>
    <t>Variable Frequency Drive</t>
  </si>
  <si>
    <t>Variable Frequency Drive to power mixer for kettle P-01 in room 128 replaced with same model drive.</t>
  </si>
  <si>
    <t>No paper copy on file</t>
  </si>
  <si>
    <t>C 13 114</t>
  </si>
  <si>
    <t>C 13 115</t>
  </si>
  <si>
    <t>SOP F-08 Environmental Monitoring</t>
  </si>
  <si>
    <t>New SOP for routine environmental monitoring program</t>
  </si>
  <si>
    <t>SOP E-78 EMD Milliport MAS-100NT Air Sampler</t>
  </si>
  <si>
    <t>New SOP for operation of the air sampler to be used for the environmental monitoring program</t>
  </si>
  <si>
    <t>C 13 116</t>
  </si>
  <si>
    <t xml:space="preserve">Security camera installation </t>
  </si>
  <si>
    <t>C 13 117</t>
  </si>
  <si>
    <t>SOP Q-18</t>
  </si>
  <si>
    <t>New SOP for Asset Management application</t>
  </si>
  <si>
    <t>Cameras required in different areas for controlled substance work (Rm 124, Rm 116B).</t>
  </si>
  <si>
    <t>C 13 118</t>
  </si>
  <si>
    <t>SOP E-38 rev 2 to rev 3</t>
  </si>
  <si>
    <t>Review due; revision to include more detail for setup and operation</t>
  </si>
  <si>
    <t>Product Complaint Handling from rev. 0 to rev.1</t>
  </si>
  <si>
    <t>C 13 119</t>
  </si>
  <si>
    <t>CA/3525/001, PS/3525/001 &amp; CoC for Lot 3525-01</t>
  </si>
  <si>
    <t>Revise to remove "AXS-02" from product description as per client.</t>
  </si>
  <si>
    <t>C 13 120</t>
  </si>
  <si>
    <t>PS/3561/001 &amp; PS/3561/002</t>
  </si>
  <si>
    <t>Revise regimen for appearance in both docs and revise appearance spec for PS/3561/002.</t>
  </si>
  <si>
    <t>C 13 121</t>
  </si>
  <si>
    <t>Revise and harmonize Plasacryl, Plasacryl T20, and Plasacryl HTP20 product specifications; refer to reports QA/2862/005 and QA/2862/008</t>
  </si>
  <si>
    <t>completed; held up by client</t>
  </si>
  <si>
    <t>C 13 122</t>
  </si>
  <si>
    <t>PS/3561/001.01 &amp; SP/3561/001.00</t>
  </si>
  <si>
    <t>Revise to change spec for Unknown 3, only for stability not release.</t>
  </si>
  <si>
    <t>C 13 123</t>
  </si>
  <si>
    <t>SP/3556/003 Rev 00 to Rev 01</t>
  </si>
  <si>
    <t>To remove the active from the study as it will be recoated as per I 13 020 and placed on stability under a new protocol.</t>
  </si>
  <si>
    <t>RFC #</t>
  </si>
  <si>
    <t>INITIATION DATE</t>
  </si>
  <si>
    <t>PRODUCT/SOP/DOCUMENT ETC
IMPACTED</t>
  </si>
  <si>
    <t>RATIONALE/DESCRIPTION</t>
  </si>
  <si>
    <t>CUSTOMER NAME</t>
  </si>
  <si>
    <t>TYPE</t>
  </si>
  <si>
    <t>SYSTEM</t>
  </si>
  <si>
    <t>RESPONSIBLE PERSON</t>
  </si>
  <si>
    <t>QA CONTACT</t>
  </si>
  <si>
    <t>TARGET DATE</t>
  </si>
  <si>
    <t>CURRENT STATUS</t>
  </si>
  <si>
    <t>RFE SUBMITTED</t>
  </si>
  <si>
    <t>DATE  CLOSED</t>
  </si>
  <si>
    <t>TARGET DATE MET?</t>
  </si>
  <si>
    <t>CLOSEOUT TIMEFRAME</t>
  </si>
  <si>
    <t>COMMENTS</t>
  </si>
  <si>
    <t>Open in change control logbook before spreadsheet</t>
  </si>
  <si>
    <t>Choose  from:</t>
  </si>
  <si>
    <t>Choose  code from:</t>
  </si>
  <si>
    <t>Major</t>
  </si>
  <si>
    <t>Analytical Document (A)</t>
  </si>
  <si>
    <t>0-1M</t>
  </si>
  <si>
    <t>Moderate</t>
  </si>
  <si>
    <t>SE/CS Batch Record (BR)</t>
  </si>
  <si>
    <t>1-3M</t>
  </si>
  <si>
    <t>Minor</t>
  </si>
  <si>
    <t>SE Document Other (SE)</t>
  </si>
  <si>
    <t>3-6M</t>
  </si>
  <si>
    <t>Equipment (E)</t>
  </si>
  <si>
    <t>6-12M</t>
  </si>
  <si>
    <t>Facility (F)</t>
  </si>
  <si>
    <t>12M+</t>
  </si>
  <si>
    <t>Document Other (D)</t>
  </si>
  <si>
    <t>SOP (SOP)</t>
  </si>
  <si>
    <t>C 14 001</t>
  </si>
  <si>
    <t>1/2/14</t>
  </si>
  <si>
    <t>SOP A-15 rev 5 to rev 6</t>
  </si>
  <si>
    <t>Add Specialty Excipients stability program</t>
  </si>
  <si>
    <t>SOP</t>
  </si>
  <si>
    <t>Open</t>
  </si>
  <si>
    <t>C 14 002</t>
  </si>
  <si>
    <t>AM/3506/003 rev 00 to rev 01</t>
  </si>
  <si>
    <t>Necessary revisions</t>
  </si>
  <si>
    <t>Hough Ear Institute</t>
  </si>
  <si>
    <t>A</t>
  </si>
  <si>
    <t>Closed</t>
  </si>
  <si>
    <t>1/6/14</t>
  </si>
  <si>
    <t>C 14 003</t>
  </si>
  <si>
    <t>1/9/14</t>
  </si>
  <si>
    <t>SOP E-62 rev 0 to rev 1</t>
  </si>
  <si>
    <t>Review due</t>
  </si>
  <si>
    <t>C 14 004</t>
  </si>
  <si>
    <t>1/28/14</t>
  </si>
  <si>
    <t>SOP E-47 rev 1 to rev 2</t>
  </si>
  <si>
    <t>SOP made obsolete</t>
  </si>
  <si>
    <t>C 14 005</t>
  </si>
  <si>
    <t>1/27/14</t>
  </si>
  <si>
    <t>Construction/installation of Mobile Minor spray drier and chiller (rm 220)</t>
  </si>
  <si>
    <t>New equipment/facility modification</t>
  </si>
  <si>
    <t>C 14 006</t>
  </si>
  <si>
    <t>AM/3542/001 rev 00 to rev 01</t>
  </si>
  <si>
    <t>Syntrix</t>
  </si>
  <si>
    <t>C 14 007</t>
  </si>
  <si>
    <t>C 14 008</t>
  </si>
  <si>
    <t>C 14 009</t>
  </si>
  <si>
    <t>CA/3551/001 rev 00 to rev 01</t>
  </si>
  <si>
    <t>To update corrected results  from QCL</t>
  </si>
  <si>
    <t>CDA</t>
  </si>
  <si>
    <t>C 14 010</t>
  </si>
  <si>
    <t>SP/3556/004 rev 00 to rev01</t>
  </si>
  <si>
    <t>add 5C condition to stability study</t>
  </si>
  <si>
    <t>Naurex</t>
  </si>
  <si>
    <t>F</t>
  </si>
  <si>
    <t>SOP E-08 rev 2 to rev 3</t>
  </si>
  <si>
    <t>SOP E-55 rev 1 to rev 2</t>
  </si>
  <si>
    <t>C 14 011</t>
  </si>
  <si>
    <t>SOP E-67 rev 1 to rev 2</t>
  </si>
  <si>
    <t>update per CAPA 13 035</t>
  </si>
  <si>
    <t>C 14 012</t>
  </si>
  <si>
    <t>SOP E-50 rev 1 to rev 2</t>
  </si>
  <si>
    <t>C 14 013</t>
  </si>
  <si>
    <t>new SOP S-24</t>
  </si>
  <si>
    <t>Radiation Safety Program</t>
  </si>
  <si>
    <t>C 14 014</t>
  </si>
  <si>
    <t>C 14 015</t>
  </si>
  <si>
    <t>SOP A-23 rev 1 to rev 2</t>
  </si>
  <si>
    <t>SOP A-02 rev 2 to rev 3</t>
  </si>
  <si>
    <t>C 14 016</t>
  </si>
  <si>
    <t>C 14 017</t>
  </si>
  <si>
    <t>C 14 018</t>
  </si>
  <si>
    <t>C 14 019</t>
  </si>
  <si>
    <t>C 14 020</t>
  </si>
  <si>
    <t>E-01 rev 0 to rev 1</t>
  </si>
  <si>
    <t>E-45 rev 2 to rev 3</t>
  </si>
  <si>
    <t>E-51 rev 0 to rev 1</t>
  </si>
  <si>
    <t>E-56 rev 1 to rev 2</t>
  </si>
  <si>
    <t>new SOP E-79; obsolete T-48 rev 2</t>
  </si>
  <si>
    <t>Biennial review rev. 0 to rev. 1.  Add new equipment model</t>
  </si>
  <si>
    <t>C 14 021</t>
  </si>
  <si>
    <t>C 14 022</t>
  </si>
  <si>
    <t>new SOP E-80</t>
  </si>
  <si>
    <t>Create equipment SOP for Mobile Minor spray dryer</t>
  </si>
  <si>
    <t>Create equipment SOP for Datacolor; obsolete test method SOP</t>
  </si>
  <si>
    <t>D-06 rev 2 to rev 3</t>
  </si>
  <si>
    <t>no</t>
  </si>
  <si>
    <t>Held up by client</t>
  </si>
  <si>
    <t>C 14 023</t>
  </si>
  <si>
    <t>PS/3555/001.00 &amp; PS/3555/002.00 both to rev 1</t>
  </si>
  <si>
    <t>Add micro testing</t>
  </si>
  <si>
    <t>Can-Fite</t>
  </si>
  <si>
    <t>SP/3555/001 rev 0 to rev 1</t>
  </si>
  <si>
    <t>C 14 024</t>
  </si>
  <si>
    <t>C 14 025</t>
  </si>
  <si>
    <t>CofA MN140101</t>
  </si>
  <si>
    <t>SE</t>
  </si>
  <si>
    <t>Revise CofA to reflect Marcoat 125N Title.  Template for Marcoat 125 used by mistake.  No effect on specifications or test results. Correct Lot number used.</t>
  </si>
  <si>
    <t>C 14 026</t>
  </si>
  <si>
    <t>Amend the GMP release of 25mg CF-102 capsules (3555-12) and Placebo (3555-01) to comply with EU requirements.</t>
  </si>
  <si>
    <t>client's request</t>
  </si>
  <si>
    <t>D</t>
  </si>
  <si>
    <t>AM/3542/002 rev 00 to rev 01</t>
  </si>
  <si>
    <t>Revise method to reflect method validation.</t>
  </si>
  <si>
    <t>C 14 028</t>
  </si>
  <si>
    <t>C 14 027</t>
  </si>
  <si>
    <t>E-46 rev 0 to rev 1</t>
  </si>
  <si>
    <t>C 14 029</t>
  </si>
  <si>
    <t>AM/3539/001 rev 00 to rev 01</t>
  </si>
  <si>
    <t>Revise to add LOQ and clarify swab procedure.</t>
  </si>
  <si>
    <t>Bimeda</t>
  </si>
  <si>
    <t>C 14 030</t>
  </si>
  <si>
    <t>E-31 rev 2 to rev 3</t>
  </si>
  <si>
    <t>Changes per CAPA 14-015, review due</t>
  </si>
  <si>
    <t>C 14 031</t>
  </si>
  <si>
    <t>Review due; remove wet blending</t>
  </si>
  <si>
    <t>E-05 rev 4 to rev 5</t>
  </si>
  <si>
    <t>C 14 032</t>
  </si>
  <si>
    <t>Q-02 rev 2 to rev 3</t>
  </si>
  <si>
    <t>per CAPA 13-021 item 1</t>
  </si>
  <si>
    <t>C 14 033</t>
  </si>
  <si>
    <t>PS/3575/001 and PS/3575/002, rev 0 to rev 1</t>
  </si>
  <si>
    <t>Add ID by UV test and change acceptance criteria for 3 unspecified impurities from NMT 0.5% to NMT 0.7%.</t>
  </si>
  <si>
    <t>Rock Creek</t>
  </si>
  <si>
    <t>F-08 (changed to E-52)</t>
  </si>
  <si>
    <t>Biennial review rev. 0 to rev. 1 - SOP renumbered to Q-10 rev 0; F-07 made obsolete</t>
  </si>
  <si>
    <t>E-39 rev 2 to rev 3</t>
  </si>
  <si>
    <t>C 14 034</t>
  </si>
  <si>
    <t>C 14 035</t>
  </si>
  <si>
    <t>Obsolete S-21 rev 2</t>
  </si>
  <si>
    <t>Content is adequately covered by other SOPs (P-02, S-10, S-09, S-17, S-02, S-16, S-11)</t>
  </si>
  <si>
    <t>Canceled, see C 13 060</t>
  </si>
  <si>
    <t>SOP A-22 rev 1 to rev 2; obsolete A-29 rev 0</t>
  </si>
  <si>
    <t>C 14 036</t>
  </si>
  <si>
    <t>S-11 rev 1 to 2</t>
  </si>
  <si>
    <t>cancelled, see C 14 020</t>
  </si>
  <si>
    <t>Rev. 2 to rev. 3 biennial review</t>
  </si>
  <si>
    <t>C 14 037</t>
  </si>
  <si>
    <t>C 14 038</t>
  </si>
  <si>
    <t>AM/3555/001 rev 00 to rev 01</t>
  </si>
  <si>
    <t>AM/3555/002 rev 01 to rev 01</t>
  </si>
  <si>
    <t>to add validation results</t>
  </si>
  <si>
    <t>C 14 039</t>
  </si>
  <si>
    <t>DI water system on first floor</t>
  </si>
  <si>
    <t>Swap the ballast in the UV lamp with identical ballast in the UV lamp of the DI water system on the second floor.</t>
  </si>
  <si>
    <t>Emerson</t>
  </si>
  <si>
    <t>E</t>
  </si>
  <si>
    <t>C 14 040</t>
  </si>
  <si>
    <t>Add HVAC return vent to Room 122</t>
  </si>
  <si>
    <t>Room 122</t>
  </si>
  <si>
    <t>C 14 041</t>
  </si>
  <si>
    <t>P006 Emulsifier</t>
  </si>
  <si>
    <t>Remove the VFD from the unit and add a disconnect switch.</t>
  </si>
  <si>
    <t>Create new master cleaning and manufacturing batch records and change lot numbering system, create new BR issuance logbook</t>
  </si>
  <si>
    <t>C 14 042</t>
  </si>
  <si>
    <t>Room 121 and Room 124</t>
  </si>
  <si>
    <t>C 14 043</t>
  </si>
  <si>
    <t>Revision to reflect organizational changes.</t>
  </si>
  <si>
    <t>C 14 044</t>
  </si>
  <si>
    <t>SOP D-03 rev 3 to rev 4</t>
  </si>
  <si>
    <t>Revise for CAPA 13-017, item #3b and biennial review</t>
  </si>
  <si>
    <t>C 14 045</t>
  </si>
  <si>
    <t>AM/3594/001 rev 00 to rev 01</t>
  </si>
  <si>
    <t>Topokine</t>
  </si>
  <si>
    <t>Revised to update standard and sample preparation to reflect method verification</t>
  </si>
  <si>
    <t>C 14 046</t>
  </si>
  <si>
    <t>Customer request</t>
  </si>
  <si>
    <t>Nutra/Herbalife</t>
  </si>
  <si>
    <t>Create customer specific (Nutra/Herbalife) Marcoat 125 docs: CoA, PS/technical bulletin</t>
  </si>
  <si>
    <t>Revise batch records to include a check by for raw material lot number and expirataion date. BR-P001 to rev. 7, BR-P002 to rev. 2, BR-T20-001 to rev. 3, BR-001 to rev. 14, BR-002 to rev. 11.</t>
  </si>
  <si>
    <t>Batch record AC______Rev. 0 to rev. 1                                                               Create new Anatabine Citrate Granulation batch record                          A4______ rev. 0 ACG71kg</t>
  </si>
  <si>
    <t>completed by target date</t>
  </si>
  <si>
    <t>Marcoat 125N CoA rev 0 to rev 1</t>
  </si>
  <si>
    <t>PS/2952/001, PS/2952/002 &amp; PS/2952/003</t>
  </si>
  <si>
    <t>C 14 047</t>
  </si>
  <si>
    <t>Revise to address the recording of appropriate decimal places during weighings and reformat to add clarity.</t>
  </si>
  <si>
    <t>RFC written after completed</t>
  </si>
  <si>
    <t>Batch record templates for PlasACRYL and Marcoat products</t>
  </si>
  <si>
    <t>C 14 048</t>
  </si>
  <si>
    <t>AM/3500/005 rev 0 to rev 1</t>
  </si>
  <si>
    <t>Revise to include validation results and new sample prep.</t>
  </si>
  <si>
    <t>C 14 049</t>
  </si>
  <si>
    <t>AM/3500/007 rev 0 to rev 1</t>
  </si>
  <si>
    <t>Revise to include validation results.</t>
  </si>
  <si>
    <t>C 14 050</t>
  </si>
  <si>
    <t>Requirement</t>
  </si>
  <si>
    <t>C 14 051</t>
  </si>
  <si>
    <t>New packaging component for PlasACRYL product line.</t>
  </si>
  <si>
    <t>As per resolution of customer complaint PCR-13-002.</t>
  </si>
  <si>
    <t>PT141003 - first batch packed in new 2 gal pail</t>
  </si>
  <si>
    <t>new SOP E-81 for new equipment ProFiller 3700</t>
  </si>
  <si>
    <t>C 14 052</t>
  </si>
  <si>
    <t>Marcoat CoA templates (4)</t>
  </si>
  <si>
    <t>Bring certificates of analysis into compliance with 21CFR111.75.</t>
  </si>
  <si>
    <t>C 14 053</t>
  </si>
  <si>
    <t>Revise specifications for Assay/RS based on justification supplied by client.</t>
  </si>
  <si>
    <t>No</t>
  </si>
  <si>
    <t>C 14 054</t>
  </si>
  <si>
    <t>Production Rooms 217, 218 and 219</t>
  </si>
  <si>
    <t>C 14 055</t>
  </si>
  <si>
    <t>SOP E-24 rev 3 to rev 4</t>
  </si>
  <si>
    <t>Due for review; add self-test procedure and remove equipment no longer in service.</t>
  </si>
  <si>
    <t>Install HEPA filters in 217 and 218; Reconfigure dust collection arms and add electrical drops in all 3; Required to run future projects</t>
  </si>
  <si>
    <t>C 14 056</t>
  </si>
  <si>
    <t>C 14 057</t>
  </si>
  <si>
    <t>C 14 053B</t>
  </si>
  <si>
    <t>AM/3626/001 rev 0 to rev 1</t>
  </si>
  <si>
    <t>Biota</t>
  </si>
  <si>
    <t>Correction to column wash</t>
  </si>
  <si>
    <t>AM/3592/001 rev 0 to rev 1</t>
  </si>
  <si>
    <t>AM/3592/002 rev 0 to rev 1</t>
  </si>
  <si>
    <t>C 14 058</t>
  </si>
  <si>
    <t>SOP E-04 rev 2 to rev 3</t>
  </si>
  <si>
    <t>periodic review</t>
  </si>
  <si>
    <t>clarifications</t>
  </si>
  <si>
    <t>Meyer</t>
  </si>
  <si>
    <t>PS/3164/001 rev 0 to rev 1</t>
  </si>
  <si>
    <t>Add 230V disconnect to Room 121</t>
  </si>
  <si>
    <t>Equipment requirement</t>
  </si>
  <si>
    <t>C14 059</t>
  </si>
  <si>
    <t>Add 110v outlet in Room 124.</t>
  </si>
  <si>
    <t>C 15 001</t>
  </si>
  <si>
    <t>Open in Change Control Logbook before filling in spreadsheet!</t>
  </si>
  <si>
    <t>Radius</t>
  </si>
  <si>
    <t>MF/3647/002 Rev 0 to Rev 1</t>
  </si>
  <si>
    <t>Correction of a typographical error</t>
  </si>
  <si>
    <t>C 15 002</t>
  </si>
  <si>
    <t>Lab hoods</t>
  </si>
  <si>
    <t>Improvement to maintenance; add calibration requirement.</t>
  </si>
  <si>
    <t>C 15 003</t>
  </si>
  <si>
    <t>AR/2864/001 rev 00 to rev 01</t>
  </si>
  <si>
    <t>Add HTP20; make minor corrections</t>
  </si>
  <si>
    <t>C 15 004</t>
  </si>
  <si>
    <t>Training Module</t>
  </si>
  <si>
    <t>Add new job roles</t>
  </si>
  <si>
    <t>Yes</t>
  </si>
  <si>
    <t>C 15 005</t>
  </si>
  <si>
    <t>MF/3626/001 rev 00 to rev 01</t>
  </si>
  <si>
    <t>Expand lab capacity</t>
  </si>
  <si>
    <t>C 15 006</t>
  </si>
  <si>
    <t>TR/3585/003 rev 00 to rev 01</t>
  </si>
  <si>
    <t>necessary corrections</t>
  </si>
  <si>
    <t>C 15 007</t>
  </si>
  <si>
    <t>SOP Q-28 rev 2 to rev 3</t>
  </si>
  <si>
    <t>Periodic review due</t>
  </si>
  <si>
    <t>C 15 008</t>
  </si>
  <si>
    <t>SOP D-18 rev 1 to rev 2</t>
  </si>
  <si>
    <t>SOP D-15 rev 3 to rev 4</t>
  </si>
  <si>
    <t>C 15 009</t>
  </si>
  <si>
    <t>C 15 010</t>
  </si>
  <si>
    <t>SOP Q-30 rev 1 to rev 2</t>
  </si>
  <si>
    <t>C 15 011</t>
  </si>
  <si>
    <t>Make obsolete Master Raw Material Sampling BR AS___ rev.0</t>
  </si>
  <si>
    <t>Product no longer manufactured and it may need revision if needed in future.</t>
  </si>
  <si>
    <t>BR</t>
  </si>
  <si>
    <t>C 15 012</t>
  </si>
  <si>
    <t>PS/3525/001.01</t>
  </si>
  <si>
    <t>Revise micro spec to align with that of Placebo</t>
  </si>
  <si>
    <t>Axsome</t>
  </si>
  <si>
    <t>C 15 013</t>
  </si>
  <si>
    <t>Laboratory</t>
  </si>
  <si>
    <t>Run a line from helium cylinder in A112 to dissolution equipment in A116B to allow sparging of dissolution vessels.</t>
  </si>
  <si>
    <t>C 15 014</t>
  </si>
  <si>
    <t>SOP E-41 rev 1 to rev 2</t>
  </si>
  <si>
    <t>C 15 015</t>
  </si>
  <si>
    <t>SOP E-42 rev 1 to rev 2</t>
  </si>
  <si>
    <t>C 15 016</t>
  </si>
  <si>
    <t>SOP E-63 Rev 0 to Rev 1</t>
  </si>
  <si>
    <t>C 15 017</t>
  </si>
  <si>
    <t>SOP E-19 Rev 1 to Rev 2</t>
  </si>
  <si>
    <t>C 15 018</t>
  </si>
  <si>
    <t>Replace 3 inline air vents on the boiler system that services Rooms 127 &amp; 128</t>
  </si>
  <si>
    <t>corroded parts need to be replaced</t>
  </si>
  <si>
    <t>C 15 019</t>
  </si>
  <si>
    <t>SOP E-13 rev 2 to rev 3</t>
  </si>
  <si>
    <t>C 15 020</t>
  </si>
  <si>
    <t>Site Master File</t>
  </si>
  <si>
    <t>update required</t>
  </si>
  <si>
    <t>C 15 021</t>
  </si>
  <si>
    <t>Room 123A</t>
  </si>
  <si>
    <t>Remove the slats between in-process and finished goods areas.</t>
  </si>
  <si>
    <t>C 15 022</t>
  </si>
  <si>
    <t>SOP I-01 rev 0 to rev 1</t>
  </si>
  <si>
    <t>see MF/2968/001 &amp; C12 034</t>
  </si>
  <si>
    <t>withdrawn</t>
  </si>
  <si>
    <t>New SOP P-07</t>
  </si>
  <si>
    <t>C 15 023</t>
  </si>
  <si>
    <t>SOP A-06 rev 1 ro rev 2</t>
  </si>
  <si>
    <t>C 15 024</t>
  </si>
  <si>
    <t>SOP Q-23 rev 1 to rev 2</t>
  </si>
  <si>
    <t>C 15 025</t>
  </si>
  <si>
    <t>PS/3556/001 rev. 0 to 1</t>
  </si>
  <si>
    <t>Revise micro spec</t>
  </si>
  <si>
    <t>ML</t>
  </si>
  <si>
    <r>
      <t>periodic review due;
CAPA 14-042 #3 and CAPA 15</t>
    </r>
    <r>
      <rPr>
        <sz val="10"/>
        <rFont val="Calibri"/>
        <family val="2"/>
      </rPr>
      <t>-</t>
    </r>
    <r>
      <rPr>
        <sz val="10"/>
        <rFont val="Arial"/>
        <family val="2"/>
      </rPr>
      <t>010 #2</t>
    </r>
  </si>
  <si>
    <t>C 15 026</t>
  </si>
  <si>
    <t>SOP E-25 rev 2 to rev 3</t>
  </si>
  <si>
    <t>C 15 027</t>
  </si>
  <si>
    <t>C 15 028</t>
  </si>
  <si>
    <t>SOP E-76 rev 0 to rev 1</t>
  </si>
  <si>
    <t>Periodic review and CAPA 14-029</t>
  </si>
  <si>
    <t>SOP T-08 rev 2 to rev 3</t>
  </si>
  <si>
    <t>C 15 029</t>
  </si>
  <si>
    <t>CA/3647/001 rev 0 to 1</t>
  </si>
  <si>
    <t>update related substance result</t>
  </si>
  <si>
    <t>C 15 030</t>
  </si>
  <si>
    <t>AM/3637/001 rev 0 to 1</t>
  </si>
  <si>
    <t>update sample prep</t>
  </si>
  <si>
    <t>Theravida</t>
  </si>
  <si>
    <t>C 15 031</t>
  </si>
  <si>
    <t>TrainTrack application</t>
  </si>
  <si>
    <t>requires validation</t>
  </si>
  <si>
    <t>C 15 032</t>
  </si>
  <si>
    <t>AM/3500/005 rev 1 to 2</t>
  </si>
  <si>
    <t>C 15 033</t>
  </si>
  <si>
    <t>Change Multiple documents for Marcoat 125N manufactured for OmniActive.</t>
  </si>
  <si>
    <t>OmniActive</t>
  </si>
  <si>
    <t>JT/SK</t>
  </si>
  <si>
    <t>JT</t>
  </si>
  <si>
    <t>C 15 034</t>
  </si>
  <si>
    <t>Korsch tablet press L144</t>
  </si>
  <si>
    <t>Replace the UPS with a different model UPS.</t>
  </si>
  <si>
    <t>C 15 035</t>
  </si>
  <si>
    <t>Analytical balance A068</t>
  </si>
  <si>
    <t>Move into HEPA filtered enclosure</t>
  </si>
  <si>
    <t>C 15 036</t>
  </si>
  <si>
    <t>AM/3626/002 rev 0 to 1</t>
  </si>
  <si>
    <t>update method to include method validation info</t>
  </si>
  <si>
    <t>C 15 037</t>
  </si>
  <si>
    <t>SOP F-08 rev 0 to rev 1</t>
  </si>
  <si>
    <t>Add action and alert limits</t>
  </si>
  <si>
    <t>C 15 038</t>
  </si>
  <si>
    <t>AM/3500/005.002</t>
  </si>
  <si>
    <t>clarify calculation of the IV Solution Assay</t>
  </si>
  <si>
    <t>Multiple Marcoat 125N documents specific to OmniActive</t>
  </si>
  <si>
    <t>C 15 039</t>
  </si>
  <si>
    <t>SOP A-09 rev 2 to rev 3</t>
  </si>
  <si>
    <t>C 15 040</t>
  </si>
  <si>
    <t>AM/3506/001.01, AM/3506/002.01 &amp; AM/3506/004.00</t>
  </si>
  <si>
    <t>Required corrections</t>
  </si>
  <si>
    <t>Hough</t>
  </si>
  <si>
    <t>LK</t>
  </si>
  <si>
    <t>Completed; see C 13 117</t>
  </si>
  <si>
    <t>C 15 041</t>
  </si>
  <si>
    <t>SOP E-65 rev 0 to rev 1</t>
  </si>
  <si>
    <t>C 15 042</t>
  </si>
  <si>
    <t>C 15 043</t>
  </si>
  <si>
    <t>C 15 044</t>
  </si>
  <si>
    <t>SOP F-20 rev 0 to rev 1</t>
  </si>
  <si>
    <t>SOP Q-20 rev 2 to rev 3</t>
  </si>
  <si>
    <t>Periodic review and CAPAs</t>
  </si>
  <si>
    <t>Periodic review and CAPA</t>
  </si>
  <si>
    <t>New SOP Q-34.0</t>
  </si>
  <si>
    <t>per CAPAs</t>
  </si>
  <si>
    <t>C 15 045</t>
  </si>
  <si>
    <t>Move the DataColor instrument from Alab to QCLAb</t>
  </si>
  <si>
    <t>Instrument is primarily used for QC testing</t>
  </si>
  <si>
    <t>C 15 046</t>
  </si>
  <si>
    <t>New computer for TOC A060</t>
  </si>
  <si>
    <t>outdated</t>
  </si>
  <si>
    <t>C 15 047</t>
  </si>
  <si>
    <t>CAPAs</t>
  </si>
  <si>
    <t>C 15 048</t>
  </si>
  <si>
    <t>SOP F-12 rev 0 to rev 1</t>
  </si>
  <si>
    <t>SOP A-10 rev 5 to rev 6</t>
  </si>
  <si>
    <t>DM/LMC</t>
  </si>
  <si>
    <t>C 15 049</t>
  </si>
  <si>
    <t>SOP P-07 rev 0 to rev 1</t>
  </si>
  <si>
    <t>C 15 050</t>
  </si>
  <si>
    <t>SOP E-12 rev 2 to rev 3</t>
  </si>
  <si>
    <t>C 15 051</t>
  </si>
  <si>
    <t>SOP Q-19 rev 1 to rev 2</t>
  </si>
  <si>
    <t>C 15 052</t>
  </si>
  <si>
    <t>Room 114</t>
  </si>
  <si>
    <t>Insufficient AC supply</t>
  </si>
  <si>
    <t>C 15 053</t>
  </si>
  <si>
    <t>PS/3561/002 rev 01 to rev 02</t>
  </si>
  <si>
    <t>Client request; update specifications to align with client's document.</t>
  </si>
  <si>
    <t>C 15 054</t>
  </si>
  <si>
    <t>FTIR Asset # A269</t>
  </si>
  <si>
    <t>Replace host computer.</t>
  </si>
  <si>
    <t>C 15 055</t>
  </si>
  <si>
    <t>PS/3547/001.00</t>
  </si>
  <si>
    <t>Update specification to conform to USP</t>
  </si>
  <si>
    <t>Allaysis</t>
  </si>
  <si>
    <t>MLR</t>
  </si>
  <si>
    <t>C 15 056</t>
  </si>
  <si>
    <t>SP/3682/001 and SP/3682/002</t>
  </si>
  <si>
    <t>Client request to include 18 and 24 month stability pull</t>
  </si>
  <si>
    <t>SK/NB</t>
  </si>
  <si>
    <t>C 15 057</t>
  </si>
  <si>
    <t>C 15 058</t>
  </si>
  <si>
    <t>Facility - 2nd floor gowning</t>
  </si>
  <si>
    <t>Change personnel flow to gowning area to avoid passing through locker rooms.</t>
  </si>
  <si>
    <t>Level 1</t>
  </si>
  <si>
    <t>C 15 059</t>
  </si>
  <si>
    <t>SOP E-66 rev 0 to be obsoleted and SOP A-33 rev 0 created in its place.</t>
  </si>
  <si>
    <t>Specifications and Test Methods Document for PlasACRYL HTP20 and corresponding CoA template.</t>
  </si>
  <si>
    <t>Error in document</t>
  </si>
  <si>
    <t>Periodic review</t>
  </si>
  <si>
    <t>Level 2</t>
  </si>
  <si>
    <t>SC</t>
  </si>
  <si>
    <t>C 15 060</t>
  </si>
  <si>
    <t>SOP E-10 rev 2 to rev 3</t>
  </si>
  <si>
    <t>C 15 061</t>
  </si>
  <si>
    <t>SOP Q-03 rev 0 to rev 1</t>
  </si>
  <si>
    <t>Periodic review and CAPA 14-053</t>
  </si>
  <si>
    <t>C 15 062</t>
  </si>
  <si>
    <t>SOP A-01 rev 2 to rev 3</t>
  </si>
  <si>
    <t>C 15 063</t>
  </si>
  <si>
    <t>SOP Q-12 rev 6 to rev 7</t>
  </si>
  <si>
    <t>Periodic review and CAPA 14-028 &amp; 14-052</t>
  </si>
  <si>
    <t>C 15 064</t>
  </si>
  <si>
    <t>SOP T-51 rev 0 to rev 1</t>
  </si>
  <si>
    <t>C 15 065</t>
  </si>
  <si>
    <t>Create &amp; Install a new liquid disposal system for A-Lab generated waste. Drain system into basement to reduce handling.</t>
  </si>
  <si>
    <t>Facility - A-Lab liquid waste disposal</t>
  </si>
  <si>
    <t>C 15 066</t>
  </si>
  <si>
    <t>SP/3660/001 rev 0 to rev 1</t>
  </si>
  <si>
    <t>Exclude API impurities from stability report</t>
  </si>
  <si>
    <t>C 15 067</t>
  </si>
  <si>
    <t>C 15 068</t>
  </si>
  <si>
    <t>Facility - room 218</t>
  </si>
  <si>
    <t>Add 208V, 30 amp and 480V, 30 amp line and receptacle for customer specific project</t>
  </si>
  <si>
    <t>AM/3500/005 rev 3 to rev 4; AM/3500/006 rev 0 to rev 1; AM/3500/007 rev 1 to 2</t>
  </si>
  <si>
    <t>revisions to be made</t>
  </si>
  <si>
    <t>Laguna</t>
  </si>
  <si>
    <t>C 15 069</t>
  </si>
  <si>
    <t>SOP E-83 rev 0</t>
  </si>
  <si>
    <t>New procedure for Nilfisk cleanroom vacuum</t>
  </si>
  <si>
    <t xml:space="preserve">AM/3547/001.01 to AM/3547/001.02 </t>
  </si>
  <si>
    <t>Update per MF/3547/001.00 and AR/3547/001.00</t>
  </si>
  <si>
    <t>AM/3506/004 rev 1 to rev 2</t>
  </si>
  <si>
    <t>Hough &amp; Otologics</t>
  </si>
  <si>
    <t>AM/3672/001 rev 0 to rev 1</t>
  </si>
  <si>
    <t xml:space="preserve">A </t>
  </si>
  <si>
    <t>Update to AM/3672/001</t>
  </si>
  <si>
    <t>SOP Q-31 Rev 0 to Rev 1</t>
  </si>
  <si>
    <t>SP/3682/001.01, SP/3682/002.01, SP/3682/003.00, PS/3682/001.00, PS/3682/002.00</t>
  </si>
  <si>
    <t>Create SOP Q-07, In-Process and Finished Products</t>
  </si>
  <si>
    <t>SOP Q-32 Rev 1 to Rev 2</t>
  </si>
  <si>
    <t>SOP Q-33 Rev 0 to Rev 1</t>
  </si>
  <si>
    <t>hot water system upstairs</t>
  </si>
  <si>
    <t>AM/3647/001 Rev 0 to Rev 1</t>
  </si>
  <si>
    <t>Facilities</t>
  </si>
  <si>
    <t>Remove the vinyl slats that separate rooms 110 and 111 from the rest of the back hallway.</t>
  </si>
  <si>
    <t>C 15 080</t>
  </si>
  <si>
    <t>C 15 079</t>
  </si>
  <si>
    <t>C 15 078</t>
  </si>
  <si>
    <t>C 15 077</t>
  </si>
  <si>
    <t>C 15 076</t>
  </si>
  <si>
    <t>C 15 075</t>
  </si>
  <si>
    <t>C 15 070</t>
  </si>
  <si>
    <t>C 15 071</t>
  </si>
  <si>
    <t>C 15 072</t>
  </si>
  <si>
    <t>C 15 073</t>
  </si>
  <si>
    <t>C 15 074</t>
  </si>
  <si>
    <t>AR/2864/005 rev 00 to rev 01</t>
  </si>
  <si>
    <t xml:space="preserve">Revise to make chromatograms more legible. </t>
  </si>
  <si>
    <t>C 15 081</t>
  </si>
  <si>
    <t>C 15 082</t>
  </si>
  <si>
    <t>AM/3674/001 rev 00 to rev 01; AM/3674/002 rev 00 to rev 01</t>
  </si>
  <si>
    <t>AM/3675/001 rev 00 to rev 01</t>
  </si>
  <si>
    <t>Revise to update swab procedure</t>
  </si>
  <si>
    <t>Biota -C585</t>
  </si>
  <si>
    <t>TG Therapuetics</t>
  </si>
  <si>
    <t>C 15 083</t>
  </si>
  <si>
    <t>SOP E-18 Rev 1</t>
  </si>
  <si>
    <t>Make this SOP obsolete as equipment has been decommissioned.</t>
  </si>
  <si>
    <t>C 15 084</t>
  </si>
  <si>
    <t>CA/3647/002 rev 00 to 01</t>
  </si>
  <si>
    <t xml:space="preserve">Update to include storage condition statement </t>
  </si>
  <si>
    <t>C 15 085</t>
  </si>
  <si>
    <t>SOP A-03 Rev 2 to Rev 3</t>
  </si>
  <si>
    <t>C 15 086</t>
  </si>
  <si>
    <t>C 15 087</t>
  </si>
  <si>
    <t>C 15 088</t>
  </si>
  <si>
    <t>SOP A-13 Rev 4 to Rev 5</t>
  </si>
  <si>
    <t>New SOP E-84 Rev 0</t>
  </si>
  <si>
    <t>SOP F-10 Rev 2 to Rev 3</t>
  </si>
  <si>
    <t>CAPA and periodic review</t>
  </si>
  <si>
    <t>new equipment</t>
  </si>
  <si>
    <t>CAPA and incorporate 2nd floor system.</t>
  </si>
  <si>
    <t>PS/3647/001.00 to PS/3647/001.01; CA/3647/002.01 to CA/3647/002.02</t>
  </si>
  <si>
    <t>Requested per client to meet European guidelines</t>
  </si>
  <si>
    <t>AM/3587/001.00 to AM/3587/001.01</t>
  </si>
  <si>
    <t>C 15 090</t>
  </si>
  <si>
    <t>C 15 089</t>
  </si>
  <si>
    <t>C 15 091</t>
  </si>
  <si>
    <t>HVAC system AHU-2</t>
  </si>
  <si>
    <t>Update system to allow control of humidity</t>
  </si>
  <si>
    <t>C 15 093</t>
  </si>
  <si>
    <t>C 15 092</t>
  </si>
  <si>
    <t>Update method to include supplemental validation experiments</t>
  </si>
  <si>
    <t>AM/3647/001 Rev 1 to Rev 2; AM/1746/003 Rev 8 to Rev 9</t>
  </si>
  <si>
    <t xml:space="preserve">CA/3678/001 Rev 0 to Rev 1 ; CA/3678/002 Rev 0 to Rev 1 </t>
  </si>
  <si>
    <t>Update per LDR A15-046</t>
  </si>
  <si>
    <t>ArQule</t>
  </si>
  <si>
    <t>Update per MF/3674/001 and MF/3674/002 and fix typographical errors</t>
  </si>
  <si>
    <t>C 15 094</t>
  </si>
  <si>
    <t>Overhead lights in Room 123A and hallway outside Room 104.</t>
  </si>
  <si>
    <t>C 15 095</t>
  </si>
  <si>
    <t>Improve efficiency, reliability and reduce maintenance.</t>
  </si>
  <si>
    <t>C 15 096</t>
  </si>
  <si>
    <t>C 15 097</t>
  </si>
  <si>
    <t>C 15 098</t>
  </si>
  <si>
    <t>SOP R-05 Rev 4 to Rev 5</t>
  </si>
  <si>
    <t>SOP E-29 Rev 3 to Rev 4</t>
  </si>
  <si>
    <t>Revise PS/3694/001.00 to change Q value</t>
  </si>
  <si>
    <t>Ironwood</t>
  </si>
  <si>
    <t>LK/KK</t>
  </si>
  <si>
    <t>Per Client's Request</t>
  </si>
  <si>
    <t>C 15 099</t>
  </si>
  <si>
    <t>URFS-15-001.0 to be revised</t>
  </si>
  <si>
    <t>To correct specifications per code review signed 07Oct15</t>
  </si>
  <si>
    <t>C 15 100</t>
  </si>
  <si>
    <t>EQ-15-006.0 and EQ-15-007.0</t>
  </si>
  <si>
    <t>To re-execute the qualifications</t>
  </si>
  <si>
    <t>C 15 101</t>
  </si>
  <si>
    <t>CTM rooms and hallways</t>
  </si>
  <si>
    <t>Add UV filters to all overhead lights in these areas</t>
  </si>
  <si>
    <t>C 15 102</t>
  </si>
  <si>
    <t>EC 100 batch record template</t>
  </si>
  <si>
    <t>Revise to update documentation procedures</t>
  </si>
  <si>
    <t>C 15 103</t>
  </si>
  <si>
    <t>AM/3694/001 Rev 00 to Rev 01</t>
  </si>
  <si>
    <t>To Validate Method</t>
  </si>
  <si>
    <t>C 15 104</t>
  </si>
  <si>
    <t>Revise PS/3694/001.01 to change Q value</t>
  </si>
  <si>
    <t>C 15 105</t>
  </si>
  <si>
    <t>Marcoat 125N CoA template for Nutrilite (rev 1 to rev 2)</t>
  </si>
  <si>
    <t>Revise to include test method references</t>
  </si>
  <si>
    <t>Refer to C 15 105</t>
  </si>
  <si>
    <t>C 15 106</t>
  </si>
  <si>
    <t>AM/3694/003 Rev 00 to Rev 01</t>
  </si>
  <si>
    <t>C 15 107</t>
  </si>
  <si>
    <t>Update CA/3650/001,002, 003, 004.00 to include a retest date of 12 months from DOM</t>
  </si>
  <si>
    <t>SOP D-02 Rev 5 to Rev 6</t>
  </si>
  <si>
    <t>Requalification of room      FQ-15-005</t>
  </si>
  <si>
    <t>C 15 108</t>
  </si>
  <si>
    <t>PlasACRYL T20 and PlasACRYL HTP20 product labels.  All container sizes.</t>
  </si>
  <si>
    <t>Emerson/Evonik</t>
  </si>
  <si>
    <t>Change PlasACRYL T20 and HTP20 labels to replace "Evonik Degussa Corporation" with "Evonik Nutrition &amp; Care GmbH" per Evonik's request.</t>
  </si>
  <si>
    <t>C 15 109</t>
  </si>
  <si>
    <t>Rooms 219 and 220, install a "pass-thru" door in the ante rooms.  Move electrical which is located in the area of the door installation</t>
  </si>
  <si>
    <t>When operating the spray dryer access to both rooms is required.  Simplify gowning procedures and personnel flow.</t>
  </si>
  <si>
    <t>C 15 110</t>
  </si>
  <si>
    <t>Improve traffic flow and safety</t>
  </si>
  <si>
    <t>C 15 111</t>
  </si>
  <si>
    <t>DI Water POU in Room 111</t>
  </si>
  <si>
    <t>Remove it</t>
  </si>
  <si>
    <t>Install window kits in doors for rooms 124, 217 &amp; 218 (from gowning), and hallway door to front office area.</t>
  </si>
  <si>
    <t>C 15 112</t>
  </si>
  <si>
    <t>CF72v2 Automatic Capsule Filling Machine</t>
  </si>
  <si>
    <t>C 15 113</t>
  </si>
  <si>
    <t>AHU-2 HVAC System</t>
  </si>
  <si>
    <t>Add a HEPA filtered supply diffuser</t>
  </si>
  <si>
    <t>C 15 114</t>
  </si>
  <si>
    <t>AM/3729/001 Rev 00 to Rev 01</t>
  </si>
  <si>
    <t>Fix typographical error in the blank swab/sample preparation</t>
  </si>
  <si>
    <t>Karyopharm</t>
  </si>
  <si>
    <t>Refer to C 15 061</t>
  </si>
  <si>
    <t>C 15 115</t>
  </si>
  <si>
    <t>Marcoat EC100 Product Label</t>
  </si>
  <si>
    <t>Previous label did not include Mfg. Date</t>
  </si>
  <si>
    <t>C 15 116</t>
  </si>
  <si>
    <t>AHU-1 and AHU-2 HVAC Systems</t>
  </si>
  <si>
    <t xml:space="preserve">Install 2 dampered supply diffusers in hallway outside rooms 219 &amp; 220 which will later be disconnected from AHU-2 and connected to AHU-1, at which time they will be replaced with terminal HEPA filtered diffusers. </t>
  </si>
  <si>
    <t>C 15 117</t>
  </si>
  <si>
    <t>Refer to C 15 117</t>
  </si>
  <si>
    <t>C 15 118</t>
  </si>
  <si>
    <t>Expand the viewLinc continuous monitoring system to include rooms 123A and 126.</t>
  </si>
  <si>
    <t>To provide alarming when conditions are not within desired parameters.</t>
  </si>
  <si>
    <t>C 15 119</t>
  </si>
  <si>
    <t>Second Genome</t>
  </si>
  <si>
    <t>AM/3705/001 Rev 00 to Rev 01</t>
  </si>
  <si>
    <t xml:space="preserve">Standard preparation is being increased from 0.001 mg/mL to 0.01 mg/mL to alleviate system suitability failure. </t>
  </si>
  <si>
    <t>C 15 120</t>
  </si>
  <si>
    <t>Quality Manual review rev 3 to 4</t>
  </si>
  <si>
    <t>Annual review and revision of the Quality Manual</t>
  </si>
  <si>
    <t>C 16 001</t>
  </si>
  <si>
    <t>Better clarification of areas and documentation of activities performed in areas</t>
  </si>
  <si>
    <t>Level</t>
  </si>
  <si>
    <t>LF/JS/LMC</t>
  </si>
  <si>
    <t xml:space="preserve"> </t>
  </si>
  <si>
    <t>Update facility drawings for 2nd floor gowning (218A) and 219/220 hallway (220A).  Create logbooks for these areas</t>
  </si>
  <si>
    <t>C 16 002</t>
  </si>
  <si>
    <t>new SOP E-86</t>
  </si>
  <si>
    <t>Required for new automatic capsule polisher</t>
  </si>
  <si>
    <t xml:space="preserve">C 16 003 </t>
  </si>
  <si>
    <t>Revise AM/3694/004.00 to .01</t>
  </si>
  <si>
    <t>C 16 004</t>
  </si>
  <si>
    <t>C 16 005</t>
  </si>
  <si>
    <t>New natural gas powered generator</t>
  </si>
  <si>
    <t>To provide backup power to 2 stability chambers and any future needs.</t>
  </si>
  <si>
    <t>Revise AM/3647/004.00 to .01</t>
  </si>
  <si>
    <t>include 18 month timepoint</t>
  </si>
  <si>
    <t>SKK</t>
  </si>
  <si>
    <t>C 16 006</t>
  </si>
  <si>
    <t>Revise AM/3672/003.00 to .01</t>
  </si>
  <si>
    <t xml:space="preserve">Validate Method </t>
  </si>
  <si>
    <t>Kinex</t>
  </si>
  <si>
    <t>C 16 007</t>
  </si>
  <si>
    <t>C 16 008</t>
  </si>
  <si>
    <t>C 16 009</t>
  </si>
  <si>
    <t>Revise AM/3729/002.01 to .02</t>
  </si>
  <si>
    <t>Revise AM/3729/004.00 to .01</t>
  </si>
  <si>
    <t>C 16 010</t>
  </si>
  <si>
    <t>C 16 011</t>
  </si>
  <si>
    <t>Revise SOP R-07 rev 5 to rev 6</t>
  </si>
  <si>
    <t>Revise SOP F-08 rev 1 to rev 2</t>
  </si>
  <si>
    <t>C 16 012</t>
  </si>
  <si>
    <t>Add 2 120volt 20amp circuits to north wall of room A116B</t>
  </si>
  <si>
    <t>Assure sufficient power to run all lab equipment</t>
  </si>
  <si>
    <t xml:space="preserve">Verified Method </t>
  </si>
  <si>
    <t xml:space="preserve">Validated Method </t>
  </si>
  <si>
    <t>C 16 013</t>
  </si>
  <si>
    <t>New SOP T-21</t>
  </si>
  <si>
    <t>Required to confirm capsule storage stability</t>
  </si>
  <si>
    <t>C 16 014</t>
  </si>
  <si>
    <t>To provide a more accurate description of job duties and aid recruitment efforts.</t>
  </si>
  <si>
    <t>Change job title of Laboratory Technician to Formulation Technician</t>
  </si>
  <si>
    <t>C 16 015</t>
  </si>
  <si>
    <t>Client Request to Add Reference NB page locations</t>
  </si>
  <si>
    <t>C 16 016</t>
  </si>
  <si>
    <t>Periodic review and add 2 ovens</t>
  </si>
  <si>
    <t>Revise SOP E-61 rev 1 to rev 2</t>
  </si>
  <si>
    <t>C 16 017</t>
  </si>
  <si>
    <t>Revise SOP A-05 rev 4 to rev 5</t>
  </si>
  <si>
    <t>Revise in order to update references, improve flow of content and make minor editorial changes.</t>
  </si>
  <si>
    <t>C 16 018</t>
  </si>
  <si>
    <t>Revise SOP Q-09 rev 1 to rev 2</t>
  </si>
  <si>
    <t>Include standardized label templates for retain samples and boxes (CAPA 15-024); address retains of finished kits; update Specialty Excipients standard minimum sample size; remove off-site storage procedures; editorial changes</t>
  </si>
  <si>
    <t>C 16 019</t>
  </si>
  <si>
    <t>Revise SOP S-01 rev 2 to rev 3</t>
  </si>
  <si>
    <t>To broaden scope and consolidate SOP S-05, SOP S-6, SOP S-07 and SOP S-13 into this one.</t>
  </si>
  <si>
    <t>C 16 020</t>
  </si>
  <si>
    <t xml:space="preserve">Client Request to include Identification by HPLC to stability testing. </t>
  </si>
  <si>
    <t>Revise PS/3729/001.00, PS/3729/002.00, SP/3729/003.00 to .02; SR/3729/003 v1 to v2</t>
  </si>
  <si>
    <t>C 16 021</t>
  </si>
  <si>
    <t>Revise SP/3612/001.00 to .01</t>
  </si>
  <si>
    <t>Client request to omit 12 month stability pull and add 18, 24 and 30 month stability pulls</t>
  </si>
  <si>
    <t>C 16 022</t>
  </si>
  <si>
    <t>C 16 023</t>
  </si>
  <si>
    <t>Revise AP/3542/001.00 to .01</t>
  </si>
  <si>
    <t>Revise SP/3715/002.00 to .01</t>
  </si>
  <si>
    <t>Client request to include moisture content testing for release and stability testing</t>
  </si>
  <si>
    <t>Vanderbilt</t>
  </si>
  <si>
    <t>Client request to include forced degredation and intermediate precision.</t>
  </si>
  <si>
    <t>C 16 024</t>
  </si>
  <si>
    <t>Room 219 anteroom</t>
  </si>
  <si>
    <t>Install a small port through wall of anteroom 219 to create passageway for supplied air respirator hose.</t>
  </si>
  <si>
    <t>C 16 025</t>
  </si>
  <si>
    <t>Warehouse 130</t>
  </si>
  <si>
    <t>Corner area will be cordoned off with chain link fence/gate to segregate quarantined/rejected material.</t>
  </si>
  <si>
    <t>C 16 026</t>
  </si>
  <si>
    <t>C 16 027</t>
  </si>
  <si>
    <t>Revise AM/3750/003.00 to .01</t>
  </si>
  <si>
    <t>Revise AM/3750/002.00 to .01</t>
  </si>
  <si>
    <t>C 16 028</t>
  </si>
  <si>
    <t>SOP Q-14 Rev 2 to Rev 3</t>
  </si>
  <si>
    <t>C 16 029</t>
  </si>
  <si>
    <t>Revise AM/3626/002.01 to .02</t>
  </si>
  <si>
    <t>Revise Assay/RS sample preparation as per LIR A15-064</t>
  </si>
  <si>
    <t>C 16 030</t>
  </si>
  <si>
    <t>Create entrance/gowning area for rooms 219 and 220.</t>
  </si>
  <si>
    <t>Improve personnel flow in GMP manufacturing areas</t>
  </si>
  <si>
    <t>C 16 031</t>
  </si>
  <si>
    <t>Balance Logbook for Microbalance A211</t>
  </si>
  <si>
    <t>C 16 032</t>
  </si>
  <si>
    <t>To add additional samples to the reserves.</t>
  </si>
  <si>
    <t>Revise SP/3737/005.00 &amp; SP/3737/006.00</t>
  </si>
  <si>
    <t>Change one of the verification weights to 50mg from 100mg; revise range at 1g and 2mg per D 15 034</t>
  </si>
  <si>
    <t>C 16 033</t>
  </si>
  <si>
    <t>Revise SOP E-26 Rev 2 to Rev 3</t>
  </si>
  <si>
    <t>C 16 034</t>
  </si>
  <si>
    <t>AR/2864/007 issued which indicates the products are self-preserving.</t>
  </si>
  <si>
    <t>Begin reduced frequency for testing per USP 61 &amp; 62 for the PlasACRYL product family.</t>
  </si>
  <si>
    <t>C 16 035</t>
  </si>
  <si>
    <t>Revise AM/3678/001.00 to .01</t>
  </si>
  <si>
    <t>Validate Method and include sample prep change per LIR A16-009</t>
  </si>
  <si>
    <t>C 16 036</t>
  </si>
  <si>
    <t>Revise AR/3542/001.00 to .01</t>
  </si>
  <si>
    <t xml:space="preserve">Include supplemental testing results for intermediate precision and forced degradation. </t>
  </si>
  <si>
    <t>C 16 037</t>
  </si>
  <si>
    <t>C 16 038</t>
  </si>
  <si>
    <t>Create SOP E-87</t>
  </si>
  <si>
    <t>Required for new metal detector</t>
  </si>
  <si>
    <t>C 16 039</t>
  </si>
  <si>
    <t>Revise SOP E-35 Rev 3 to Rev 4</t>
  </si>
  <si>
    <t>C 16 040</t>
  </si>
  <si>
    <t>Revise AM/3672/002.00 to .01</t>
  </si>
  <si>
    <t>Validate Method</t>
  </si>
  <si>
    <t>Athenex</t>
  </si>
  <si>
    <t>C 16 041</t>
  </si>
  <si>
    <t>SOP E-80 rev 0 to rev 1</t>
  </si>
  <si>
    <t>periodic review and add more guidance on cleaning of pumps</t>
  </si>
  <si>
    <t>C 16 042</t>
  </si>
  <si>
    <t>SOP T-08 rev 3 to rev 4</t>
  </si>
  <si>
    <t>periodic review and CAPA</t>
  </si>
  <si>
    <t>C 16 043</t>
  </si>
  <si>
    <t>Cleaning and Storage Changes of conductivity probe</t>
  </si>
  <si>
    <t>QA/2862/001.00 and SOP Q-15 rev 3 to be revised</t>
  </si>
  <si>
    <t>To reflect adjusted minimum weights and CAPA 15-042</t>
  </si>
  <si>
    <t>Revise AM/3672/005.00 to .01 and CA/3672/001.00 to .01</t>
  </si>
  <si>
    <t>Factor in dilution factor into water determination calculation for moisture content results</t>
  </si>
  <si>
    <t>Taris</t>
  </si>
  <si>
    <t>Revise AM/3763/002.01 to .02</t>
  </si>
  <si>
    <t>SOP A-22 rev 2 to rev 3</t>
  </si>
  <si>
    <t>periodic review and CAPA 16-018</t>
  </si>
  <si>
    <t>SOP A-21 rev 3 to rev 4</t>
  </si>
  <si>
    <t>SOP D-08 rev 3 to rev 4</t>
  </si>
  <si>
    <t>SOP D-10 rev 2 to rev 3</t>
  </si>
  <si>
    <t>SOP E-68 rev 1 to rev 2</t>
  </si>
  <si>
    <t>SOP E-74 rev 0 to rev 1</t>
  </si>
  <si>
    <t>SOP F-01 rev 2 to rev 3</t>
  </si>
  <si>
    <t>SOP I-02 rev 1 to rev 2</t>
  </si>
  <si>
    <t>C 16 054</t>
  </si>
  <si>
    <t>C 16 044</t>
  </si>
  <si>
    <t>C 16 045</t>
  </si>
  <si>
    <t>C 16 046</t>
  </si>
  <si>
    <t>C 16 047</t>
  </si>
  <si>
    <t>C 16 048</t>
  </si>
  <si>
    <t>C 16 049</t>
  </si>
  <si>
    <t>C 16 050</t>
  </si>
  <si>
    <t>C 16 051</t>
  </si>
  <si>
    <t>C 16 052</t>
  </si>
  <si>
    <t>C 16 053</t>
  </si>
  <si>
    <t>SOP F-10 rev 3 to rev 4</t>
  </si>
  <si>
    <t>Add procedures for Biobubble and mapping</t>
  </si>
  <si>
    <t>C 16 055</t>
  </si>
  <si>
    <t>Treated water system supplying Rooms 217, 218, 219, 220 and 210</t>
  </si>
  <si>
    <t>Remove 1 of 3 resin tanks</t>
  </si>
  <si>
    <t>C 16 056</t>
  </si>
  <si>
    <t>Revise AM/3506/006.00 to .01</t>
  </si>
  <si>
    <t>C 16 057</t>
  </si>
  <si>
    <t>QA/2862/001.01 to be revised again</t>
  </si>
  <si>
    <t>Intended use exception to established minimum weight for model PB8000-S, readability 1 gram, was inadvertently omitted.</t>
  </si>
  <si>
    <t>C 16 058</t>
  </si>
  <si>
    <t>Revise AM/3694/001.01 to .02</t>
  </si>
  <si>
    <t xml:space="preserve">Change system suitability criteria and column storage/handling. </t>
  </si>
  <si>
    <t>Revise AM/3729/003.01 to .02 &amp; AM/3729/004.01 to .02</t>
  </si>
  <si>
    <t xml:space="preserve">Revise methods to include Spray Dry Dispersion and Blend Uniformity preparations </t>
  </si>
  <si>
    <t>C 16 059</t>
  </si>
  <si>
    <t>Add supply duct to Room 126 from main supply trunk of F0005 as backup in case F0006 is unavailable.</t>
  </si>
  <si>
    <t>Supply duct to Room 126</t>
  </si>
  <si>
    <t>C 16 060</t>
  </si>
  <si>
    <t>Room 215</t>
  </si>
  <si>
    <t>Add an interior vinyl strip curtain inside the current one to create a small multi-functional clean room.</t>
  </si>
  <si>
    <t>C 16 061</t>
  </si>
  <si>
    <t>C 16 062</t>
  </si>
  <si>
    <t>Periodic review and incorporate SOP S-20</t>
  </si>
  <si>
    <t>SOP S-03 rev 2 to rev 3</t>
  </si>
  <si>
    <t>SOP S-04 rev 2 to rev 3</t>
  </si>
  <si>
    <t>C 16 063</t>
  </si>
  <si>
    <t>DEA Security Camera System</t>
  </si>
  <si>
    <t>Upgrade the DVR and add cameras</t>
  </si>
  <si>
    <t>C 16 064</t>
  </si>
  <si>
    <t>Revise PS/3746/001.00 to .01</t>
  </si>
  <si>
    <t>Correct appearance specification</t>
  </si>
  <si>
    <t>Allergan</t>
  </si>
  <si>
    <t>Revise TR/3729/001-004.00 to .01</t>
  </si>
  <si>
    <t>C 16 065</t>
  </si>
  <si>
    <t>Room A116B</t>
  </si>
  <si>
    <t xml:space="preserve">New DI water line and valves added to existing DI water drop to install Elga Purified Water System </t>
  </si>
  <si>
    <t>C 16 066</t>
  </si>
  <si>
    <t>SOP A-23 rev 2 to rev 3</t>
  </si>
  <si>
    <t>C 16 067</t>
  </si>
  <si>
    <t>Revise AM/3647/002.01 to .02</t>
  </si>
  <si>
    <t>C 16 068</t>
  </si>
  <si>
    <t>Revise TR/3769/001.00 to rev 01</t>
  </si>
  <si>
    <t>Correct the material description</t>
  </si>
  <si>
    <t>C 16 069</t>
  </si>
  <si>
    <t>Revise CA/3715/001.00, -002.00, -003.00 to .01</t>
  </si>
  <si>
    <t>Adding disintegration detail (Individual results)</t>
  </si>
  <si>
    <t xml:space="preserve">To add standard stability and consistentcy with low dose preparation. </t>
  </si>
  <si>
    <t>Refer to C 16 030</t>
  </si>
  <si>
    <t>SOP A-25 rev 2 to rev 3</t>
  </si>
  <si>
    <t>C 16 070</t>
  </si>
  <si>
    <t>Revise AM/3715/002.02, -003.01 to .03, .02</t>
  </si>
  <si>
    <t>Validate Methods</t>
  </si>
  <si>
    <t>C 16 071</t>
  </si>
  <si>
    <t>Add/revise pest control trap locations on 1st and 2nd floors</t>
  </si>
  <si>
    <t>C 16 072</t>
  </si>
  <si>
    <t>Relocate room pressure gauges for rooms 217, 218, 219 and 220 so that they can be read from inside the room.</t>
  </si>
  <si>
    <t>C 16 073</t>
  </si>
  <si>
    <t>Revise PS/3729/001.01 to .02</t>
  </si>
  <si>
    <t>Include Residual Solvents specifications</t>
  </si>
  <si>
    <t>C 16 074</t>
  </si>
  <si>
    <t>Revise SP/3784/001.00 to .01</t>
  </si>
  <si>
    <t>Include optional timepoint testing</t>
  </si>
  <si>
    <t>NeuroVia</t>
  </si>
  <si>
    <t>C 16 075</t>
  </si>
  <si>
    <t>Revise AM/3678/002.00 to .01</t>
  </si>
  <si>
    <t>C 16 076</t>
  </si>
  <si>
    <t>Revise AM/3672/003.01 to .02</t>
  </si>
  <si>
    <t xml:space="preserve">Correct the working standard prep by replacing dissolution medium with diluent (final dilution) </t>
  </si>
  <si>
    <t>C 16 077</t>
  </si>
  <si>
    <t>Revise AM/2672/001 &amp; -005.00 to .01</t>
  </si>
  <si>
    <t>Additional updates to method per memo</t>
  </si>
  <si>
    <t>C 16 078</t>
  </si>
  <si>
    <t>TOC analyzer A245</t>
  </si>
  <si>
    <t>Reinstall firmware ver 2.14 on the TOC A245 and install additional application to aid in firmware loading process. Required for operation.</t>
  </si>
  <si>
    <t>project retired</t>
  </si>
  <si>
    <t>cancelled, per attached memo</t>
  </si>
  <si>
    <t>New SOP E-77 for Buchi mini spray dryer</t>
  </si>
  <si>
    <t>Contravir</t>
  </si>
  <si>
    <t>C 16 079</t>
  </si>
  <si>
    <t>C 16 080</t>
  </si>
  <si>
    <t>Revise SP/3645/001.00 to .01</t>
  </si>
  <si>
    <t>Add additional time point (36 month).</t>
  </si>
  <si>
    <t>C 16 081</t>
  </si>
  <si>
    <t>Revise AM/3672/002.01 to .02</t>
  </si>
  <si>
    <t>Add sample stability data</t>
  </si>
  <si>
    <t>C 16 082</t>
  </si>
  <si>
    <t>Revise AM/3672/005.01 to .02</t>
  </si>
  <si>
    <t>Clarify procedures for handling and recording control data</t>
  </si>
  <si>
    <t>C 16 083</t>
  </si>
  <si>
    <t>Revise PlasACRYL Certificate of Analysis from Rev. 5 to Rev. 6</t>
  </si>
  <si>
    <t>HW</t>
  </si>
  <si>
    <t>Change Appearance Test from Visual/T-05 to T-20: SOP T-05 was obsolete in August 2013.</t>
  </si>
  <si>
    <t>C 16 084</t>
  </si>
  <si>
    <t>Revise SP/3763/001 &amp; -002.00 to .01</t>
  </si>
  <si>
    <t>Update specification section to align with PS/3673/001, 002.00 respectively</t>
  </si>
  <si>
    <t>C 16 085</t>
  </si>
  <si>
    <t>Use of room 215 as a GMP room for CTM activities (raw material sampling and small equipment swabbing for TOC verification)</t>
  </si>
  <si>
    <t>C 16 086</t>
  </si>
  <si>
    <t>Product Specifications for Marcoat 125, Marcoat 125N, Marcoat EC 100 and Marcoat 125N (Nutrilite).  Marcoat 125N (OmniActive) and all Marcoat C of A's</t>
  </si>
  <si>
    <t xml:space="preserve">Product Specifications to be formalized.   Marcoat 125N (OmniActive) C of A's revised to reflect format changes. </t>
  </si>
  <si>
    <t>C 16 087</t>
  </si>
  <si>
    <t>Revise PS/3763/001.00 and PS/3763/002.00</t>
  </si>
  <si>
    <t>To clarify reporting of known and unknown impurities.</t>
  </si>
  <si>
    <t>C 16 088</t>
  </si>
  <si>
    <t>C 16 089</t>
  </si>
  <si>
    <t>Revise AM/3500/005.04</t>
  </si>
  <si>
    <t>To include blend sample preparation</t>
  </si>
  <si>
    <t>Revise AP/2861/001.00</t>
  </si>
  <si>
    <t>update training per LDR A16-045</t>
  </si>
  <si>
    <t>C 16 090</t>
  </si>
  <si>
    <t>Revise AM/3795/001.00</t>
  </si>
  <si>
    <t>Clarify procedures for swabbing</t>
  </si>
  <si>
    <t>Moleculin</t>
  </si>
  <si>
    <t>HM</t>
  </si>
  <si>
    <t>C 16 091</t>
  </si>
  <si>
    <t>Revise CA/3763/002.00</t>
  </si>
  <si>
    <t>Add the Day 42 In Vitro Release data</t>
  </si>
  <si>
    <t>C 16 092</t>
  </si>
  <si>
    <t>Revise CA/3763/001.00</t>
  </si>
  <si>
    <t>Include Part Number in description</t>
  </si>
  <si>
    <t>C 16 093</t>
  </si>
  <si>
    <t>New SOP for single rotary double layer tablet press</t>
  </si>
  <si>
    <t xml:space="preserve">0-1M </t>
  </si>
  <si>
    <t>C 16 094</t>
  </si>
  <si>
    <t>Revise PS/3555/001.00 and PS/3785/001.00</t>
  </si>
  <si>
    <t>modify appearance specification</t>
  </si>
  <si>
    <t>Can-fite</t>
  </si>
  <si>
    <t>C 16 095</t>
  </si>
  <si>
    <t xml:space="preserve">Revise SP/3772/001, 002, 003.00 </t>
  </si>
  <si>
    <t>Change optional pull to 18 months instead of 24</t>
  </si>
  <si>
    <t>C 16 096</t>
  </si>
  <si>
    <t>Revise AM/3745/004.01</t>
  </si>
  <si>
    <t>C 16 097</t>
  </si>
  <si>
    <t>As per CAPA 16-058</t>
  </si>
  <si>
    <t>C 16 098</t>
  </si>
  <si>
    <t>Revise AM/3745/003.00 to .01</t>
  </si>
  <si>
    <t>Revise to expand the broadening of the system and change title; refer to CAPA 12-007 #9 for guidance.</t>
  </si>
  <si>
    <t>C 16 099</t>
  </si>
  <si>
    <t>Make naming description consistent</t>
  </si>
  <si>
    <t>Revise PS/3763/001.01, -002.01, SP/3772/001.00, -002.00, -003.00</t>
  </si>
  <si>
    <t>C 17 001</t>
  </si>
  <si>
    <t>DI Water System in A116B</t>
  </si>
  <si>
    <t xml:space="preserve">Install 0.03 micron inline filter after existing 1.0 micron filter. </t>
  </si>
  <si>
    <t>Revise AM/3763/004.00 to .01, AM/3673/003.00 to .01 and AM/3673/001.02 to .03</t>
  </si>
  <si>
    <t>C 17 002</t>
  </si>
  <si>
    <t>Add Line for Client Signature</t>
  </si>
  <si>
    <t>AM/3745/003.01 and AM/3745/004.02</t>
  </si>
  <si>
    <t>C 17 003</t>
  </si>
  <si>
    <t>Correct Packaging Date</t>
  </si>
  <si>
    <t>TR/3720/001.00 to .01</t>
  </si>
  <si>
    <t>C 17 004</t>
  </si>
  <si>
    <t>AP/2861/001.00 to .01</t>
  </si>
  <si>
    <t>Update as per CAPAs</t>
  </si>
  <si>
    <t>C 17 005</t>
  </si>
  <si>
    <t>New SOP E-88 for bilayer tablet press</t>
  </si>
  <si>
    <t>Cancelled as per Alab Director's request; no longer a client</t>
  </si>
  <si>
    <t>Cancelled; refer to
C 17 005</t>
  </si>
  <si>
    <t>C 17 006</t>
  </si>
  <si>
    <t>MF/3587/002.00 to .01</t>
  </si>
  <si>
    <t>modify check standard acceptance criteria</t>
  </si>
  <si>
    <t>C 17 007</t>
  </si>
  <si>
    <t>Add mag gauge to anteroom for 215 and change source to HEPA supply air from room 215 to warehouse</t>
  </si>
  <si>
    <t>C 17 008</t>
  </si>
  <si>
    <t>AM/3783/001.00 to .01</t>
  </si>
  <si>
    <t xml:space="preserve">Correct title above sample preparation </t>
  </si>
  <si>
    <t xml:space="preserve">C 17 009 </t>
  </si>
  <si>
    <t>PS/3786/001.00 to .01</t>
  </si>
  <si>
    <t>Add Water Content to Specification</t>
  </si>
  <si>
    <t>C 17 010</t>
  </si>
  <si>
    <t>SP/3784/003.00 to .01</t>
  </si>
  <si>
    <t>Fix typo in header and capture sample amount changes.</t>
  </si>
  <si>
    <t>C 17 011</t>
  </si>
  <si>
    <t>AM/2864/001.03 to .04 and AM/2864/005.00</t>
  </si>
  <si>
    <t>Additional mixing instructions and include standard stability</t>
  </si>
  <si>
    <t>BL</t>
  </si>
  <si>
    <t>C 17 012</t>
  </si>
  <si>
    <t>C 17 013</t>
  </si>
  <si>
    <t>C 17 014</t>
  </si>
  <si>
    <t>C 17 015</t>
  </si>
  <si>
    <t>SOP Q-19 Rev 2 to Rev 3</t>
  </si>
  <si>
    <t>SOP A-13 Rev 5 to Rev 6</t>
  </si>
  <si>
    <t>SOP Q-23 Rev 2 to Rev 3</t>
  </si>
  <si>
    <t>SOP Q-32 Rev 2 to Rev 3</t>
  </si>
  <si>
    <t>C 17 016</t>
  </si>
  <si>
    <t>AM/3672/005.02 to .03</t>
  </si>
  <si>
    <t>to correct sample preparation wording</t>
  </si>
  <si>
    <t>C 17 017</t>
  </si>
  <si>
    <t>C 17 018</t>
  </si>
  <si>
    <t>Install Empower 3 to GC</t>
  </si>
  <si>
    <t>To add UPLC to Analytical Laboratory</t>
  </si>
  <si>
    <t>C 17 019</t>
  </si>
  <si>
    <t>Raw Material no longer stored in this location, use of chart recorder beneficial for CTM use.</t>
  </si>
  <si>
    <t>DMS</t>
  </si>
  <si>
    <t>Remove Chart Recorder from 216</t>
  </si>
  <si>
    <t>C 17 020</t>
  </si>
  <si>
    <t>SOP F-19 Rev 1 to Rev 2</t>
  </si>
  <si>
    <t>address monthly inspections and annual PM checklist</t>
  </si>
  <si>
    <t>C 17 021</t>
  </si>
  <si>
    <t>CTM suite of rooms</t>
  </si>
  <si>
    <t>C 17 022</t>
  </si>
  <si>
    <t>Sampling Room 215</t>
  </si>
  <si>
    <t>Revise the master cleaning batch record</t>
  </si>
  <si>
    <t>routine maintenance and CAPA 16 025 item 1</t>
  </si>
  <si>
    <t>C 17 023</t>
  </si>
  <si>
    <t>Provides a more accurate description of job role.</t>
  </si>
  <si>
    <t>New job description - Coating Scientist</t>
  </si>
  <si>
    <t>C 17 024</t>
  </si>
  <si>
    <t>SOP D-14 Rev 2 to Rev 3</t>
  </si>
  <si>
    <t>Revise for CAPA and periodic review</t>
  </si>
  <si>
    <t>Enterin</t>
  </si>
  <si>
    <t>C 17 025</t>
  </si>
  <si>
    <t>C 17 026</t>
  </si>
  <si>
    <t>New dishwasher in Analytical Lab</t>
  </si>
  <si>
    <t>old one no longer functional</t>
  </si>
  <si>
    <t>RM-3788-001, RM-3788-004, RM-3809-001</t>
  </si>
  <si>
    <t>Errors found in Product Code.</t>
  </si>
  <si>
    <t>C 17 027</t>
  </si>
  <si>
    <t>Caulk the ceiling tiles in Room 215</t>
  </si>
  <si>
    <t>to secure them to grid support system</t>
  </si>
  <si>
    <t>C 17 028</t>
  </si>
  <si>
    <t>AM/3801/002.02 to .03</t>
  </si>
  <si>
    <t>Validate Method as per AR/3801/002.00</t>
  </si>
  <si>
    <t>Spruce</t>
  </si>
  <si>
    <t>LMC/MLR</t>
  </si>
  <si>
    <t>C 17 029</t>
  </si>
  <si>
    <t>Rooms 123A and 126</t>
  </si>
  <si>
    <t>C 17 030</t>
  </si>
  <si>
    <t>AM/3801/002.03 to .04</t>
  </si>
  <si>
    <t>Make further clarifications based on Validation Report and client request.</t>
  </si>
  <si>
    <t>C 17 031</t>
  </si>
  <si>
    <t>AM/3745/003.02 to .03</t>
  </si>
  <si>
    <t>Correct Impurity calculation</t>
  </si>
  <si>
    <t>C 17 032</t>
  </si>
  <si>
    <t>SP/3678/003.00 and SP/3678/004.00 to .01</t>
  </si>
  <si>
    <t>Add 36 Month Stability Timepoint and testing</t>
  </si>
  <si>
    <t>C 17 033</t>
  </si>
  <si>
    <t>SOP S-02 Rev 2 to Rev 3</t>
  </si>
  <si>
    <t>C 17 034</t>
  </si>
  <si>
    <t>SOP S-09 Rev 2 to Rev 3</t>
  </si>
  <si>
    <t>C 17 035</t>
  </si>
  <si>
    <t>C 17 036</t>
  </si>
  <si>
    <t>SOP P-06 Rev 1 to Rev 2</t>
  </si>
  <si>
    <t>SOP F-02 Rev 2 to Rev 3</t>
  </si>
  <si>
    <t>CA/3801/001.00 to .01</t>
  </si>
  <si>
    <t>To include retest date</t>
  </si>
  <si>
    <t>C 17 037</t>
  </si>
  <si>
    <t>C 17 038</t>
  </si>
  <si>
    <t>C 17 039</t>
  </si>
  <si>
    <t>SOP E-15 Rev 1 to Rev 2</t>
  </si>
  <si>
    <t>SOP E-54 Rev 2 to Rev 3</t>
  </si>
  <si>
    <t>C 17 040</t>
  </si>
  <si>
    <t>Make 3 SOPs obsolete:
E-71.0, E-72.0 &amp; E-84.0</t>
  </si>
  <si>
    <t>Equipment no longer in use or present</t>
  </si>
  <si>
    <t>C 17 041</t>
  </si>
  <si>
    <t>PS/3795/001.00 to .01</t>
  </si>
  <si>
    <t>Correct Residual Solvent requirement</t>
  </si>
  <si>
    <t>C 17 042</t>
  </si>
  <si>
    <t xml:space="preserve"> Emerson</t>
  </si>
  <si>
    <t>Balance Assets A161, A162 and A242</t>
  </si>
  <si>
    <t>Install Marble Stabs underneath to improve stableness</t>
  </si>
  <si>
    <t>C 17 043</t>
  </si>
  <si>
    <t>Analytical balances in the Lab (A068, A161, A162 &amp; A242)</t>
  </si>
  <si>
    <t>Merck</t>
  </si>
  <si>
    <t>CAPA 17-025 item #2: activate password protection to aid in data integrity</t>
  </si>
  <si>
    <t>C 17 044</t>
  </si>
  <si>
    <t>CA/3795/001.00 to .01</t>
  </si>
  <si>
    <t>Correct naming of Dissolution results</t>
  </si>
  <si>
    <t>C 17 045</t>
  </si>
  <si>
    <t>PS/3788/002.00</t>
  </si>
  <si>
    <t>Revise to include stability regimen for additional testing</t>
  </si>
  <si>
    <t>Proteostasis</t>
  </si>
  <si>
    <t>C 17 046</t>
  </si>
  <si>
    <t>Modification to lab refrigerator A280</t>
  </si>
  <si>
    <t>Install a small lockable metal safe on the door for storing controlled substances that require refrigeration.</t>
  </si>
  <si>
    <t>C 17 047</t>
  </si>
  <si>
    <t>Correct Regimen for Micro testing</t>
  </si>
  <si>
    <t>C 17 048</t>
  </si>
  <si>
    <t>Correct amount of samples needed for micro</t>
  </si>
  <si>
    <t>C 17 049</t>
  </si>
  <si>
    <t>Update as per client request</t>
  </si>
  <si>
    <t>C 17 050</t>
  </si>
  <si>
    <t>PS/3804/001.00 to .01</t>
  </si>
  <si>
    <t>PS/3542/001.00 to .01</t>
  </si>
  <si>
    <t>Correct typographical error</t>
  </si>
  <si>
    <t>CSA</t>
  </si>
  <si>
    <t>C 17 051</t>
  </si>
  <si>
    <t>TOC Analyzer, A245</t>
  </si>
  <si>
    <t>EW</t>
  </si>
  <si>
    <t>New Ethernet board and software/firmware upgrade</t>
  </si>
  <si>
    <t>C 17 052</t>
  </si>
  <si>
    <t>Client Request to include Retest date</t>
  </si>
  <si>
    <t>CA/3788/001-003.00 to .01</t>
  </si>
  <si>
    <t>C 17 053</t>
  </si>
  <si>
    <t>Blister Press System</t>
  </si>
  <si>
    <t>Decommission the equipment</t>
  </si>
  <si>
    <t>C 17 054</t>
  </si>
  <si>
    <t>EHA</t>
  </si>
  <si>
    <t>Cidara</t>
  </si>
  <si>
    <t>C 17 055</t>
  </si>
  <si>
    <t>AM/3678/001.01 to .02</t>
  </si>
  <si>
    <t>Add glassware cleaning step</t>
  </si>
  <si>
    <t>C 17 056</t>
  </si>
  <si>
    <t>Nitrogen supply line to the Mobile Minor</t>
  </si>
  <si>
    <t>Addition of nitrogen filter.</t>
  </si>
  <si>
    <t>DS</t>
  </si>
  <si>
    <t>C 17 057</t>
  </si>
  <si>
    <t>Inner and outer doors in Rooms 219 and 220</t>
  </si>
  <si>
    <t>Install latching door knobs on all.</t>
  </si>
  <si>
    <t>C 17 058</t>
  </si>
  <si>
    <t>Revise raw material specifications for 2 APIs per manufacturer's request.</t>
  </si>
  <si>
    <t>RM/3788/008.00 &amp; RM/3809/003.00</t>
  </si>
  <si>
    <t>C 17 059</t>
  </si>
  <si>
    <t>AM/3809/001.00 to .01</t>
  </si>
  <si>
    <t>Validate Method as per AR/3809/001.00</t>
  </si>
  <si>
    <t>C 17 060</t>
  </si>
  <si>
    <t>SOP F-04 Rev 1, Compressed Air System</t>
  </si>
  <si>
    <t>C 17 061</t>
  </si>
  <si>
    <t>SOP D-03 Rev 4 to Rev 5</t>
  </si>
  <si>
    <t>CAPA requirement</t>
  </si>
  <si>
    <t>C 17 062</t>
  </si>
  <si>
    <t>Gowning Areas 115A, 216A and 218A</t>
  </si>
  <si>
    <t>C 17 063</t>
  </si>
  <si>
    <t>PS/3809/001.00 to .01 and RM/3809/003.01 to .02</t>
  </si>
  <si>
    <t>Update appearance specification</t>
  </si>
  <si>
    <t>C 17 064</t>
  </si>
  <si>
    <t>CA/3784/001.00 to .01</t>
  </si>
  <si>
    <t xml:space="preserve">Correct TYMC specification </t>
  </si>
  <si>
    <t>C 17 065</t>
  </si>
  <si>
    <t>SOP D-18 Rev 2, Good Documentation Practices</t>
  </si>
  <si>
    <t>C 17 066</t>
  </si>
  <si>
    <t>SOP T-11 Rev. 3, Disintegration Testing</t>
  </si>
  <si>
    <t>C 17 067</t>
  </si>
  <si>
    <t>SP/3809/001.00 to .01</t>
  </si>
  <si>
    <t>Add Placebo 36 month timepoint</t>
  </si>
  <si>
    <t>C 17 068</t>
  </si>
  <si>
    <t>AM/3542/001.01 to .02</t>
  </si>
  <si>
    <t>Update Sample Preparation as per LIR A17-050</t>
  </si>
  <si>
    <t>C 17 069</t>
  </si>
  <si>
    <t>AM/3784/001.00 to .01</t>
  </si>
  <si>
    <t>Validate Method as per AR/3784/001.00</t>
  </si>
  <si>
    <t>C 17 070</t>
  </si>
  <si>
    <t>PS/3784/001.00 and CA/3784/001.01</t>
  </si>
  <si>
    <t xml:space="preserve">Include Gross Weight testing </t>
  </si>
  <si>
    <t>C 17 071</t>
  </si>
  <si>
    <t>C 17 072</t>
  </si>
  <si>
    <t>SOP Q-07 Rev 0 to Rev 1</t>
  </si>
  <si>
    <t>CAPA 17-050 and periodic review</t>
  </si>
  <si>
    <t>SOP E-53 Rev 2 to Rev 3</t>
  </si>
  <si>
    <t>PS/3744/001, 002.00 to .01</t>
  </si>
  <si>
    <t>C 17 073</t>
  </si>
  <si>
    <t>Pest control traps</t>
  </si>
  <si>
    <t>audit comment</t>
  </si>
  <si>
    <t>C 17 074</t>
  </si>
  <si>
    <t>AM/3832/001.00 to .01</t>
  </si>
  <si>
    <t>Include additional stability data</t>
  </si>
  <si>
    <t>late</t>
  </si>
  <si>
    <t>6/30/2017
9/30/2017</t>
  </si>
  <si>
    <t>C 17 075</t>
  </si>
  <si>
    <t>SP/3772/003.01 to .02</t>
  </si>
  <si>
    <t>Add/Remove stability pulls per client request</t>
  </si>
  <si>
    <t>TARIS</t>
  </si>
  <si>
    <t>C 17 076</t>
  </si>
  <si>
    <t>C 17 077</t>
  </si>
  <si>
    <t>Add 24 month  testing</t>
  </si>
  <si>
    <t>C 17 078</t>
  </si>
  <si>
    <t>AM/3810/002.00 to .01</t>
  </si>
  <si>
    <t>TTC Oncology</t>
  </si>
  <si>
    <t xml:space="preserve">See RFC C17 077, duplicate number given </t>
  </si>
  <si>
    <t>C 17 079</t>
  </si>
  <si>
    <t>C 17 080</t>
  </si>
  <si>
    <t>C 17 081</t>
  </si>
  <si>
    <t>CLT</t>
  </si>
  <si>
    <t>Vertex</t>
  </si>
  <si>
    <t>Validate method as per AP/3816/002.00</t>
  </si>
  <si>
    <t>Revise AM/3816/002.01 to .02</t>
  </si>
  <si>
    <t>Update AP/3795/004.00 to .01</t>
  </si>
  <si>
    <t>Widen acceptance criteria as per client request</t>
  </si>
  <si>
    <t>Add UPLC system to Empower 3;
SOP A-07 Rev 4 to Rev 5</t>
  </si>
  <si>
    <t>Connect GC to Empower 3;
SOP A-28 rev. 0 &amp; SOP A-33 rev. 0</t>
  </si>
  <si>
    <t>C 17 082</t>
  </si>
  <si>
    <t>Update AM/3746/006.00 and -007.00</t>
  </si>
  <si>
    <t xml:space="preserve">Make internal standard usage more apparent in calculations. </t>
  </si>
  <si>
    <t>C 17 083</t>
  </si>
  <si>
    <t>Revise PS/3788/001.00, PS/3788/002.01 and PS/3788/003.00</t>
  </si>
  <si>
    <t>Remove mDSC testing requirement</t>
  </si>
  <si>
    <t>C 17 084</t>
  </si>
  <si>
    <t>Revise CA/3788/001.01, CA/3788/002.01, CA/3788/003.01, CA/3788/004.00 and CA/3788/005.00</t>
  </si>
  <si>
    <t>Update retest date</t>
  </si>
  <si>
    <t>C 17 085</t>
  </si>
  <si>
    <t>Revise CA/3788/001.02, CA/3788/002.02, CA/3788/003.02, CA/3788/004.01 and CA/3788/005.01</t>
  </si>
  <si>
    <t xml:space="preserve">Update revision history to add original row </t>
  </si>
  <si>
    <t>C 17 086</t>
  </si>
  <si>
    <t>Revise AM/3729/003.02 to .03</t>
  </si>
  <si>
    <t>C 17 087</t>
  </si>
  <si>
    <t>Revise SOP E-35</t>
  </si>
  <si>
    <t>include new M9 analyzer</t>
  </si>
  <si>
    <t>C 17 088</t>
  </si>
  <si>
    <t>Rooms 214 (2nd floor cage) and 212 (QC Lab)</t>
  </si>
  <si>
    <t>Install network cable (originating from switch in Room 221) to accommodate additions to the Vaisala monitoring system.</t>
  </si>
  <si>
    <t>C 17 089</t>
  </si>
  <si>
    <t>Revise AM/3729/001.01 to .02</t>
  </si>
  <si>
    <t xml:space="preserve">Change system suitability criteria </t>
  </si>
  <si>
    <t>C 17 090</t>
  </si>
  <si>
    <t>SOP E-67 Rev 2 to Rev 3</t>
  </si>
  <si>
    <t>Add new equipment and remove reference to old equipment.</t>
  </si>
  <si>
    <t>NC</t>
  </si>
  <si>
    <t>C 17 091</t>
  </si>
  <si>
    <t>GMP warehouses 123A, 126 &amp; 214</t>
  </si>
  <si>
    <t xml:space="preserve">Security covers to be installed over thermostats </t>
  </si>
  <si>
    <t>C 17 092</t>
  </si>
  <si>
    <t>Revise SP/3795/002.01 to .02</t>
  </si>
  <si>
    <t>C 17 093</t>
  </si>
  <si>
    <t>Revise PS/3813/001.00-005.00 and CA/3813/004.00</t>
  </si>
  <si>
    <t>Change ID testing from R,S to R                            Add TAMC result</t>
  </si>
  <si>
    <t>Velicept</t>
  </si>
  <si>
    <t>C 17 094</t>
  </si>
  <si>
    <t>Add Supplemental Validation Results</t>
  </si>
  <si>
    <t>C 17 095</t>
  </si>
  <si>
    <t>Revise SP/3746/001.00 to .02</t>
  </si>
  <si>
    <t xml:space="preserve">Client request to state termination of study </t>
  </si>
  <si>
    <t>EAH</t>
  </si>
  <si>
    <t>C 17 096</t>
  </si>
  <si>
    <t>Add additional bottles for micro and 18M testing</t>
  </si>
  <si>
    <t>Revise AM/3750/003.01 to 02 and AM/3750/004.01 to .02</t>
  </si>
  <si>
    <t>C 17 097</t>
  </si>
  <si>
    <t>Revise AM/3809/001.01 to .02</t>
  </si>
  <si>
    <t>Extend sample stability</t>
  </si>
  <si>
    <t>C 17 098</t>
  </si>
  <si>
    <t>Location change of oven (Asset# L197) from Room A110 to A122</t>
  </si>
  <si>
    <t>Revise SP/3750/00.00 to 01</t>
  </si>
  <si>
    <t>SP/3757/001.00 to .01</t>
  </si>
  <si>
    <t>C 17 099</t>
  </si>
  <si>
    <t>Revise SOP F-20 Rev 21 to Rev 2</t>
  </si>
  <si>
    <t>Per audit finding (CAPA requirement)</t>
  </si>
  <si>
    <t>C 17 100</t>
  </si>
  <si>
    <t>New SOP for SADE SP Series Tablet/Capsule Weight Sorter</t>
  </si>
  <si>
    <t>TB</t>
  </si>
  <si>
    <t>C 17 101</t>
  </si>
  <si>
    <t>New electrical drops for generators</t>
  </si>
  <si>
    <t>To expand generator capabilities</t>
  </si>
  <si>
    <t xml:space="preserve">To include the amount required for each stability pull (5 mL to 1 bottle)  also the number of bottles on stability (1 bottle to 5 bottles). </t>
  </si>
  <si>
    <t>Oven L373 and Granulator L378</t>
  </si>
  <si>
    <t>Decommission the assets</t>
  </si>
  <si>
    <t>C 17 102</t>
  </si>
  <si>
    <t>New SOP A-27 Rev 0 for the Rigaku XRD</t>
  </si>
  <si>
    <t>C 17 103</t>
  </si>
  <si>
    <t>SOP Q-14 Rev 3 to Rev 4</t>
  </si>
  <si>
    <t>C 17 104</t>
  </si>
  <si>
    <t>New SOP R-02 on handling of classified materials</t>
  </si>
  <si>
    <t>C 17 105</t>
  </si>
  <si>
    <t>Revise PS/3809/001.01 to .02; update water content</t>
  </si>
  <si>
    <t xml:space="preserve">Update Water Content criteria </t>
  </si>
  <si>
    <t>C 17 106</t>
  </si>
  <si>
    <t>Revise SOP D-20 Rev 2 to Rev 3, Batch Record Process</t>
  </si>
  <si>
    <t xml:space="preserve">Document will not be updated. KF sample amount captured in Stab. Prot. </t>
  </si>
  <si>
    <t>C 17 107</t>
  </si>
  <si>
    <t>Revise SOP Q-23 Rev 3 to Rev 4, Product Complaints</t>
  </si>
  <si>
    <t>C 17 108</t>
  </si>
  <si>
    <t>Revise SOP Q-30 Rev 2 to Rev 3, FP Labeling for Consumption</t>
  </si>
  <si>
    <t>C 17 109</t>
  </si>
  <si>
    <t>New SOP for Lightnin Mixer and Kettle</t>
  </si>
  <si>
    <t>new equipment and CAPA requirement</t>
  </si>
  <si>
    <t>C 17 110</t>
  </si>
  <si>
    <t>Revise TR/3795/002.00 to .01 to add conclusion regarding amount dosed from bottle</t>
  </si>
  <si>
    <t>Client request</t>
  </si>
  <si>
    <t>C 17 111</t>
  </si>
  <si>
    <t>PM</t>
  </si>
  <si>
    <t>new SOP T-53 for Mettler Toledo C30S coulemetric KF</t>
  </si>
  <si>
    <t>C 17 112</t>
  </si>
  <si>
    <t>All Emerson SOPs</t>
  </si>
  <si>
    <t>Prepare all for migration into the Pilgrim EQMS</t>
  </si>
  <si>
    <t>C 17 113</t>
  </si>
  <si>
    <t>AP/3744/001.00 update protocol lot numbers</t>
  </si>
  <si>
    <t>Client provided incorrect number(s)</t>
  </si>
  <si>
    <t>C 17 114</t>
  </si>
  <si>
    <t xml:space="preserve">Validate Methods </t>
  </si>
  <si>
    <t>Revise AM/3813/001.00- assay/RS and AM/3813/002.00- disso</t>
  </si>
  <si>
    <t>C 17 115</t>
  </si>
  <si>
    <t>Aclaris</t>
  </si>
  <si>
    <t>Revise AR/3855/001.00- Cleaning Verification to AR/3855/001.01</t>
  </si>
  <si>
    <t>Add additional data to table</t>
  </si>
  <si>
    <t>C 17 116</t>
  </si>
  <si>
    <t>Revise CA/3809/001.00 to .01</t>
  </si>
  <si>
    <t>Include shelf life extension as per client request</t>
  </si>
  <si>
    <t>C 17 117</t>
  </si>
  <si>
    <t>Revise SOP S-10 Rev 2 to Rev 3</t>
  </si>
  <si>
    <t>Periodic review and update format</t>
  </si>
  <si>
    <t>C 17 118</t>
  </si>
  <si>
    <t>Revise SP/3840/001.00 to .01</t>
  </si>
  <si>
    <t>change storage of pulled stability samples from refrigerated to ambient and additional client signature</t>
  </si>
  <si>
    <t>C 17 119</t>
  </si>
  <si>
    <t>C 17 120</t>
  </si>
  <si>
    <t>Revise All currently active SE Stability Protocols</t>
  </si>
  <si>
    <t>CAPA requirements</t>
  </si>
  <si>
    <t>C 17 121</t>
  </si>
  <si>
    <t>C 17 122</t>
  </si>
  <si>
    <t>C 17 123</t>
  </si>
  <si>
    <t>SOP A-24 Rev 3 to Rev 4</t>
  </si>
  <si>
    <t>Reflect new model of DSC</t>
  </si>
  <si>
    <t>SOP D-04 Rev 4 to Rev 5</t>
  </si>
  <si>
    <t>New SOP Q-36 on Data Integrity</t>
  </si>
  <si>
    <t>C 17 124</t>
  </si>
  <si>
    <t>SOP R-09 Rev 1 to Rev 2</t>
  </si>
  <si>
    <t>To complete RFC C 13 105 and new CAPA requirements</t>
  </si>
  <si>
    <t>C 17 125</t>
  </si>
  <si>
    <t>SOP A-30 Rev 1 to 2</t>
  </si>
  <si>
    <t>CAPA requirement (overdue)</t>
  </si>
  <si>
    <t>C 17 126</t>
  </si>
  <si>
    <t>SOP A-15 Rev 6 to 7</t>
  </si>
  <si>
    <t>C 17 127</t>
  </si>
  <si>
    <t>Revise AM/3672/001.01 to .02</t>
  </si>
  <si>
    <t xml:space="preserve">Increase Std Concentration </t>
  </si>
  <si>
    <t>C 17 128</t>
  </si>
  <si>
    <t>Revise RM/3788/002.00 and RM/3788/006.00 to .01</t>
  </si>
  <si>
    <t>Add EP criteria</t>
  </si>
  <si>
    <t>C 17 129</t>
  </si>
  <si>
    <t>SOP Q-02 Rev 3 to Rev 4</t>
  </si>
  <si>
    <t>C 17 130</t>
  </si>
  <si>
    <t>Adjust lights in room 126 to run over the isle instead of the shelves of material.  CAPA 17 090 item #3.</t>
  </si>
  <si>
    <t>C 17 131</t>
  </si>
  <si>
    <t>Update software and computer for FTIR system (Asset # A269)</t>
  </si>
  <si>
    <t>C 17 132</t>
  </si>
  <si>
    <t>New SOP for osmometer</t>
  </si>
  <si>
    <t>C 17 133</t>
  </si>
  <si>
    <t>LAF</t>
  </si>
  <si>
    <t>Revise MF/3587/004.00 to .01 to correct data calculation</t>
  </si>
  <si>
    <t>incorrect calculation</t>
  </si>
  <si>
    <t>C 17 134</t>
  </si>
  <si>
    <t>update format and periodic review</t>
  </si>
  <si>
    <t>Revise 4 SOPs: S-08, S-14, S-23 and Q-04</t>
  </si>
  <si>
    <t>C 17 135</t>
  </si>
  <si>
    <t>Client Request</t>
  </si>
  <si>
    <t>Revise SP/3783/002.00 and SP/3783/003.00 to .01, Remove 9M timepoint and add 18M timepoint</t>
  </si>
  <si>
    <t>C 17 136</t>
  </si>
  <si>
    <t>Revise 3 SOPs: E-37, E-57 &amp; P-04</t>
  </si>
  <si>
    <t>C 17 137</t>
  </si>
  <si>
    <t>Revise Specialty Excipient Batch Records and address CAPA 14 031, 15 019, 17 065 and 17 066.</t>
  </si>
  <si>
    <t>C 17 138</t>
  </si>
  <si>
    <t>SOP F-12 Rev 1 to Rev 2</t>
  </si>
  <si>
    <t>Revise AM/3763/003.01, -004.01, 001.03 and -005.00</t>
  </si>
  <si>
    <t>C 17 139</t>
  </si>
  <si>
    <t>PS/3784/001.01 to .02</t>
  </si>
  <si>
    <t>Client request to modify individual impurity specification</t>
  </si>
  <si>
    <t>C 17 140</t>
  </si>
  <si>
    <t>C 17 141</t>
  </si>
  <si>
    <t>Revise SOP A-31 Rev. 0 to 1</t>
  </si>
  <si>
    <t>Revise SOP T-52 Rev. 1 to 2</t>
  </si>
  <si>
    <t>CAPA requirement and LDR A16-007</t>
  </si>
  <si>
    <t>C 17 142</t>
  </si>
  <si>
    <t>Revise SOP A-18 Rev. 2 to 3</t>
  </si>
  <si>
    <t>Update format, editoral changes and clarify media recycle option</t>
  </si>
  <si>
    <t>C 17 143</t>
  </si>
  <si>
    <t>UV light filters</t>
  </si>
  <si>
    <t>No longer required</t>
  </si>
  <si>
    <t>C 17 144</t>
  </si>
  <si>
    <t>Incorrect specification for appearance, capsule size should read 0 not 3</t>
  </si>
  <si>
    <t>Esperion</t>
  </si>
  <si>
    <t>Revise CA/3832/002.00 to .01</t>
  </si>
  <si>
    <t>C 17 145</t>
  </si>
  <si>
    <t>Facility floors</t>
  </si>
  <si>
    <t>The first floor laboratories, warehouses, and hallways that have epoxy floors will be resurfaced and general maintenance will also be performed as needed. Excluded in this work will be the annex, 113, 122, 123A, 124, 126, parts of 129, and 130</t>
  </si>
  <si>
    <t>C 17 146</t>
  </si>
  <si>
    <t>Facility - Spheronizer</t>
  </si>
  <si>
    <t>Install start/stop control on spheronizer, asset #L020</t>
  </si>
  <si>
    <t>SAK</t>
  </si>
  <si>
    <t>C 17 147</t>
  </si>
  <si>
    <t>Revise CA/3840/001.00 to .01</t>
  </si>
  <si>
    <t>Outside laboratory (QCL) performing micro testing incorrectly calculated results. (See QCL Incident report # 000002881)</t>
  </si>
  <si>
    <t>C 18 001</t>
  </si>
  <si>
    <t>Revise AM/3763/004.02 to .03</t>
  </si>
  <si>
    <t>Client wants to add additional timepoints for IVR</t>
  </si>
  <si>
    <t>C 18 002</t>
  </si>
  <si>
    <t>Revise CA/3868/002.00 to .01</t>
  </si>
  <si>
    <t>Product specification is incorrect on CofA</t>
  </si>
  <si>
    <t>C 18 003</t>
  </si>
  <si>
    <t>Revise AM/3750/002.02 to .03</t>
  </si>
  <si>
    <t>Include glassware rinsing step</t>
  </si>
  <si>
    <t>C 18 004</t>
  </si>
  <si>
    <t>SOP and Training systems</t>
  </si>
  <si>
    <t>Implement Pilgrim's SmartSolve eQMS</t>
  </si>
  <si>
    <t>C 18 005</t>
  </si>
  <si>
    <t>Revise AM/3788/003.01 to .02</t>
  </si>
  <si>
    <t>C 18 006</t>
  </si>
  <si>
    <t>Revise SOP Q-12 Rev 7 to Rev 8, Shipping</t>
  </si>
  <si>
    <t>C 18 007</t>
  </si>
  <si>
    <t>Revise SOP T-12 Rev 2 to Rev 3, PlasACRYL Solids Content Testng</t>
  </si>
  <si>
    <t>Periodic review and CAPA requirement</t>
  </si>
  <si>
    <t>CT</t>
  </si>
  <si>
    <t>Revise AM/3745/003.03 and AM/3745/004.03  to .04</t>
  </si>
  <si>
    <t>Correct CU prep dilution factor (CAPA requirement) and add additional client requests</t>
  </si>
  <si>
    <t>C 18 008</t>
  </si>
  <si>
    <t>Revise SOP D-17 Rev 1 to Rev 2, Record Retention</t>
  </si>
  <si>
    <t>C 18 009</t>
  </si>
  <si>
    <t>Revise SOP D-14 Rev 3 to Rev 4, Batch Record Requirements</t>
  </si>
  <si>
    <t>Allow more time to investigate and react to excursions</t>
  </si>
  <si>
    <t>Change alarm set points and notification delay timing on cold chain storage units</t>
  </si>
  <si>
    <t>C 18 010</t>
  </si>
  <si>
    <t>C 18 011</t>
  </si>
  <si>
    <t>Revise SOP E-86 Rev 0 to Rev 1, Automatic Capsule Polisher</t>
  </si>
  <si>
    <t>C 18 012</t>
  </si>
  <si>
    <t>Revise SOP E-29 Rev 4 to Rev 5, Qualification, Calibration and Maintenance Programs</t>
  </si>
  <si>
    <t>Revise SOP D-15 Rev 4 to Rev 5, Logbooks</t>
  </si>
  <si>
    <t>C 18 013</t>
  </si>
  <si>
    <t>C 18 014</t>
  </si>
  <si>
    <t>Revise AR/3809/001.00 to .01</t>
  </si>
  <si>
    <t>Update and add additional sample solution data</t>
  </si>
  <si>
    <t>C 18 015</t>
  </si>
  <si>
    <t>Revise AM/3672/002.02 to .03</t>
  </si>
  <si>
    <t>BJL</t>
  </si>
  <si>
    <t>C 18 016</t>
  </si>
  <si>
    <t>C 18 017</t>
  </si>
  <si>
    <t>C 18 018</t>
  </si>
  <si>
    <t>Revise AM/3788/001.00 to .01</t>
  </si>
  <si>
    <t>Revise AM/3750/001.00 to .01</t>
  </si>
  <si>
    <t>Revise AM/3800/001.00 to .01</t>
  </si>
  <si>
    <t>Checkpoint</t>
  </si>
  <si>
    <t>C 18 019</t>
  </si>
  <si>
    <t>Revise PS/3865/001.00 to 002.00</t>
  </si>
  <si>
    <t>Document Number typo</t>
  </si>
  <si>
    <t>Aminex</t>
  </si>
  <si>
    <t>C 18 020</t>
  </si>
  <si>
    <t>Revise AM/3869/001.01 to .02</t>
  </si>
  <si>
    <t>Include detail about additional process impurity</t>
  </si>
  <si>
    <t>Edenbridge</t>
  </si>
  <si>
    <t>C 18 021</t>
  </si>
  <si>
    <t>Decommission TOC Analyzer Asset A060</t>
  </si>
  <si>
    <t>Replacement of a newer model</t>
  </si>
  <si>
    <t>C 18 022</t>
  </si>
  <si>
    <t>Revise to address CAPA 17-076</t>
  </si>
  <si>
    <t>12+</t>
  </si>
  <si>
    <t>C 18 023</t>
  </si>
  <si>
    <t>SP/3772/003.02 to .03</t>
  </si>
  <si>
    <t xml:space="preserve">Add additional 30 month timepoint and remove 18 month timepoint </t>
  </si>
  <si>
    <t>C 18 024</t>
  </si>
  <si>
    <t>SP/3801/002.00 to .01</t>
  </si>
  <si>
    <t>Include additional stability testing timepoints (18M and 24M)</t>
  </si>
  <si>
    <t>C 18 025</t>
  </si>
  <si>
    <t>PS/3813/009, -010, -011.00</t>
  </si>
  <si>
    <t xml:space="preserve">Incorrect method listed due to formulation change </t>
  </si>
  <si>
    <t>C 18 026</t>
  </si>
  <si>
    <t>C 18 027</t>
  </si>
  <si>
    <t>AM/3715/001.00 to .01</t>
  </si>
  <si>
    <t>AM/3750/001.00 to .01</t>
  </si>
  <si>
    <t>Change of standard concentration</t>
  </si>
  <si>
    <t>C 18 028</t>
  </si>
  <si>
    <t>PS/3832/005, -006.00 to .01</t>
  </si>
  <si>
    <t>Update dissolution specifications</t>
  </si>
  <si>
    <t>C 18 029</t>
  </si>
  <si>
    <t>C 18 030</t>
  </si>
  <si>
    <t>CA/3788/001, 002, 003.03 to .04 &amp; CA/3788/004,005.02 to .03</t>
  </si>
  <si>
    <t>Extend shelf life from 12M to 18M</t>
  </si>
  <si>
    <t>Revise PS/3878/001, 002.00 to .01</t>
  </si>
  <si>
    <t>Change reporting of impurity values</t>
  </si>
  <si>
    <t>FLX Bio</t>
  </si>
  <si>
    <t xml:space="preserve">Cancelled </t>
  </si>
  <si>
    <t>AM/3587/002, .003.00 to .01</t>
  </si>
  <si>
    <t>C 18 031</t>
  </si>
  <si>
    <t>Add additional timepoints</t>
  </si>
  <si>
    <t>TTC</t>
  </si>
  <si>
    <t>Revise SP/3860/001.00 to .01</t>
  </si>
  <si>
    <t>C 18 032</t>
  </si>
  <si>
    <t>AM/3832/002.00 to .01 and AM/3832/003.00 to .01</t>
  </si>
  <si>
    <t>Method validation updates and include 90 and 180 mg preps</t>
  </si>
  <si>
    <t>C 18 033</t>
  </si>
  <si>
    <t>Revise SP/3888/002.00 to .01</t>
  </si>
  <si>
    <t>Remove refrigerated condition for active samples due to insufficient samples available for study</t>
  </si>
  <si>
    <t>C 18 034</t>
  </si>
  <si>
    <t>Revise RM/3865/002.00 to .01</t>
  </si>
  <si>
    <t>Add appearance and moisture content criteria</t>
  </si>
  <si>
    <t>yes</t>
  </si>
  <si>
    <t>Waiting for Client Signature</t>
  </si>
  <si>
    <t>C 18 035</t>
  </si>
  <si>
    <t>Revise CA/3840/003.00 to .01 &amp; CA/3809/002.01 to .02</t>
  </si>
  <si>
    <t>Include pass/fail notation</t>
  </si>
  <si>
    <t>C 18 036</t>
  </si>
  <si>
    <t xml:space="preserve"> to align with revised PS/3878/001.01</t>
  </si>
  <si>
    <t>Revise CA/3878/001.00 to .01</t>
  </si>
  <si>
    <t>SAF</t>
  </si>
  <si>
    <t>C 18 037</t>
  </si>
  <si>
    <t>Revise SP/3847/001.00 to .01</t>
  </si>
  <si>
    <t>Remove water determination testing and add LOD testing</t>
  </si>
  <si>
    <t>C 18 038</t>
  </si>
  <si>
    <t>Revise PS/3847/001.00 to .01</t>
  </si>
  <si>
    <t>Remove AM/3789/001-typo</t>
  </si>
  <si>
    <t>C 18 039</t>
  </si>
  <si>
    <t>Revise AM/3861/001.00 to .01</t>
  </si>
  <si>
    <t xml:space="preserve">Include ID testing </t>
  </si>
  <si>
    <t>RDD</t>
  </si>
  <si>
    <t>C 18 040</t>
  </si>
  <si>
    <t>Replace leaking ball valve on hot water line for heating jacket on production kettle P001.</t>
  </si>
  <si>
    <t>Heating jacket on production kettle P001.</t>
  </si>
  <si>
    <t>C 18 041</t>
  </si>
  <si>
    <t>new SOP Q-37, Quality Agreements</t>
  </si>
  <si>
    <t>C 18 042</t>
  </si>
  <si>
    <t>Revise Marcoat 125N CoA Template for Nutrilite</t>
  </si>
  <si>
    <t>Change in Customer (Nutrilite) specifications</t>
  </si>
  <si>
    <t>Specialty Excipients (SE)</t>
  </si>
  <si>
    <t>C 18 043</t>
  </si>
  <si>
    <t>C 18 044</t>
  </si>
  <si>
    <t>Revise PS/3896/001.00, PS/3896/002.00 and PS/3896/003.00 to .01</t>
  </si>
  <si>
    <t>Update acceptance criteria for related substances</t>
  </si>
  <si>
    <t>Aptinyx</t>
  </si>
  <si>
    <t>C 18 045</t>
  </si>
  <si>
    <t>Replace wire on Mocon L365</t>
  </si>
  <si>
    <t>Connection was unstable</t>
  </si>
  <si>
    <t>Wistar</t>
  </si>
  <si>
    <t>DRS</t>
  </si>
  <si>
    <t>C 18 046</t>
  </si>
  <si>
    <t>Revise AM/3763/003.02 to .03</t>
  </si>
  <si>
    <t>Correct concentration of sensitivity solution to 0.00015 mg/mL</t>
  </si>
  <si>
    <t>C 18 047</t>
  </si>
  <si>
    <t>Master Batch Record M3803-01_</t>
  </si>
  <si>
    <t>Revised to correct errors and improve workflow.</t>
  </si>
  <si>
    <t>C 18 048</t>
  </si>
  <si>
    <t>Revise SOP A-25 rev, 3 to SOP A-25 rev. 4</t>
  </si>
  <si>
    <t>Update to include outcome of CAPA 17-082</t>
  </si>
  <si>
    <t>SE/CM Batch Record</t>
  </si>
  <si>
    <t>C 18 049</t>
  </si>
  <si>
    <t>Revise CA/3809/001.01, CA/3840/001.01, SR/3809/001 and SR/3840/001</t>
  </si>
  <si>
    <t>To remove RRT 0.12 from reported individual impurities</t>
  </si>
  <si>
    <t>Revise AM/3746/007.01 to .02 and AM/3746/006.01 to .02</t>
  </si>
  <si>
    <t>Update internal standard concentration and correct filter size, method clarifications</t>
  </si>
  <si>
    <t>C 18 050</t>
  </si>
  <si>
    <t>Additional pest control traps on 1st floor; revise SOP F-20 Rev 2 to Rev 3 accordingly.</t>
  </si>
  <si>
    <t>Enhance pest control per audit finding</t>
  </si>
  <si>
    <t>C 18 051</t>
  </si>
  <si>
    <t>CA/3885/001.00 to .01</t>
  </si>
  <si>
    <t>Correct typo in header and method reference</t>
  </si>
  <si>
    <t>C 18 052</t>
  </si>
  <si>
    <t>PS/3871/001.00 and PS/3871/002.00 to .01</t>
  </si>
  <si>
    <t>Change impurity sig. fig. and Dissolution time-points</t>
  </si>
  <si>
    <t>C 18 053</t>
  </si>
  <si>
    <t>AR/3884/001.00 to .01</t>
  </si>
  <si>
    <t>Correct linearity curve and equation</t>
  </si>
  <si>
    <t>C 18 054</t>
  </si>
  <si>
    <t>new SOP E-91 for volumetric fillers</t>
  </si>
  <si>
    <t>C 18 055</t>
  </si>
  <si>
    <t>Revise Product Specifications, PS/3744/001.01, -002.01</t>
  </si>
  <si>
    <t>To harmonize test with EP chapters</t>
  </si>
  <si>
    <t>C 18 056</t>
  </si>
  <si>
    <t>Revise RM/3888/004.01 to .02</t>
  </si>
  <si>
    <t>Update manufacturer and supplier names and add EP testing</t>
  </si>
  <si>
    <t>C 18 057</t>
  </si>
  <si>
    <t>Update job descriptions</t>
  </si>
  <si>
    <t>CAPA 18-016 requirement</t>
  </si>
  <si>
    <t>Document/Other (D)</t>
  </si>
  <si>
    <t>C 18 058</t>
  </si>
  <si>
    <t>SP/3840/002.00 to .01</t>
  </si>
  <si>
    <t>Remove 18M, 24M and 36M timepoints to add additional samples to 1M, 3M and 6M timepoints</t>
  </si>
  <si>
    <t xml:space="preserve">no </t>
  </si>
  <si>
    <t>C 18 059</t>
  </si>
  <si>
    <t>new roof is required</t>
  </si>
  <si>
    <t>main facility roof</t>
  </si>
  <si>
    <t>C 18 060</t>
  </si>
  <si>
    <t>AM/3847/001.01 and AM/3847/002.01 to .02</t>
  </si>
  <si>
    <t>Update after method validations</t>
  </si>
  <si>
    <t>C 18 061</t>
  </si>
  <si>
    <t>AM/3878/001.00, AM/3878/002.00, AM/3878/003.00 to .01</t>
  </si>
  <si>
    <t>Update after method validation and verification</t>
  </si>
  <si>
    <t>C 18 062</t>
  </si>
  <si>
    <t>To remove Impurity A</t>
  </si>
  <si>
    <t xml:space="preserve">RDD Pharma </t>
  </si>
  <si>
    <t>Update PS/3861/001.00 to .01</t>
  </si>
  <si>
    <t>C 18 063</t>
  </si>
  <si>
    <t>Revise SP/3871/002.00 to .01</t>
  </si>
  <si>
    <t>Update conditions and timepoints</t>
  </si>
  <si>
    <t>C 18 064</t>
  </si>
  <si>
    <t>C 18 065</t>
  </si>
  <si>
    <t>Revise SP/3861/002.00 to .01</t>
  </si>
  <si>
    <t>Add 18M timepoint</t>
  </si>
  <si>
    <t>C 18 066</t>
  </si>
  <si>
    <t>Revise CA/3896/001.00 to .01</t>
  </si>
  <si>
    <t>Include shipping batch number</t>
  </si>
  <si>
    <t>C 18 067</t>
  </si>
  <si>
    <t>Revise AM/3835/001.01 to .02 and AM/3835/002.00 to .01</t>
  </si>
  <si>
    <t>C 18 068</t>
  </si>
  <si>
    <t>New SOP A-36, Operation and Maintenance of Pipettes</t>
  </si>
  <si>
    <t>CAPA (16-026 and 16-031) requirement</t>
  </si>
  <si>
    <t>C 18 069</t>
  </si>
  <si>
    <t>Revise CA/3903/001.00 to .01</t>
  </si>
  <si>
    <t>Include retest date of one year as per client request</t>
  </si>
  <si>
    <t>Revise AM/3861/002.01 to .02 and PS/3861/001.01 to .02</t>
  </si>
  <si>
    <t xml:space="preserve">Validate Method and clarification </t>
  </si>
  <si>
    <t>C 18 070</t>
  </si>
  <si>
    <t>Revise AM/3871/001.00 to .01 &amp; AM/3871/003.01 to .02</t>
  </si>
  <si>
    <t>6-9M</t>
  </si>
  <si>
    <t>C 18 071</t>
  </si>
  <si>
    <t>Revise AM/2864/001.04 to .05</t>
  </si>
  <si>
    <t>To include PlasACRYL T20 sample prep information</t>
  </si>
  <si>
    <t>C 18 072</t>
  </si>
  <si>
    <t>Revise SP/3801/002.01 to .02</t>
  </si>
  <si>
    <t>Add 36M time point per client request</t>
  </si>
  <si>
    <t>C 18 073</t>
  </si>
  <si>
    <t>Revise SOP T-09 rev 4 to rev 5</t>
  </si>
  <si>
    <t>C 18 074</t>
  </si>
  <si>
    <t>Emerson personnel qualified to replace part</t>
  </si>
  <si>
    <t>GMP fridge A240 had a faulty ON/OFF switch</t>
  </si>
  <si>
    <t>C 18 075</t>
  </si>
  <si>
    <t xml:space="preserve">Gerteis Mini-Polygran 150/30/3 Roller Compaction System </t>
  </si>
  <si>
    <t>STV</t>
  </si>
  <si>
    <t>C 18 076</t>
  </si>
  <si>
    <t>New SOP E-92</t>
  </si>
  <si>
    <t>C 18 077</t>
  </si>
  <si>
    <t>Revise SP/3878/002.00 to .01</t>
  </si>
  <si>
    <t>Update Appearance Testing to test entire bottle</t>
  </si>
  <si>
    <t>C 18 078</t>
  </si>
  <si>
    <t>SOP Q-19 Rev 3, GMP Deviations and Investigations</t>
  </si>
  <si>
    <t>various CAPA requirements</t>
  </si>
  <si>
    <t>Revise AP/2861/001.01 to .02</t>
  </si>
  <si>
    <t>Include SOP updates</t>
  </si>
  <si>
    <t>C 18 079</t>
  </si>
  <si>
    <t>Revise AM/3855/002.00 to .01</t>
  </si>
  <si>
    <t>C 18 080</t>
  </si>
  <si>
    <t>UV Vis Spectrophotometer  - Asset # A020</t>
  </si>
  <si>
    <t>Update software and include new autosampler equipment</t>
  </si>
  <si>
    <t>C 18 081</t>
  </si>
  <si>
    <t>Revise SP/3878/001.00 to .01</t>
  </si>
  <si>
    <t>Extend stability study to 9M for 25/60 and 40/75 HSG Samples</t>
  </si>
  <si>
    <t>C 18 082</t>
  </si>
  <si>
    <t>Revise AM/3911/001.00 to .01</t>
  </si>
  <si>
    <t>Method verified</t>
  </si>
  <si>
    <t>C 18 083</t>
  </si>
  <si>
    <t>Revise PlasACRYL T20 &amp; HTP20 QA Questionnaire from rev. 1 to 2</t>
  </si>
  <si>
    <t>Revision 1 was made effective in 2014 and an updated document has been requested by customers</t>
  </si>
  <si>
    <t>C 18 084</t>
  </si>
  <si>
    <t>Revise AM/3678/001.02 to .03</t>
  </si>
  <si>
    <t>CAPA requirement to update sample prep - CAPA 18-024</t>
  </si>
  <si>
    <t>C 18 085</t>
  </si>
  <si>
    <t>Revise AM/3746/007.02 to .03</t>
  </si>
  <si>
    <t>Remove dissolution sampling time points per client request</t>
  </si>
  <si>
    <t>C 18 086</t>
  </si>
  <si>
    <t>SOP E-14 Rev 2, on the Quadro Comil 197S</t>
  </si>
  <si>
    <t>C 18 087</t>
  </si>
  <si>
    <t>SOP E-23 Rev 2, on the chart recorders</t>
  </si>
  <si>
    <t>C 18 088</t>
  </si>
  <si>
    <t>SOP Q-38, Management Review of the Pharmaceutical Quality System</t>
  </si>
  <si>
    <t>C 18 089</t>
  </si>
  <si>
    <t>SOP E-64 Rev 0, on the Vaisala viewLinc System</t>
  </si>
  <si>
    <t>0-3M</t>
  </si>
  <si>
    <t>C 18 090</t>
  </si>
  <si>
    <t>SOP T-14 Rev 1 to Rev 2</t>
  </si>
  <si>
    <t>Periodic review, update format and specification</t>
  </si>
  <si>
    <t>cancelled see C 18 090</t>
  </si>
  <si>
    <t>C 18 091</t>
  </si>
  <si>
    <t>Clearside Biomedical</t>
  </si>
  <si>
    <t>Revise AM/3931/001.00 to .01</t>
  </si>
  <si>
    <t xml:space="preserve">Verify Method </t>
  </si>
  <si>
    <t>C 18 092</t>
  </si>
  <si>
    <t xml:space="preserve">CAPA 18-029 requirement </t>
  </si>
  <si>
    <t xml:space="preserve">Revise AM/3865/001.01 to .02 to update assay calculation to compensate for system drift </t>
  </si>
  <si>
    <t>C 18 093</t>
  </si>
  <si>
    <t>Revise PS/3813/012, -013, -014.00 to .01</t>
  </si>
  <si>
    <t>Correct Sample name and revise appearance specification</t>
  </si>
  <si>
    <t>C 18 094</t>
  </si>
  <si>
    <t>SOP E-35 Rev 5 to Rev 6</t>
  </si>
  <si>
    <t>Remove the RSD requirement for CV TOC samples below 500 ppb, per QA/2862/063 memo.</t>
  </si>
  <si>
    <t>C 18 095</t>
  </si>
  <si>
    <t>Revise AM/3872/001.00 to .01</t>
  </si>
  <si>
    <t>C 18 096</t>
  </si>
  <si>
    <t>Revise SP/3715/004.00 and SP/3715/005.00 to .01</t>
  </si>
  <si>
    <t>C 18 097</t>
  </si>
  <si>
    <t>Revise SP/3868/001.00 to .01</t>
  </si>
  <si>
    <t>Add 18M and 24M time points per client request</t>
  </si>
  <si>
    <t>Revise SP/3803/006.00 to .01</t>
  </si>
  <si>
    <t>Add additional bottles of 30 mg (lot 3803-34) for micro testing</t>
  </si>
  <si>
    <t>C 18 098</t>
  </si>
  <si>
    <t>C 18 099</t>
  </si>
  <si>
    <t>Revise SOP D-14 Rev 4 to Rev 5, Batch Record Requirements</t>
  </si>
  <si>
    <t>Address QA IP checks for critical equipment setups and expand on the application of master batch records</t>
  </si>
  <si>
    <t>C 18 100</t>
  </si>
  <si>
    <t>Room 126</t>
  </si>
  <si>
    <t>Install a vinyl partition to separate SE stability material from the other material stored on the same shelf.</t>
  </si>
  <si>
    <t>C 18 101</t>
  </si>
  <si>
    <t>Revise PS/3869/001, -002.00</t>
  </si>
  <si>
    <t>Update to clarify Dissolution specification</t>
  </si>
  <si>
    <t>C 18 102</t>
  </si>
  <si>
    <t>Revise SP/3881/001.00 and SP/3784/004.00</t>
  </si>
  <si>
    <t>Revise test name and include labeling instructions</t>
  </si>
  <si>
    <t>C 18 103</t>
  </si>
  <si>
    <t>C 18 104</t>
  </si>
  <si>
    <t>CAPA 18-014 and CAPA 17-109 requirement</t>
  </si>
  <si>
    <t>Revise SOP A-22 Rev. 3 to Rev. 4</t>
  </si>
  <si>
    <t>Revise SOP A-08 Rev. 3 to Rev. 4</t>
  </si>
  <si>
    <t>C 18 105</t>
  </si>
  <si>
    <t>Revise SOP A-10 Rev. 6 to Rev. 7</t>
  </si>
  <si>
    <t>CAPA 17-106 and CAPA 17-107 requirement</t>
  </si>
  <si>
    <t>C 18 106</t>
  </si>
  <si>
    <t>Revise AP/3884/002.00 to .01</t>
  </si>
  <si>
    <t>Add filter study</t>
  </si>
  <si>
    <t>C 18 107</t>
  </si>
  <si>
    <t>Revise AM/3921/001.00 to .01</t>
  </si>
  <si>
    <t>C 18 108</t>
  </si>
  <si>
    <t>Stability Chamber A126, set to 30C/65%</t>
  </si>
  <si>
    <t>Cable connecting the data logger to serial port server not working; needs to be replaced</t>
  </si>
  <si>
    <t>C 18 109</t>
  </si>
  <si>
    <t>C 18 110</t>
  </si>
  <si>
    <t xml:space="preserve">Replace circuit board in main security system panel. </t>
  </si>
  <si>
    <t>Damaged by lightning strike.</t>
  </si>
  <si>
    <t xml:space="preserve">Replace smartpad circuit board and ACE control board in stability chamber A077. </t>
  </si>
  <si>
    <t>C 18 111</t>
  </si>
  <si>
    <t>Revise SOP A-06 Rev. 2 to 3 and SOP A-23, Rev. 3 to 4</t>
  </si>
  <si>
    <t>Periodic Review</t>
  </si>
  <si>
    <t>C 18 112</t>
  </si>
  <si>
    <t>Revise ROP R-07 Rev 6 to Rev 7</t>
  </si>
  <si>
    <t>C 18 113</t>
  </si>
  <si>
    <t>Revise SOP D-03 Rev 5 to Rev 6</t>
  </si>
  <si>
    <t>C 18 114</t>
  </si>
  <si>
    <t>Revise SOP D-08 Rev 4 to Rev 5</t>
  </si>
  <si>
    <t>C 18 115</t>
  </si>
  <si>
    <t xml:space="preserve">Validate Method and clarifications </t>
  </si>
  <si>
    <t>Revise AM/3705/002.00 to .01 and AM/3705/003.01 to .02</t>
  </si>
  <si>
    <t>C 18 116</t>
  </si>
  <si>
    <t>Revise CA/3895/001, 002.00 to .01</t>
  </si>
  <si>
    <t xml:space="preserve">Include EU specifications </t>
  </si>
  <si>
    <t>C 18 117</t>
  </si>
  <si>
    <t>Revise SP/3826/005.00 to .01</t>
  </si>
  <si>
    <t>Add additional lot, condition and timepoint</t>
  </si>
  <si>
    <t>C 18 118</t>
  </si>
  <si>
    <t>Revise AM/3884/002.00 to .01</t>
  </si>
  <si>
    <t>C 18 119</t>
  </si>
  <si>
    <t>Resurfaced the epoxy floors in rooms 215, 216, 217, 218, 218A, 219, 220, 220A, and 221.</t>
  </si>
  <si>
    <t>Periodic upkeep of facility</t>
  </si>
  <si>
    <t>C 18 120</t>
  </si>
  <si>
    <t>C 18 121</t>
  </si>
  <si>
    <t>Aging equipment needs upgrades to accommodate business needs.</t>
  </si>
  <si>
    <t>Install 2 new physical servers and a storage area network device.</t>
  </si>
  <si>
    <t>C 18 122</t>
  </si>
  <si>
    <t>Install mirror in 215</t>
  </si>
  <si>
    <t>To aid in gowning</t>
  </si>
  <si>
    <t>C 18 123</t>
  </si>
  <si>
    <t>Revise AM/3763/001-005 to include placebo preps</t>
  </si>
  <si>
    <t xml:space="preserve">Missing placebo preps in methods </t>
  </si>
  <si>
    <t>C 18 124</t>
  </si>
  <si>
    <t>Revise SOP Q-10 Rev 0 to Rev 1</t>
  </si>
  <si>
    <t>C 18 125</t>
  </si>
  <si>
    <t>Revise SOP Q-34 Rev 0 to Rev 1</t>
  </si>
  <si>
    <t>C 18 126</t>
  </si>
  <si>
    <t>Revise PS/3861/001.02 to .03</t>
  </si>
  <si>
    <t>Correct method typo for Microbial Limits</t>
  </si>
  <si>
    <t>C 18 127</t>
  </si>
  <si>
    <t xml:space="preserve">Revised CoA for PlasACRYL T20 </t>
  </si>
  <si>
    <t>TLS</t>
  </si>
  <si>
    <t>QC Completed By Date was incorrect on CoA for PT180702</t>
  </si>
  <si>
    <t>Revise SOP E-25 Rev 3 to Rev 4</t>
  </si>
  <si>
    <t>C 18 128</t>
  </si>
  <si>
    <t>C 18 129</t>
  </si>
  <si>
    <t>Revise SOP E-73 Rev 0 to Rev 1</t>
  </si>
  <si>
    <t>PJF</t>
  </si>
  <si>
    <t>C 18 130</t>
  </si>
  <si>
    <t>Revise SOP Q-03 Rev 1 to Rev 2 and SOP Q-12 Rev 8 to Rev 9</t>
  </si>
  <si>
    <t>C 18 131</t>
  </si>
  <si>
    <t>Revise SOP Q-15 Rev 4 to Rev 5</t>
  </si>
  <si>
    <t>C 18 132</t>
  </si>
  <si>
    <t>Add 2 lockable cabinets to A111</t>
  </si>
  <si>
    <t>Additional storage capacity for controlled substances</t>
  </si>
  <si>
    <t>C 18 133</t>
  </si>
  <si>
    <t>CAPA Requirement and periodic review</t>
  </si>
  <si>
    <t>Revise SOP E-31 Rev 3 to Rev 4</t>
  </si>
  <si>
    <t>C 18 134</t>
  </si>
  <si>
    <t>Revise AM/3678/003.00 to .01</t>
  </si>
  <si>
    <t>Method Verified</t>
  </si>
  <si>
    <t>C 18 135</t>
  </si>
  <si>
    <t>no longer needed</t>
  </si>
  <si>
    <t>Decommission the Ro-Tap and In-CAP units</t>
  </si>
  <si>
    <t>C 18 136</t>
  </si>
  <si>
    <t>Decommission R&amp;D equipment</t>
  </si>
  <si>
    <t>C 18 137</t>
  </si>
  <si>
    <t>Revise MR/2862/002.00, desiccant inspection form</t>
  </si>
  <si>
    <t>to reflect the informational purpose of obtaining net weight of material inside</t>
  </si>
  <si>
    <t>MR/2862/001.00 Packaging Material Release Form; create new inspection form for desiccants</t>
  </si>
  <si>
    <t>Revise and create to reflect updated procedure</t>
  </si>
  <si>
    <t>C 18 138</t>
  </si>
  <si>
    <t>Revise AM/3884/004.00 to .01</t>
  </si>
  <si>
    <t>Validate Method and CAPA 18-044 requirement</t>
  </si>
  <si>
    <t>C 18 139</t>
  </si>
  <si>
    <t>Revise customer specific CoA for Marcoat 125N from Rev.2 to Rev 3</t>
  </si>
  <si>
    <t xml:space="preserve">updated microbial release specifications </t>
  </si>
  <si>
    <t>C 18 140</t>
  </si>
  <si>
    <t>Revise AM/3924/001.00 to .01</t>
  </si>
  <si>
    <t>verified method</t>
  </si>
  <si>
    <t>Continuum</t>
  </si>
  <si>
    <t>C 18 141</t>
  </si>
  <si>
    <t>SP/3900/002.00 GMP study</t>
  </si>
  <si>
    <t>Attune/LifeSci</t>
  </si>
  <si>
    <t>JK/LAF</t>
  </si>
  <si>
    <t>C 18 142</t>
  </si>
  <si>
    <t>Revise SOP E-83 Rev 0 to Rev 1</t>
  </si>
  <si>
    <t>periodic review is overdue</t>
  </si>
  <si>
    <t>C 18 143</t>
  </si>
  <si>
    <t xml:space="preserve">Revise SOP E-90 Rev 0 to Rev 1 </t>
  </si>
  <si>
    <t>C 18 144</t>
  </si>
  <si>
    <t>Revise SOP Q-20 Rev 3 to Rev 4</t>
  </si>
  <si>
    <t>CAPA requirements and periodic review is overdue</t>
  </si>
  <si>
    <t>C 18 145</t>
  </si>
  <si>
    <t>Revise AM/3928/001.00 to .01</t>
  </si>
  <si>
    <t>C 18 146</t>
  </si>
  <si>
    <t>required for release of materials</t>
  </si>
  <si>
    <t>Create specification documents for packaging materials for  Specialty Excipients; revise RM/2864/011.00</t>
  </si>
  <si>
    <t>C 18 147</t>
  </si>
  <si>
    <t>Revise SOP R-05 Rev 4 to Rev 5</t>
  </si>
  <si>
    <t>Refer to
C 18 147</t>
  </si>
  <si>
    <t>C 18 148</t>
  </si>
  <si>
    <t>C 18 149</t>
  </si>
  <si>
    <t>Revise CA/3934/001.00 to .01</t>
  </si>
  <si>
    <t>Revise SP/3889/003.00 to .01</t>
  </si>
  <si>
    <t>Correct DOM for Lot 3889-12</t>
  </si>
  <si>
    <t>correct typo and rearrange product description per client request</t>
  </si>
  <si>
    <t>C 18 150</t>
  </si>
  <si>
    <t>Revise SOP E-76 Rev 1 to Rev 2</t>
  </si>
  <si>
    <t>3/30/2018,
3/31/19</t>
  </si>
  <si>
    <t>C 18 151</t>
  </si>
  <si>
    <t xml:space="preserve">Revise CA/3825/001, 003.00 to .01 </t>
  </si>
  <si>
    <t>Remove impurity at RRT 1.67 as per LIR A17-080</t>
  </si>
  <si>
    <t>C 18 152</t>
  </si>
  <si>
    <t>Revise PS/3763/001, 002.01 to .02</t>
  </si>
  <si>
    <t xml:space="preserve">Include EP chapters </t>
  </si>
  <si>
    <t>C 18 153</t>
  </si>
  <si>
    <t>Revise SOP A-01 Rev 3 to Rev 4</t>
  </si>
  <si>
    <t>Original study issued SP/3900/002.00 was not documented in DN logbook, and will be corrected to SP/3900/003.00</t>
  </si>
  <si>
    <t>C 18 154</t>
  </si>
  <si>
    <t>Revise AM/3815/001.00 to .01</t>
  </si>
  <si>
    <t>JK/EW</t>
  </si>
  <si>
    <t>C 18 155</t>
  </si>
  <si>
    <t>Revise SOP E-19 Rev 2 to Rev 3</t>
  </si>
  <si>
    <t>C 18 156</t>
  </si>
  <si>
    <t>Revise SOP E-27 Rev 2 to Rev 3</t>
  </si>
  <si>
    <t>C 18 157</t>
  </si>
  <si>
    <t>Revise seven equipment SOPs and make SOP E-04 obsolete.</t>
  </si>
  <si>
    <t>C 18 158</t>
  </si>
  <si>
    <t>Revise SOP P-07 Rev 1 to Rev 2</t>
  </si>
  <si>
    <t>C 18 159</t>
  </si>
  <si>
    <t>Install a cage in warehouse 129 for CTM material</t>
  </si>
  <si>
    <t>Additional storage space needed</t>
  </si>
  <si>
    <t>C 18 160</t>
  </si>
  <si>
    <t>Validate Method and as per LIR A18-038</t>
  </si>
  <si>
    <t>C 18 161</t>
  </si>
  <si>
    <t>C 18 162</t>
  </si>
  <si>
    <t xml:space="preserve">Revise AM/3803/002.00 to .01 </t>
  </si>
  <si>
    <t>Revise AM/3803/003.00 to .01</t>
  </si>
  <si>
    <t>Revise AM/3803/001, -004, -005 to .01</t>
  </si>
  <si>
    <t>Validate Method and as per LIR A18-039</t>
  </si>
  <si>
    <t>C 18 163</t>
  </si>
  <si>
    <t>Revise AM/3813/003, -004, -005 and CA/3889/004, -005</t>
  </si>
  <si>
    <t>Validate Methods and minor updates</t>
  </si>
  <si>
    <t>C 18 164</t>
  </si>
  <si>
    <t>new SOP E-93 Rev 0 for the ENSFLEX-10 Spray Dryer</t>
  </si>
  <si>
    <t>C 18 165</t>
  </si>
  <si>
    <t>Clarify testing regimen at 24M per client request, sterility testing does not need to be performed at 24M</t>
  </si>
  <si>
    <t>C 18 166</t>
  </si>
  <si>
    <t>Revised SP/3729/003.01 to .02 and SP/3769/001.00 to .01</t>
  </si>
  <si>
    <t>Add additional time points as per client request</t>
  </si>
  <si>
    <t>C 18 167</t>
  </si>
  <si>
    <t>Update AM/3788/002.03 to .04 and AM/3788/004.00 to .01</t>
  </si>
  <si>
    <t>C 18 168</t>
  </si>
  <si>
    <t>Revise AM/3935/001.00 to .01</t>
  </si>
  <si>
    <t>Atlas Medx</t>
  </si>
  <si>
    <t>C 18 169</t>
  </si>
  <si>
    <t>Revise AM/3946/001.00 to .01</t>
  </si>
  <si>
    <t>C 18 170</t>
  </si>
  <si>
    <t>Revise AM/3783/002.02 to .03 and AM/3783/003.01 to .02</t>
  </si>
  <si>
    <t>C 18 171</t>
  </si>
  <si>
    <t>Revise SP/3795/001.00 to .01</t>
  </si>
  <si>
    <t>Add additional timepoints per client request</t>
  </si>
  <si>
    <t>C 18 172</t>
  </si>
  <si>
    <t>Revise AM/3555/001.01 and 002.01 to .02</t>
  </si>
  <si>
    <t>Add Supplemental Validation for 12.5 mg Samples</t>
  </si>
  <si>
    <t>C 18 173</t>
  </si>
  <si>
    <t>C 18 174</t>
  </si>
  <si>
    <t>Revise SP/3896/004.00 to .01</t>
  </si>
  <si>
    <t>Add additional time points per client request</t>
  </si>
  <si>
    <t>C 18 175</t>
  </si>
  <si>
    <t>Assets A068 and A279</t>
  </si>
  <si>
    <t>Explanation of location change</t>
  </si>
  <si>
    <t>C 18 176</t>
  </si>
  <si>
    <t>Revise AM/922/001.00 and AP/3922/001.00</t>
  </si>
  <si>
    <t xml:space="preserve">Revalidate Method, add initial validation and diluent change. </t>
  </si>
  <si>
    <t>CerSci</t>
  </si>
  <si>
    <t>C 18 177</t>
  </si>
  <si>
    <t>Painting of various offices and warehouses</t>
  </si>
  <si>
    <t>C 18 178</t>
  </si>
  <si>
    <t>SOP Q-22 Rev 4 to Rev 5</t>
  </si>
  <si>
    <t>C 18 179</t>
  </si>
  <si>
    <t>SOP Q-31 Rev 1 to Rev 2</t>
  </si>
  <si>
    <t>C 18 180</t>
  </si>
  <si>
    <t>Asset F0062 will have Elga Purified Water System</t>
  </si>
  <si>
    <t>Can use for GMP use</t>
  </si>
  <si>
    <t>C 18 181</t>
  </si>
  <si>
    <t xml:space="preserve">New SOP for Bosch GKF 702 Capsule Filling and Closing Machine </t>
  </si>
  <si>
    <t>new equipment for GMP manufacturing</t>
  </si>
  <si>
    <t>SVT</t>
  </si>
  <si>
    <t>C 18 182</t>
  </si>
  <si>
    <t>Revise CA/3884/001.00 to .01</t>
  </si>
  <si>
    <t>C 18 183</t>
  </si>
  <si>
    <t>Revise CA/3952/001.00 to .01</t>
  </si>
  <si>
    <t>Galera</t>
  </si>
  <si>
    <t>PM/LAF</t>
  </si>
  <si>
    <t>Add reference to LDR A18-056</t>
  </si>
  <si>
    <t>C 18 184</t>
  </si>
  <si>
    <t>SOP D-02 Rev 6 to Rev 7</t>
  </si>
  <si>
    <t xml:space="preserve">To align it with the Smartsolve and periodic review </t>
  </si>
  <si>
    <t>C 18 185</t>
  </si>
  <si>
    <t>Add training requirements for M. Regalaso, D. Corson and C. Signorino (all in QA) to SmartSolve</t>
  </si>
  <si>
    <t>required for their positions</t>
  </si>
  <si>
    <t>Residual solvents &lt;LOD, report as "Not detected" and remove process impurity RRT 1.11 (not reportable)</t>
  </si>
  <si>
    <t>C 18 186</t>
  </si>
  <si>
    <t>Revise TR/3950/002.00 to .01</t>
  </si>
  <si>
    <t>C 18 187</t>
  </si>
  <si>
    <t>Revise the Master Validation Plan</t>
  </si>
  <si>
    <t>per multiple CAPA requirements</t>
  </si>
  <si>
    <t>C 18 188</t>
  </si>
  <si>
    <t>Revise PS/3878/003.00 to .01</t>
  </si>
  <si>
    <t>Add additional appearance detail</t>
  </si>
  <si>
    <t>C 18 189</t>
  </si>
  <si>
    <t>Revise SOP T-13 Rev 2 to Rev 3</t>
  </si>
  <si>
    <t>C 18 190</t>
  </si>
  <si>
    <t>Revise SOP E-51 Rev 1 to Rev 2</t>
  </si>
  <si>
    <t xml:space="preserve">Completed </t>
  </si>
  <si>
    <t>C 18 191</t>
  </si>
  <si>
    <t>ENSFLEX 10 Spray Dryer, L562</t>
  </si>
  <si>
    <t>replace magnetic pump</t>
  </si>
  <si>
    <t>Nanocopoeia</t>
  </si>
  <si>
    <t>Delayed by one day</t>
  </si>
  <si>
    <t>C 18 192</t>
  </si>
  <si>
    <t>GMP Warehouse 216</t>
  </si>
  <si>
    <t>Replace 26 sprinkler heads.</t>
  </si>
  <si>
    <t>C 18 193</t>
  </si>
  <si>
    <t>SOP F-01 Rev 3 to Rev 4, Housekeeping</t>
  </si>
  <si>
    <t>C 18 194</t>
  </si>
  <si>
    <t>SOP E-11 Rev 3 to Rev 4, SOP E-69 Rev 0 to Rev 1</t>
  </si>
  <si>
    <t>SK, NK</t>
  </si>
  <si>
    <t>C 18 195</t>
  </si>
  <si>
    <t>C 18 196</t>
  </si>
  <si>
    <t>SOP E-08 Rev 3 to Rev 4</t>
  </si>
  <si>
    <t>SOP F-06 Rev 3 to Rev 4</t>
  </si>
  <si>
    <t>C 18 197</t>
  </si>
  <si>
    <t>SOP P-02 Rev 4 to Rev 5</t>
  </si>
  <si>
    <t>C 18 198</t>
  </si>
  <si>
    <t>SOP F-03 Rev 7 to Rev 8</t>
  </si>
  <si>
    <t>C 18 199</t>
  </si>
  <si>
    <t>SOP E-46 Rev 1 to Rev 2</t>
  </si>
  <si>
    <t>C 18 200</t>
  </si>
  <si>
    <t>SOP E-20 Rev 4 to Rev 5, SOP E-21 Rev 2 to Rev 3</t>
  </si>
  <si>
    <t>CAPA requirement for both</t>
  </si>
  <si>
    <t>C 19 001</t>
  </si>
  <si>
    <t>C 18 201</t>
  </si>
  <si>
    <t>Replace magnahelic gauge in CTM degowning</t>
  </si>
  <si>
    <t>Replace the 3-phase power supply in the Mobile Minor Spray Dryer, L426</t>
  </si>
  <si>
    <t>like for like part needed to restore function</t>
  </si>
  <si>
    <t>C 19 002</t>
  </si>
  <si>
    <t>Revise CA/3795/001.01 and SR/3795/004</t>
  </si>
  <si>
    <t>Correct Initial Dissolution Values</t>
  </si>
  <si>
    <t>C 19 003</t>
  </si>
  <si>
    <t>Revise AM/3878/004.00 and -005.00 to .01</t>
  </si>
  <si>
    <t>C 19 004</t>
  </si>
  <si>
    <t>Replace worn motor on dust collector F0015 for rooms 219/220</t>
  </si>
  <si>
    <t>C 19 005</t>
  </si>
  <si>
    <t>Revise AM/3922/001.01 and -002.00</t>
  </si>
  <si>
    <t>C 19 006</t>
  </si>
  <si>
    <t>New Equipment Installation to Alab</t>
  </si>
  <si>
    <t>Flow Sciences Balance Enclosure</t>
  </si>
  <si>
    <t xml:space="preserve">C 19 007 </t>
  </si>
  <si>
    <t>Revise AM/3813/004.01 to .02</t>
  </si>
  <si>
    <t xml:space="preserve">Include documentation for minor Mobile Phase composition adjustments </t>
  </si>
  <si>
    <t>C 19 008</t>
  </si>
  <si>
    <t>Revise AM/3810/001.01 to .02</t>
  </si>
  <si>
    <t>C 19 009</t>
  </si>
  <si>
    <t>Revise SOP E-52, Operation, Cleaning, and Maintenance of the Refrigerators and Freezers (Rev 0 to Rev 1)</t>
  </si>
  <si>
    <t>CAPA 18-026 requirement</t>
  </si>
  <si>
    <t>C 19 010</t>
  </si>
  <si>
    <t xml:space="preserve">Update SP/3955/001.00 to .01 </t>
  </si>
  <si>
    <t>Correct referenced test methods</t>
  </si>
  <si>
    <t>C 19 011</t>
  </si>
  <si>
    <t>C 19 012</t>
  </si>
  <si>
    <t>Revise AM/3861/002.02 to .03</t>
  </si>
  <si>
    <t xml:space="preserve">Include additional stability and correct %LC calculation </t>
  </si>
  <si>
    <t>additional clarification for S/N criteria</t>
  </si>
  <si>
    <t>C 19 013</t>
  </si>
  <si>
    <t>Revise AM/3897/001 and -002.00 to .01</t>
  </si>
  <si>
    <t>Terra Biologicals</t>
  </si>
  <si>
    <t>Revise AM/3835/001.02 to .03 and AM/3835/002.01 to .02</t>
  </si>
  <si>
    <t>RFE Submitted</t>
  </si>
  <si>
    <t>Target Date Met?</t>
  </si>
  <si>
    <t>Closeout Timeframe</t>
  </si>
  <si>
    <t>System</t>
  </si>
  <si>
    <t>Current Status</t>
  </si>
  <si>
    <t>C 19 014</t>
  </si>
  <si>
    <t>Revise SOP E-61 Rev 2 to Rev 3</t>
  </si>
  <si>
    <t>periodic review and update oven instructions</t>
  </si>
  <si>
    <t>C 19 015</t>
  </si>
  <si>
    <t>C 19 016</t>
  </si>
  <si>
    <t>C 19 017</t>
  </si>
  <si>
    <t>Replace the feed screw motor, controller and gearhead on the TFC-Lab RC, L310.  Revise SOP E-46 accordingly</t>
  </si>
  <si>
    <t>TFC-Lab Roller Compactor unit and SOP E-46 Rev 2.</t>
  </si>
  <si>
    <t>PK Blender L008</t>
  </si>
  <si>
    <t>Remove the axle for the intensifier bar.</t>
  </si>
  <si>
    <t>Closed; Refer to C 18 004</t>
  </si>
  <si>
    <t>C 19 018</t>
  </si>
  <si>
    <t>C 19 019</t>
  </si>
  <si>
    <t>Revise SOP T-21 Rev 0 to Rev 1, Capsule Brittleness Testing</t>
  </si>
  <si>
    <t>Revise SOP A-03 Rev 3 to 4</t>
  </si>
  <si>
    <t>Address CAPA and instrumentation updates</t>
  </si>
  <si>
    <t>Refer to C 16 086</t>
  </si>
  <si>
    <t>New SOP E-96 Rev 0 for the Kirby Lester and Rx-4 Tablet/Capsule Counters</t>
  </si>
  <si>
    <t>C 19 020</t>
  </si>
  <si>
    <t>Revise AM/3864/001.01 to .02</t>
  </si>
  <si>
    <t>C 19 021</t>
  </si>
  <si>
    <t>Revise PS/3947/001 and CA/3947/001.00 to .01</t>
  </si>
  <si>
    <t>Include ID test and testing by FTIR</t>
  </si>
  <si>
    <t>C 19 022</t>
  </si>
  <si>
    <t>Revise SP/3672/001.00 and SP/3751/002.00 to .01</t>
  </si>
  <si>
    <t>Completion not documented in timely manner.</t>
  </si>
  <si>
    <t>Revise SP/3772/003.03 to .04</t>
  </si>
  <si>
    <t>C 19 023</t>
  </si>
  <si>
    <t>PK Blender L262</t>
  </si>
  <si>
    <t>C 19 024</t>
  </si>
  <si>
    <t>Revise AM/3897/003.00 to .01</t>
  </si>
  <si>
    <t>Validate method by QCL</t>
  </si>
  <si>
    <t>C 19 025</t>
  </si>
  <si>
    <t>Revise SP/3939/001, -002.00 to .01</t>
  </si>
  <si>
    <t xml:space="preserve">Add internal control monograph and updated instructions for date evaluation. </t>
  </si>
  <si>
    <t>C 19 026</t>
  </si>
  <si>
    <t>Revise AR/2864/004, -006 and AM/2864/004 to .01</t>
  </si>
  <si>
    <t>include PlasACRYL formulation per memo</t>
  </si>
  <si>
    <t>C 19 027</t>
  </si>
  <si>
    <t>Vector VFC-3 FLO-COATER</t>
  </si>
  <si>
    <t>Generate new SOP for the Vector VFC-3 FLO-COATER.</t>
  </si>
  <si>
    <t>C 19 028</t>
  </si>
  <si>
    <t>Revise SOP E-85 Rev 0 to Rev 1</t>
  </si>
  <si>
    <t>C 19 029</t>
  </si>
  <si>
    <t>C 19 030</t>
  </si>
  <si>
    <t>C 19 031</t>
  </si>
  <si>
    <t>Humidifier for Rooms 217 and 218</t>
  </si>
  <si>
    <t>Replace the heating coils in the humidifier</t>
  </si>
  <si>
    <t>Generator F0076</t>
  </si>
  <si>
    <t>Add new 2018/230V 30Aelectrical line and outlet in Room A110 from the generator.</t>
  </si>
  <si>
    <t>Add new electrical line (120V 30A) to server location from the generator.</t>
  </si>
  <si>
    <t>C 19 032</t>
  </si>
  <si>
    <t>Revise PS/3750/002.00 to .01</t>
  </si>
  <si>
    <t>correct method reference for ID from AM/3757/002 to AM/3750/002</t>
  </si>
  <si>
    <t>C 19 033</t>
  </si>
  <si>
    <t>SOP E-12 Rev 3 to Rev 4</t>
  </si>
  <si>
    <t>WL</t>
  </si>
  <si>
    <t>RFC submitted after change completed</t>
  </si>
  <si>
    <t>C 19 034</t>
  </si>
  <si>
    <t>SOP A-05 Rev 5 to Rev 6</t>
  </si>
  <si>
    <t>CAPA 17-109 requirement and periodic review</t>
  </si>
  <si>
    <t>C 19 035</t>
  </si>
  <si>
    <t>Revise SP/3788/003.00 to .01</t>
  </si>
  <si>
    <t xml:space="preserve">Include 20 month stability pull </t>
  </si>
  <si>
    <t>C 19 036</t>
  </si>
  <si>
    <t>Dust collection arm in Room 219</t>
  </si>
  <si>
    <t>Exchange it for a model that matches other arms in the facility.</t>
  </si>
  <si>
    <t>C 19 037</t>
  </si>
  <si>
    <t xml:space="preserve">Extend Shelf Life </t>
  </si>
  <si>
    <t>Revise CA/3809/001, -002; CA/3840/001, -003, -004; CA/3788/001, -003, -004, -005; CA/3842/003, -005</t>
  </si>
  <si>
    <t>C 19 038</t>
  </si>
  <si>
    <t>Revise SOP A-13 Rev 6 to Rev 7</t>
  </si>
  <si>
    <t>Address CAPA and periodic updates</t>
  </si>
  <si>
    <t>C 19 039</t>
  </si>
  <si>
    <t>Revise SOP Q-32 Rev 3 to Rev 4</t>
  </si>
  <si>
    <t>Address CAPA 19-013 and periodic updates</t>
  </si>
  <si>
    <t>Patheon</t>
  </si>
  <si>
    <t>C 19 040</t>
  </si>
  <si>
    <t>Revise SOP E-10 Rev 3 to Rev 4</t>
  </si>
  <si>
    <t>Periodic review is due</t>
  </si>
  <si>
    <t>C 19 041</t>
  </si>
  <si>
    <t>Revise SOP E-05 Rev 5 to Rev 6</t>
  </si>
  <si>
    <t>To address recent equipment modifications.</t>
  </si>
  <si>
    <t>C 19 042</t>
  </si>
  <si>
    <t>Stability Chambers</t>
  </si>
  <si>
    <t>Relace the cables connecting the data loggers to viewLinc</t>
  </si>
  <si>
    <t>C 19 043</t>
  </si>
  <si>
    <t>ENSFLEX-10 Spray Dryer, L562</t>
  </si>
  <si>
    <t>Replace parts for use with new API</t>
  </si>
  <si>
    <t>C 19 044</t>
  </si>
  <si>
    <t>New job title</t>
  </si>
  <si>
    <t>To better reflect essential duties of those who focus on Analytical Review support.</t>
  </si>
  <si>
    <t>C 19 045</t>
  </si>
  <si>
    <t>C 19 046</t>
  </si>
  <si>
    <t>Revise SOP I-01 Rev 1 to Rev 2</t>
  </si>
  <si>
    <t xml:space="preserve">Periodic review </t>
  </si>
  <si>
    <t>C 19 047</t>
  </si>
  <si>
    <t>C 19 048</t>
  </si>
  <si>
    <t>Revise AM/3832/002.01 and AM/3832/003.01 to .02</t>
  </si>
  <si>
    <t xml:space="preserve">Additional standard stability </t>
  </si>
  <si>
    <t>Revise AM/3922/001.01 to .02 and AM/3922/002.00 to .01</t>
  </si>
  <si>
    <t>Revalidation data and additional stability</t>
  </si>
  <si>
    <t>C 19 049</t>
  </si>
  <si>
    <t>viewLinc notifications</t>
  </si>
  <si>
    <t>Reduce alarm notification delays and tighten ranges</t>
  </si>
  <si>
    <t>LF, MH</t>
  </si>
  <si>
    <t>C 19 050</t>
  </si>
  <si>
    <t>Revise SOP E-13 Rev 3 to Rev 4</t>
  </si>
  <si>
    <t>C 19 051</t>
  </si>
  <si>
    <t>Remove 9M and 18M pull times per client request</t>
  </si>
  <si>
    <t>LAF, EAH</t>
  </si>
  <si>
    <t>C 19 052</t>
  </si>
  <si>
    <t>Revise SP/3916/001.00 to .01</t>
  </si>
  <si>
    <t>Revise AM/3871/001.01 to .02</t>
  </si>
  <si>
    <t>Add sample solution stability</t>
  </si>
  <si>
    <t>C 19 053</t>
  </si>
  <si>
    <t>Revise SOP A-10 Rev 7 to Rev 8</t>
  </si>
  <si>
    <t>C 19 054</t>
  </si>
  <si>
    <t>Revise AM/3878/001, 002, 004.01 to .02</t>
  </si>
  <si>
    <t>Correct typos and minor additions</t>
  </si>
  <si>
    <t>Released for training  on March 25th</t>
  </si>
  <si>
    <t>C 19 055</t>
  </si>
  <si>
    <t>Revised AM/3678/003.01 to .02</t>
  </si>
  <si>
    <t>Add verification on reporting the salt form or free base of the drug substance</t>
  </si>
  <si>
    <t>C 19 056</t>
  </si>
  <si>
    <t>replace the pump</t>
  </si>
  <si>
    <t>Compressor F0020, #2</t>
  </si>
  <si>
    <t>C 19 057</t>
  </si>
  <si>
    <t>C 19 058</t>
  </si>
  <si>
    <t>Revise SP/3888/002.01 to .02</t>
  </si>
  <si>
    <t>Correct Date of Manufacturing</t>
  </si>
  <si>
    <t>C 19 059</t>
  </si>
  <si>
    <t>Revise AM/3835/001,002 to .04 and .03</t>
  </si>
  <si>
    <t>Method Updates</t>
  </si>
  <si>
    <t>Revise CoA's for PlasACRYL T20 and HTP20</t>
  </si>
  <si>
    <t>Remove heavy metals and update with elemental impurities statement</t>
  </si>
  <si>
    <t>C 19 060</t>
  </si>
  <si>
    <t>C 19 061</t>
  </si>
  <si>
    <t>C 19 062</t>
  </si>
  <si>
    <t>Revise AM/3678/003.02 to .03</t>
  </si>
  <si>
    <t xml:space="preserve">Add Additional standard stability </t>
  </si>
  <si>
    <t>C 19 063</t>
  </si>
  <si>
    <t>Revise RM/3788/006.01 to .02</t>
  </si>
  <si>
    <t>Change supplier from Fisher to JT Baker/Avantor</t>
  </si>
  <si>
    <t>C 19 064</t>
  </si>
  <si>
    <t>Revise PS/3799/001.00 to .01</t>
  </si>
  <si>
    <t>Change sample name</t>
  </si>
  <si>
    <t>C 19 065</t>
  </si>
  <si>
    <t xml:space="preserve">Quality Manual </t>
  </si>
  <si>
    <t>Update the Quality Manual from Rev 5 to Rev 6</t>
  </si>
  <si>
    <t>C 19 066</t>
  </si>
  <si>
    <t>Revise PS/3896/001, -002, -003.01 to .02</t>
  </si>
  <si>
    <t>Change Dissolution Criteria</t>
  </si>
  <si>
    <t>C 19 067</t>
  </si>
  <si>
    <t>C 19 068</t>
  </si>
  <si>
    <t>Revise PS/3803/001.00 and -002.00 to .01</t>
  </si>
  <si>
    <t>Update Related Substance and their criterias</t>
  </si>
  <si>
    <t>C 19 069</t>
  </si>
  <si>
    <t>Revise AM/3788/003.02 to .03</t>
  </si>
  <si>
    <t>Add SDD prep per client request</t>
  </si>
  <si>
    <t>C 19 070</t>
  </si>
  <si>
    <t>Revise AM/3678/001.03 to .04</t>
  </si>
  <si>
    <t xml:space="preserve">Add column guard to method </t>
  </si>
  <si>
    <t>C 19 071</t>
  </si>
  <si>
    <t>Revise Proteostasis specs to include EP testing</t>
  </si>
  <si>
    <t>C 19 072</t>
  </si>
  <si>
    <t>Add clarification and editorial changes</t>
  </si>
  <si>
    <t>C 19 073</t>
  </si>
  <si>
    <t>C 19 074</t>
  </si>
  <si>
    <t xml:space="preserve">Periodic review and clarification of sampling requirements. </t>
  </si>
  <si>
    <t>C 19 075</t>
  </si>
  <si>
    <t>Client request to change storage requirement to refrigerated 2-8C.</t>
  </si>
  <si>
    <t>Finished product for Project 3922</t>
  </si>
  <si>
    <t>C 19 076</t>
  </si>
  <si>
    <t>Revise CA/3956/001.00 to .01</t>
  </si>
  <si>
    <t>Correct referenced spec and impurity result</t>
  </si>
  <si>
    <t>C 19 077</t>
  </si>
  <si>
    <t>Revise AM/2861/003.00 to .01</t>
  </si>
  <si>
    <t>C 19 078</t>
  </si>
  <si>
    <t>Revise SP/3785/001.00 to .01</t>
  </si>
  <si>
    <t>Add 48 month stability time point</t>
  </si>
  <si>
    <t>Canfite</t>
  </si>
  <si>
    <t>C 19 079</t>
  </si>
  <si>
    <t>new SOP A-34 on Lab Hoods and HEPA-Filtered Enclosures</t>
  </si>
  <si>
    <t>required for equipment</t>
  </si>
  <si>
    <t>submitted for approvals prior to target date</t>
  </si>
  <si>
    <t>C 19 080</t>
  </si>
  <si>
    <t>Recaulk 13 2nd floor windows on the exterior</t>
  </si>
  <si>
    <t>C 19 081</t>
  </si>
  <si>
    <t>C 19 082</t>
  </si>
  <si>
    <t>Address CAPAs 16-055, 17-067</t>
  </si>
  <si>
    <t>C 19 083</t>
  </si>
  <si>
    <t>Revise SP/3861/002.01 to .02 and CA/3861/001.00 to .01</t>
  </si>
  <si>
    <t>Remove USP &lt;62&gt;</t>
  </si>
  <si>
    <t>C 19 084</t>
  </si>
  <si>
    <t>Revised AM/3980/001.00, AM/3980/002.00 and AM/3980/003.00 to .01</t>
  </si>
  <si>
    <t>Methods Validated</t>
  </si>
  <si>
    <t>C 19 085</t>
  </si>
  <si>
    <t>C 19 086</t>
  </si>
  <si>
    <t>HVAC supply diffusers in room 130</t>
  </si>
  <si>
    <t xml:space="preserve">Adjust the location of HVAC supply diffusers in order to create a more even temperature throughout warehouse. </t>
  </si>
  <si>
    <t>HVAC unit which supplies the SA conference room and adjoining offices</t>
  </si>
  <si>
    <t xml:space="preserve">Replace the HVAC unit. </t>
  </si>
  <si>
    <t>C 19 087</t>
  </si>
  <si>
    <t>Revise SOP E-26 Rev 3 to Rev 4</t>
  </si>
  <si>
    <t>Revise SOP E-45 Rev 3 to Rev 4</t>
  </si>
  <si>
    <t>Revise SOP D-06 Rev 3 to Rev 4</t>
  </si>
  <si>
    <t>Revise SOP E-52 Rev 1 to Rev 2</t>
  </si>
  <si>
    <t>Revise SOP T-51 Rev 1 to Rev 2</t>
  </si>
  <si>
    <t>Revise SOP Q-09 Rev 2 to Rev 3</t>
  </si>
  <si>
    <t>Revise SOP E-76 Rev 2 to Rev 3</t>
  </si>
  <si>
    <t>Revise SOP T-08 Rev 4 to Rev 5</t>
  </si>
  <si>
    <t>C 19 088</t>
  </si>
  <si>
    <t>Revise PS/3799/001.01 to .02</t>
  </si>
  <si>
    <t>per client request</t>
  </si>
  <si>
    <t>C 19 089</t>
  </si>
  <si>
    <t>upgrade wheels on SADE weight sorters L514 and L551.</t>
  </si>
  <si>
    <t>Ease of transport</t>
  </si>
  <si>
    <t>Update SE Protocols</t>
  </si>
  <si>
    <t>Reduced frequency test plan</t>
  </si>
  <si>
    <t>C19 090</t>
  </si>
  <si>
    <t>C19 091</t>
  </si>
  <si>
    <t>Replace refrigerator A237 with new unit, A376</t>
  </si>
  <si>
    <t>Unit not stable</t>
  </si>
  <si>
    <t>C 19 092</t>
  </si>
  <si>
    <t>Revise AM/3813/003.01 and -005.01</t>
  </si>
  <si>
    <t>Include additional validation results</t>
  </si>
  <si>
    <t>C 19 093</t>
  </si>
  <si>
    <t>Revise SOP Q-20 Rev 4 to Rev 5</t>
  </si>
  <si>
    <t>C 19 094</t>
  </si>
  <si>
    <t>Revise SOP F-08 Rev 2 to Rev 3</t>
  </si>
  <si>
    <t>waiting for client signature on Stability Protocol</t>
  </si>
  <si>
    <t>Revise AM/3729/004.02 to .03 and SP/3769/001.01 to .02</t>
  </si>
  <si>
    <t>Include SDD in method and reporting clarifications, add time points to stability protocol</t>
  </si>
  <si>
    <t>C 19 095</t>
  </si>
  <si>
    <t>Revise SOP E-87 Rev 0 to Rev 1</t>
  </si>
  <si>
    <t>C 19 096</t>
  </si>
  <si>
    <t>Revise SOP E-91 Rev 0 to Rev 1</t>
  </si>
  <si>
    <t>C 19 097</t>
  </si>
  <si>
    <t>Update to reflect USP specifications</t>
  </si>
  <si>
    <t>Revise customer specific Marcoat 125N CoA Template to include Elemental Impurities</t>
  </si>
  <si>
    <t>Refer to C 18 042</t>
  </si>
  <si>
    <t>N/a</t>
  </si>
  <si>
    <t>Refer to C 18 139           and C 19 047</t>
  </si>
  <si>
    <t>C 19 098</t>
  </si>
  <si>
    <t xml:space="preserve">Client request </t>
  </si>
  <si>
    <t>Revise SP/3801/002.02 to .03 and SP/3868/001.01 to .02</t>
  </si>
  <si>
    <t>0-1m</t>
  </si>
  <si>
    <t>C 19 099</t>
  </si>
  <si>
    <t>Revise TR/3979/001 - 003.00 to .01</t>
  </si>
  <si>
    <t>Add Retest Date</t>
  </si>
  <si>
    <t>C 19 100</t>
  </si>
  <si>
    <t>Revise SOP D-14 Rev 5 to Rev 6, Batch Record Requirements</t>
  </si>
  <si>
    <t xml:space="preserve">This RFC is cancelled,  because RFC C19 048 was initiated to capture this change. </t>
  </si>
  <si>
    <t>C 19 101</t>
  </si>
  <si>
    <t>Revise SOP E-86 Rev 1 to Rev 2, Capsule Polisher</t>
  </si>
  <si>
    <t>C 19 102</t>
  </si>
  <si>
    <t>Revise SOP I-02 Rev 1 to Rev 2, Backup and Recovery of Server-Based Data</t>
  </si>
  <si>
    <t>C 19 103</t>
  </si>
  <si>
    <t>Add ViewLinc to Oven, Asset # L197</t>
  </si>
  <si>
    <t>Monitor IVR program</t>
  </si>
  <si>
    <t>C 19 104</t>
  </si>
  <si>
    <t>Revise SP/4013/001.00 to .01</t>
  </si>
  <si>
    <t>Remove t=0 testing for CU (not needed, tested at release)</t>
  </si>
  <si>
    <t>C 19 105</t>
  </si>
  <si>
    <t>Make several changes to the system to improve its function.</t>
  </si>
  <si>
    <t>C 19 106</t>
  </si>
  <si>
    <t>AM/3803/002.01 to .02</t>
  </si>
  <si>
    <t>Include Supplemental Validation Results</t>
  </si>
  <si>
    <t>Revise AM/3948/001.00 to .01</t>
  </si>
  <si>
    <t>Cleaning Method verified</t>
  </si>
  <si>
    <t>FIRST EXTENSION</t>
  </si>
  <si>
    <t>FINAL EXTENSION</t>
  </si>
  <si>
    <t>see C 19 049</t>
  </si>
  <si>
    <t>C 19 107</t>
  </si>
  <si>
    <t>SOP D-18 Rev 3 to Rev 4, Good Documentation Practices</t>
  </si>
  <si>
    <t>Refer to
C 18 042</t>
  </si>
  <si>
    <t>C 19 108</t>
  </si>
  <si>
    <t>Revise PS/3803/001.01 and -002.01 to .02</t>
  </si>
  <si>
    <t>Change impurity/criteria</t>
  </si>
  <si>
    <t>C 19 109</t>
  </si>
  <si>
    <t>Revise SOP E-80 Rev 1 to Rev 2</t>
  </si>
  <si>
    <t>C 19 110</t>
  </si>
  <si>
    <t>Revise TR/3979/004.00 to .01</t>
  </si>
  <si>
    <t>Update for Res. Solvents for consistency</t>
  </si>
  <si>
    <t>see C 17 124</t>
  </si>
  <si>
    <t>Addressed in C 17 124 instead</t>
  </si>
  <si>
    <t>not completed</t>
  </si>
  <si>
    <t>R&amp;D only</t>
  </si>
  <si>
    <t>Done in 2019 instead</t>
  </si>
  <si>
    <t>C 19 111</t>
  </si>
  <si>
    <t>Process rooms</t>
  </si>
  <si>
    <t>Install dust collection hose adapters for 4" hook-ups</t>
  </si>
  <si>
    <t>project was terminated</t>
  </si>
  <si>
    <t>C 19 112</t>
  </si>
  <si>
    <t>C19 113</t>
  </si>
  <si>
    <t>Revise AM/3940/002, -003.01 to .02</t>
  </si>
  <si>
    <t>C19 114</t>
  </si>
  <si>
    <t>AC unit for A110 hallway, A111 and A112</t>
  </si>
  <si>
    <t>Replace the unit</t>
  </si>
  <si>
    <t>AC unit for A116B (upper Alab) and QA area</t>
  </si>
  <si>
    <t>C19 115</t>
  </si>
  <si>
    <t>Revise SOP S-01 Rev 3 to Rev 4, Safety Procedures for Facility Maintenance</t>
  </si>
  <si>
    <t>C19 116</t>
  </si>
  <si>
    <t>Revise AM/3715/002.03 to .04</t>
  </si>
  <si>
    <t>Informational purposes regarding placebo peak</t>
  </si>
  <si>
    <t>Revise AM/3835/001.04 to .05 and AM/3835/002.03 to .04</t>
  </si>
  <si>
    <t>C19 117</t>
  </si>
  <si>
    <t>Revise logbook template for L568</t>
  </si>
  <si>
    <t>Balance min wt and readability change.</t>
  </si>
  <si>
    <t>C19 118</t>
  </si>
  <si>
    <t>Stability Chamber A126</t>
  </si>
  <si>
    <t>Replace the water pump</t>
  </si>
  <si>
    <t>C19 119</t>
  </si>
  <si>
    <t>Revise customer specific Marcoat 125N CoA Template from Rev.4 to Rev.5</t>
  </si>
  <si>
    <t>Update to list Class 1 Elemental Impurities on the CoA</t>
  </si>
  <si>
    <t xml:space="preserve">Closed </t>
  </si>
  <si>
    <t>C19 120</t>
  </si>
  <si>
    <t>Revise SP/3788/001.00 and SP/3788/002.00 to .01 and SP/3788/003.01 to .02</t>
  </si>
  <si>
    <t>Extend stability studies per client requeset</t>
  </si>
  <si>
    <t>LAF/SAF</t>
  </si>
  <si>
    <t>C19 121</t>
  </si>
  <si>
    <t>C19 122</t>
  </si>
  <si>
    <t>Old detector is out for repair</t>
  </si>
  <si>
    <t>Install new ELSD 2424 on Waters 4 (A120)</t>
  </si>
  <si>
    <t>Install old ELSD 2420 on Waters 3 (A118)</t>
  </si>
  <si>
    <t>New detector will be installed on Waters 4 while old detector is being repaired. Will set up on different instrument after repair</t>
  </si>
  <si>
    <t>Data logger is nine years old</t>
  </si>
  <si>
    <t>paperwork late</t>
  </si>
  <si>
    <t>C 19 124</t>
  </si>
  <si>
    <t>Correct Signal to Noise specification from &gt;10 to ≥10 to be in line with USP</t>
  </si>
  <si>
    <t>C 19 125</t>
  </si>
  <si>
    <t>Client Request to change dissolution specification</t>
  </si>
  <si>
    <t>Revise PS/3896/001.02, PS/3896/002.02, PS/3896/003.02, PS/3896/005.00, PS/3896/006.00</t>
  </si>
  <si>
    <t>C 19 126</t>
  </si>
  <si>
    <t>Revise Facility drawing FQ-17-010.0 to show updated HVAC diffuser locations.</t>
  </si>
  <si>
    <t>Diffuser locations on current version are no longer accurate.</t>
  </si>
  <si>
    <t>C 19 127</t>
  </si>
  <si>
    <t>Revised TR/3772/005.00 to .01</t>
  </si>
  <si>
    <t>Update adjusted amount using correct standard purity</t>
  </si>
  <si>
    <t>none</t>
  </si>
  <si>
    <t>C 19 128</t>
  </si>
  <si>
    <t>Manage analytical processes</t>
  </si>
  <si>
    <t>Implement new LIMS, LabVantage v4</t>
  </si>
  <si>
    <t>C 19 129</t>
  </si>
  <si>
    <t>Revise AM/3547/001.02 to .03</t>
  </si>
  <si>
    <t>align reporting of related substances with validation</t>
  </si>
  <si>
    <t>C 19 130</t>
  </si>
  <si>
    <t>Revise SOP E-87 Rev 1 to Rev 2</t>
  </si>
  <si>
    <t>Add similar model to this procedure</t>
  </si>
  <si>
    <t>Retire data logger (S/N 10082203)  associated with Chamber A077 and install a new one</t>
  </si>
  <si>
    <t>C 19 131</t>
  </si>
  <si>
    <t>Revise SOP D-02 Rev 7 to Rev 8</t>
  </si>
  <si>
    <t>CAPA 19-024</t>
  </si>
  <si>
    <t>C 19 132</t>
  </si>
  <si>
    <t>Screw compressor F0055</t>
  </si>
  <si>
    <t>decommissioned</t>
  </si>
  <si>
    <t>C 19 133</t>
  </si>
  <si>
    <t>SOP S-11, Rev 2 to Rev 3</t>
  </si>
  <si>
    <t xml:space="preserve">Align with SOP Q-14, address Classified Materials and clarify PAPR procedures </t>
  </si>
  <si>
    <t>C 19 134</t>
  </si>
  <si>
    <t>SOP R-07 Rev 7 to Rev 8</t>
  </si>
  <si>
    <t>To address procedures on the handling of raw materials for GMP use as they relate to multiple containers of the same material.</t>
  </si>
  <si>
    <t>C 19 135</t>
  </si>
  <si>
    <t>Room 118 HEPA filters</t>
  </si>
  <si>
    <t>Replaced</t>
  </si>
  <si>
    <t>C 19 136</t>
  </si>
  <si>
    <t>SOP E-96 Rev0 to Rev 1</t>
  </si>
  <si>
    <t>Clarify setup of Rx-4 model</t>
  </si>
  <si>
    <t>C 19 137</t>
  </si>
  <si>
    <t>Revise AM/3803/002.02 to .03</t>
  </si>
  <si>
    <t xml:space="preserve">Update sample preparation </t>
  </si>
  <si>
    <t>C 19 138</t>
  </si>
  <si>
    <t>Revise PS/3864/001, -002; PS/4012/001, -002</t>
  </si>
  <si>
    <t>Clarify Disintegration media</t>
  </si>
  <si>
    <t>C 19 139</t>
  </si>
  <si>
    <t>Revise AM/3803/001, -003, -004.01 to .02</t>
  </si>
  <si>
    <t>Add Supplemental Validation results</t>
  </si>
  <si>
    <t>C 19 140</t>
  </si>
  <si>
    <t>Change dispense media by volume instead of by weight</t>
  </si>
  <si>
    <t>C 19 141</t>
  </si>
  <si>
    <t>Revise AR/3971/001.00 to .01</t>
  </si>
  <si>
    <t>BioCeutic</t>
  </si>
  <si>
    <t>C 19 142</t>
  </si>
  <si>
    <t>Revise PS/4002/001.00, PS/4002/002.00, PS/4002/003.00 and PS/4002/004.00 to .01</t>
  </si>
  <si>
    <t>To add packaged versus bulk testing</t>
  </si>
  <si>
    <t>Angion</t>
  </si>
  <si>
    <t>C 19 143</t>
  </si>
  <si>
    <t>Revise SP/3744/001.00 to .01</t>
  </si>
  <si>
    <t>Add 30M time point per client request</t>
  </si>
  <si>
    <t>C 19 144</t>
  </si>
  <si>
    <t>Revise SOP Q-14 Rev 4 to Rev 5</t>
  </si>
  <si>
    <t>C 19 145</t>
  </si>
  <si>
    <t>New SOP Q-35</t>
  </si>
  <si>
    <t>For GLP work</t>
  </si>
  <si>
    <t>Action not performed per client request</t>
  </si>
  <si>
    <t>C 19 146</t>
  </si>
  <si>
    <t>Revise SOP A-15 Rev 7 to Rev 8</t>
  </si>
  <si>
    <t>CAPA Requirement</t>
  </si>
  <si>
    <t>EE completed 9/23/2019</t>
  </si>
  <si>
    <t>C 19 147</t>
  </si>
  <si>
    <t>Revise CA/3940/001.00 to .01</t>
  </si>
  <si>
    <t>Include retest date</t>
  </si>
  <si>
    <t>SKK/DS</t>
  </si>
  <si>
    <t>C 19 148</t>
  </si>
  <si>
    <t>C 19 149</t>
  </si>
  <si>
    <t>Repair</t>
  </si>
  <si>
    <t>Coating pan L084</t>
  </si>
  <si>
    <t>Reinstate SOP E-67 as Rev 3</t>
  </si>
  <si>
    <t>newly acquired model to replace decommissioned one</t>
  </si>
  <si>
    <t>C 19 150</t>
  </si>
  <si>
    <t>Revise SOP Q-12 Rev 9 to Rev 10</t>
  </si>
  <si>
    <t>add shipping request form</t>
  </si>
  <si>
    <t>Completed on 04/09/2019, closed out on 10/08/2019</t>
  </si>
  <si>
    <t>C 19 151</t>
  </si>
  <si>
    <t>Revise SOP R-02 Rev 0 to Rev 1</t>
  </si>
  <si>
    <t>C 19 152</t>
  </si>
  <si>
    <t>Revise SOP Q-22 Rev 5 to Rev 6</t>
  </si>
  <si>
    <t>C 19 153</t>
  </si>
  <si>
    <t>Logbook L427-05</t>
  </si>
  <si>
    <t>Update page format and increase # of pages</t>
  </si>
  <si>
    <t>C 19 154</t>
  </si>
  <si>
    <t>XOC</t>
  </si>
  <si>
    <t>AMM</t>
  </si>
  <si>
    <t>Update MF/3995/003.00 to .01</t>
  </si>
  <si>
    <t>Add Retention Time Calculation for clarity</t>
  </si>
  <si>
    <t>Completed on 02/20/2019, closed on 10/23/2019</t>
  </si>
  <si>
    <t>C 19 155</t>
  </si>
  <si>
    <t>Original ELSD 2424 installed on Waters 4 from C 19 121 was faulty</t>
  </si>
  <si>
    <t>6/29/2018,
10/31/2019</t>
  </si>
  <si>
    <t>C 19 156</t>
  </si>
  <si>
    <t>Update AM/3803/005.01 to .02</t>
  </si>
  <si>
    <t>Revise AM/3763/004.04 to .05</t>
  </si>
  <si>
    <t>C 19 157</t>
  </si>
  <si>
    <t xml:space="preserve">Install UPS to protect network switch </t>
  </si>
  <si>
    <t>Install a Uninterruptable Power Supply to protect the network switch which supports the Scientific Affairs office area and Rm 214</t>
  </si>
  <si>
    <t>C 19 158</t>
  </si>
  <si>
    <t>New SOP E-97 on the ENSFLEX 20 Spray Dryer with Humidifier</t>
  </si>
  <si>
    <t>C 19 159</t>
  </si>
  <si>
    <t>Added 2 new lines from generator supplied box in Room 221 to support freezer installed in Room 214.</t>
  </si>
  <si>
    <t>C 19 160</t>
  </si>
  <si>
    <t>AM/4003/001.01 to .02</t>
  </si>
  <si>
    <t>C 19 161</t>
  </si>
  <si>
    <t>New stability chamber</t>
  </si>
  <si>
    <t>more space needed</t>
  </si>
  <si>
    <t>C 19 162</t>
  </si>
  <si>
    <t>Warehouse 214 (Cage)</t>
  </si>
  <si>
    <t>Move freezer A235 and refrigerator A377 into warehouse 214.</t>
  </si>
  <si>
    <t>C 19 163</t>
  </si>
  <si>
    <t xml:space="preserve">SOP Q-40 Rev 0 </t>
  </si>
  <si>
    <t>New SOP for the equipment hold app</t>
  </si>
  <si>
    <t>C 19 164</t>
  </si>
  <si>
    <t xml:space="preserve">SC </t>
  </si>
  <si>
    <t>SOP A-09 Rev 3 to Rev 4</t>
  </si>
  <si>
    <t>C 19 165</t>
  </si>
  <si>
    <t>SOP E-89 Rev 0 to Rev 1</t>
  </si>
  <si>
    <t>To address setup of collection bags</t>
  </si>
  <si>
    <t>C 19 166</t>
  </si>
  <si>
    <t>SmartSolve training module</t>
  </si>
  <si>
    <t>Update Role assigned to Position of Sr. Vice President, CSO</t>
  </si>
  <si>
    <t>C 19 167</t>
  </si>
  <si>
    <t>SOP Q-23 Rev 4 to Rev 5</t>
  </si>
  <si>
    <t>C 19 168</t>
  </si>
  <si>
    <t>SOP Q-30 Rev 3 to Rev 4</t>
  </si>
  <si>
    <t>C 19 169</t>
  </si>
  <si>
    <t>SOP Q-02 Rev 4 to Rev 5</t>
  </si>
  <si>
    <t>C 19 170</t>
  </si>
  <si>
    <t>Revise PS/3865/001.00 to .01 and PS/3947/001.01 to .02</t>
  </si>
  <si>
    <t>CAPA 19-051</t>
  </si>
  <si>
    <t>C 19 171</t>
  </si>
  <si>
    <t>SOP D-04 Rev 5 to Rev 6</t>
  </si>
  <si>
    <t>C 19 172</t>
  </si>
  <si>
    <t>Room 219 electrical outlets</t>
  </si>
  <si>
    <t>Installing 2 new outlets, because vacuum ovens require multiple outlets on different circuits</t>
  </si>
  <si>
    <t>C 19 173</t>
  </si>
  <si>
    <t>Revise AM/4002/001, -002.00 to .01</t>
  </si>
  <si>
    <t>Include Validation Results</t>
  </si>
  <si>
    <t>Completed on 09/12/2019</t>
  </si>
  <si>
    <t>C 19 174</t>
  </si>
  <si>
    <t>SOP Q-11 Rev 1 to Rev 2</t>
  </si>
  <si>
    <t>CAPA 17-098</t>
  </si>
  <si>
    <t>C 19 176</t>
  </si>
  <si>
    <t>C 19 175</t>
  </si>
  <si>
    <t xml:space="preserve">Revise PS/3763/002.02, AM/3763/005.02 and PS/3916/002.00 </t>
  </si>
  <si>
    <t>Include additional color information</t>
  </si>
  <si>
    <t>Revise Special Excipient Batch Records for PlasACRYL</t>
  </si>
  <si>
    <t>Need to make minor format changes to all BRs, including change to Arial font.</t>
  </si>
  <si>
    <t>C 19 177</t>
  </si>
  <si>
    <t>Revise AM/3783/001.01 to .02</t>
  </si>
  <si>
    <t>Correct System drift calculation</t>
  </si>
  <si>
    <t>C 19 178</t>
  </si>
  <si>
    <t>SOP Q-18 Rev 0 to Rev 1</t>
  </si>
  <si>
    <t>address Equipment Hold App</t>
  </si>
  <si>
    <t>C 19 179</t>
  </si>
  <si>
    <t>Revise AM/3801/002.04 to .05</t>
  </si>
  <si>
    <t>Correct related substance calculation</t>
  </si>
  <si>
    <t>C 19 180</t>
  </si>
  <si>
    <t>Revise AM/3928/002.04 to .05 and AM/3928/003.03 to .04</t>
  </si>
  <si>
    <t>C 19 181</t>
  </si>
  <si>
    <t>C 19 182</t>
  </si>
  <si>
    <t>Electrical circuits for Rooms 100A, 100C, 100D and 101A.</t>
  </si>
  <si>
    <t>Add 2 new circuits so that each room has its own.</t>
  </si>
  <si>
    <t>C 19 123</t>
  </si>
  <si>
    <t>C 19 183</t>
  </si>
  <si>
    <t>SOP Q-36 Rev 0 to Rev 1 and SOP D-10 Rev 3 to Rev 4</t>
  </si>
  <si>
    <t>Periodic review for SOP Q-36; align SOP D-10 with SOP Q-36</t>
  </si>
  <si>
    <t>Revise TR/3801/006.00 to .01</t>
  </si>
  <si>
    <t>None</t>
  </si>
  <si>
    <t>C 19 184</t>
  </si>
  <si>
    <t>SOP F-12 Rev 2 to Rev 3</t>
  </si>
  <si>
    <t>CAPA requirement and periodic review</t>
  </si>
  <si>
    <t>C 19 185</t>
  </si>
  <si>
    <t>SR/3547/005 version 3 to version 4</t>
  </si>
  <si>
    <t>Correct result for Cmpd A at  T=0</t>
  </si>
  <si>
    <t>C 19 186</t>
  </si>
  <si>
    <t>SOP A-25 Rev 4 to Rev 5</t>
  </si>
  <si>
    <t>Revise CA/3840/005.00, CA/3960/002.00, CA/3960/001.00, CA/3842/006.00 and CA/3842/004.00 to .01</t>
  </si>
  <si>
    <t>Extend Shelf Life and add storage condition</t>
  </si>
  <si>
    <t>completed 03/19/2019</t>
  </si>
  <si>
    <t>C 19 187</t>
  </si>
  <si>
    <t>MarCoat production kettle (P001)</t>
  </si>
  <si>
    <t>C 19 188</t>
  </si>
  <si>
    <t xml:space="preserve">Hold Application </t>
  </si>
  <si>
    <t>C 19 189</t>
  </si>
  <si>
    <t>TOC swab location spreadsheet</t>
  </si>
  <si>
    <t>Developed and validated. App and database reside on server 'appsrv3'.</t>
  </si>
  <si>
    <t>Add another product contact swab location for 1 and 3 cubic foot blenders so lids and shell are swabbed separately.</t>
  </si>
  <si>
    <t>Repair metal fatigue on kettle</t>
  </si>
  <si>
    <t>C 19 190</t>
  </si>
  <si>
    <t>Revise AM/3763/003.04 to .05</t>
  </si>
  <si>
    <t>Include additional precautions to prevent microbial growth in the placebo samples</t>
  </si>
  <si>
    <t>SOP A-02 Rev 4 to Rev 5</t>
  </si>
  <si>
    <t>Revise SP/3940/001.00 and PS/3940/001.00 to .01</t>
  </si>
  <si>
    <t>Remove microbial testing</t>
  </si>
  <si>
    <t>Stability chamber A304</t>
  </si>
  <si>
    <t>Bypass the variable frequency drive speed control of the compressor cooling fan so that it remains on at all times.</t>
  </si>
  <si>
    <t>C 19 194</t>
  </si>
  <si>
    <t>C 19 191</t>
  </si>
  <si>
    <t>C 19 192</t>
  </si>
  <si>
    <t>C 19 193</t>
  </si>
  <si>
    <t>Migration of file shares from server emerson2 to virtual machine on new host, vmhost3</t>
  </si>
  <si>
    <t>File shares on old server emerson2</t>
  </si>
  <si>
    <t>C 19 195</t>
  </si>
  <si>
    <t>SOP F-21, Rev 0 on disaster recovery</t>
  </si>
  <si>
    <t>new procedure per CAPA</t>
  </si>
  <si>
    <t>C 20 001</t>
  </si>
  <si>
    <t>SOP E-96 Rev 1 to Rev 2</t>
  </si>
  <si>
    <t>Revise to add new Kirby Lester model</t>
  </si>
  <si>
    <t>C 20 002</t>
  </si>
  <si>
    <t>AM/3729/003.03 to .04</t>
  </si>
  <si>
    <t>Revise to add a note to ensure sample is grind and clarify sonication time of sample prep.</t>
  </si>
  <si>
    <t>C 20 003</t>
  </si>
  <si>
    <t>Datacolor, L134</t>
  </si>
  <si>
    <t>Replace the power supply to the computer</t>
  </si>
  <si>
    <t>C 20 004</t>
  </si>
  <si>
    <t>CA/4020/001.00 to .01</t>
  </si>
  <si>
    <t xml:space="preserve">Correct lot number </t>
  </si>
  <si>
    <t>C 20 005</t>
  </si>
  <si>
    <t>PS/3940/001.01 to .01</t>
  </si>
  <si>
    <t xml:space="preserve">Add known impurity </t>
  </si>
  <si>
    <t>C 20 006</t>
  </si>
  <si>
    <t>SOP F-21 Rev 0 to Rev 1</t>
  </si>
  <si>
    <t>Revise for clarifications</t>
  </si>
  <si>
    <t>C 20 007</t>
  </si>
  <si>
    <t>New R# format for Classified Materials; SOP R-02 Rev 1 to Rev 2</t>
  </si>
  <si>
    <t>for clarity</t>
  </si>
  <si>
    <t>C 20 008</t>
  </si>
  <si>
    <t>SOP Q-39 Rev 0 to Rev 1</t>
  </si>
  <si>
    <t>add more content</t>
  </si>
  <si>
    <t>C 20 009</t>
  </si>
  <si>
    <t>SP/4025/001.00 to .01</t>
  </si>
  <si>
    <t>Change product label claim and method used for water determination</t>
  </si>
  <si>
    <t>Expansion</t>
  </si>
  <si>
    <t>C 20 010</t>
  </si>
  <si>
    <t>Replace the left interior panel in stability chamber A390</t>
  </si>
  <si>
    <t>incorrect panel installed at mfg</t>
  </si>
  <si>
    <t>C 20 011</t>
  </si>
  <si>
    <t>RM/3915/001.00 to .01</t>
  </si>
  <si>
    <t>To change identification testing</t>
  </si>
  <si>
    <t>C 20 012</t>
  </si>
  <si>
    <t>Replace downchute on tablet dedusters L325 and L560.</t>
  </si>
  <si>
    <t>improve use of equipment</t>
  </si>
  <si>
    <t>C 20 013</t>
  </si>
  <si>
    <t>extend shelf life to 36M</t>
  </si>
  <si>
    <t>CA/3809/001-002, CA/3840/001-005, CA/3960/001-002, CA/3981/001-002</t>
  </si>
  <si>
    <t>C 20 014</t>
  </si>
  <si>
    <t>SOP S-17 Rev 2 to Rev 3</t>
  </si>
  <si>
    <t>early periodic review</t>
  </si>
  <si>
    <t>C 20 015</t>
  </si>
  <si>
    <t>SOP I-02 Rev 2 to Rev 3</t>
  </si>
  <si>
    <t>CAPA 19-046 to address tracking of backups</t>
  </si>
  <si>
    <t>C 20 016</t>
  </si>
  <si>
    <t>new SOP A-32 Rev 0</t>
  </si>
  <si>
    <t>for particle size analyzer</t>
  </si>
  <si>
    <t>C 20 017</t>
  </si>
  <si>
    <t>SOP E-52 Rev 2 to Rev 3</t>
  </si>
  <si>
    <t>CAPA 19-039 to address proper storage of items in unit</t>
  </si>
  <si>
    <t>C 20 018</t>
  </si>
  <si>
    <t>SOP Q-07 Rev 1 to Rev 2</t>
  </si>
  <si>
    <t>CAPA 19-026 to address annual product reviews</t>
  </si>
  <si>
    <t>C 20 019</t>
  </si>
  <si>
    <t>SOP Q-19 Rev 4 to Rev 5</t>
  </si>
  <si>
    <t>CAPA 19-031 to add deviation requirement for Quality documents not revised in timely manner</t>
  </si>
  <si>
    <t>AM/3871/001.02 to .03</t>
  </si>
  <si>
    <t>CAPA 20-001 - include resolution solution</t>
  </si>
  <si>
    <t>Cullinan</t>
  </si>
  <si>
    <t>SOP T-20 Rev 3 to Rev 4</t>
  </si>
  <si>
    <t>To align with SOP A-13</t>
  </si>
  <si>
    <t>SOP A-01 Rev 4 to Rev 5</t>
  </si>
  <si>
    <t>Add new 2500 Model Dissolution Bath</t>
  </si>
  <si>
    <t>C 20 023</t>
  </si>
  <si>
    <t>8 mesh screens do not provide a greater benefit than the 20 mesh; retiring the 8 mesh will eliminate confusion</t>
  </si>
  <si>
    <t>C 20 024</t>
  </si>
  <si>
    <t>C 20 025</t>
  </si>
  <si>
    <t>address CAPA 19-050 and 19-021, and tooling care/use</t>
  </si>
  <si>
    <t>CU and NK</t>
  </si>
  <si>
    <t>for electronic crimping tool</t>
  </si>
  <si>
    <t>New SOP E-82 Rev 0</t>
  </si>
  <si>
    <t>C 20 026</t>
  </si>
  <si>
    <t>CA/3788/002,-003, -005; CA/3842/001,-002, -003, -004, -005, -006; CA/3990/001</t>
  </si>
  <si>
    <t>C 20 027</t>
  </si>
  <si>
    <t>update product name and methods validated</t>
  </si>
  <si>
    <t xml:space="preserve">PS/3940/002.00, PS/4035/001.00 &amp; PS/4035/002.00 to .01 and AM/3940/002.02 &amp; AM/3940/003.02 to .03 </t>
  </si>
  <si>
    <t>C 20 028</t>
  </si>
  <si>
    <t>RM/3865/002.01 to .02</t>
  </si>
  <si>
    <t>Revise to align with Regis stability protocol</t>
  </si>
  <si>
    <t>C 20 029</t>
  </si>
  <si>
    <t>AM/4015/002.01 to .02</t>
  </si>
  <si>
    <t>C 20 030</t>
  </si>
  <si>
    <t>AM/3570/001.00 to .01</t>
  </si>
  <si>
    <t>C 20 031</t>
  </si>
  <si>
    <t>SP/3928/004.00 to .01</t>
  </si>
  <si>
    <t>Add 12M time point per client request</t>
  </si>
  <si>
    <t>C 20 032</t>
  </si>
  <si>
    <t>SP/3943/001.00 to .01</t>
  </si>
  <si>
    <t>Add additional time point per client request</t>
  </si>
  <si>
    <t>C 20 033</t>
  </si>
  <si>
    <t>TR/3788/001,005;TR/3812/002;TR/3842/007,009; TR/3917/001, TR/3979/003,004,002,001; TR/3990/002</t>
  </si>
  <si>
    <t>Add storage condition and retest date</t>
  </si>
  <si>
    <t>C 20 034</t>
  </si>
  <si>
    <t>SOP E-69 and E-70 for the Piccola tablet presses</t>
  </si>
  <si>
    <t>SOP E-59 and E-88 for the Korsch and Eliza tablet presses</t>
  </si>
  <si>
    <t>C 20 035</t>
  </si>
  <si>
    <t>SP/3843/001.00 to .01</t>
  </si>
  <si>
    <t>add additional 30M time point for 3mg dose at 25/60 per client request</t>
  </si>
  <si>
    <t>C 20 036</t>
  </si>
  <si>
    <t>SOP D-14 Rev 6 to Rev 7</t>
  </si>
  <si>
    <t>CAPA 19-056</t>
  </si>
  <si>
    <t>C 20 037</t>
  </si>
  <si>
    <t>SP/3888/002.02 to .03</t>
  </si>
  <si>
    <t>C 20 038</t>
  </si>
  <si>
    <t xml:space="preserve">Install CAD </t>
  </si>
  <si>
    <t>New Equipment</t>
  </si>
  <si>
    <t>C 20 039</t>
  </si>
  <si>
    <t>HVAC unit in CTM Hallway</t>
  </si>
  <si>
    <t>Drill 4 new anchor holes to install better support system for the HVAC unit.</t>
  </si>
  <si>
    <t>C 20 040</t>
  </si>
  <si>
    <t>AP/4015/001, 002.00 to .01</t>
  </si>
  <si>
    <t>Update drug product formulation</t>
  </si>
  <si>
    <t>L325 and L560 Tablet Dedusters, retire 8 mesh screens for units; update SOP E-01</t>
  </si>
  <si>
    <t>C 20 041</t>
  </si>
  <si>
    <t>BridgeBio</t>
  </si>
  <si>
    <t>MR/2862/003.00</t>
  </si>
  <si>
    <t>developing an inspection form for vial, stopper, &amp; crimp cap</t>
  </si>
  <si>
    <t>C 20 042</t>
  </si>
  <si>
    <t>Replace Kleen-All with CIP 100 for multi-purpose cleaning.</t>
  </si>
  <si>
    <t>Multipurpose Cleaning</t>
  </si>
  <si>
    <t>C 20 043</t>
  </si>
  <si>
    <t>SOP E-37 Rev 5, on the FitzMill</t>
  </si>
  <si>
    <t>Make obsolete as equipment is no longer in use.</t>
  </si>
  <si>
    <t>C 20 044</t>
  </si>
  <si>
    <t>SOP A-14 Rev 4 to 5, Analytical Documentation System</t>
  </si>
  <si>
    <t>Periodic review and address SE expiration dating</t>
  </si>
  <si>
    <t>C 20 045</t>
  </si>
  <si>
    <t>SOP A-21 Rev 4 to 5, Analytical Data Reporting and Review</t>
  </si>
  <si>
    <t>Periodic review, editoral changes and additional detail for audit trail review</t>
  </si>
  <si>
    <t>C 20 046</t>
  </si>
  <si>
    <t>PS/4033/001, -002, -003, -004.00 to .01</t>
  </si>
  <si>
    <t>Change Appearance specification</t>
  </si>
  <si>
    <t>C 20 047</t>
  </si>
  <si>
    <t>SOP F-19 Rev 2 to Rev 3</t>
  </si>
  <si>
    <t>C 20 048</t>
  </si>
  <si>
    <t>Stability Chamber A143</t>
  </si>
  <si>
    <t>replace the water pump with like model</t>
  </si>
  <si>
    <t>C 20 049</t>
  </si>
  <si>
    <t>New SOP I-03 for Computer Systems Validation</t>
  </si>
  <si>
    <t>C 20 050</t>
  </si>
  <si>
    <t>SOP Q-33 Rev 1 to Rev 2</t>
  </si>
  <si>
    <t>C 20 051</t>
  </si>
  <si>
    <t>SOP E-29 Rev 5 to Rev 6</t>
  </si>
  <si>
    <t>C 20 052</t>
  </si>
  <si>
    <t>Create new Postion Role in SmartSolve</t>
  </si>
  <si>
    <t>Director, Operations</t>
  </si>
  <si>
    <t>C 20 053</t>
  </si>
  <si>
    <t>Update SmartSolve Position Roles for 4 employees</t>
  </si>
  <si>
    <t>Promotions</t>
  </si>
  <si>
    <t>C 20 054</t>
  </si>
  <si>
    <t>SOP D-15 Rev 5 to Rev 6</t>
  </si>
  <si>
    <t>C 20 055</t>
  </si>
  <si>
    <t>C 20 056</t>
  </si>
  <si>
    <t>CA/3940/001.01 to .02</t>
  </si>
  <si>
    <t>Add additional known impurity peak result</t>
  </si>
  <si>
    <t>AM/3835/001.05 to .06</t>
  </si>
  <si>
    <t>Revise per CAPA 20-014 Item 1</t>
  </si>
  <si>
    <t>C 20 057</t>
  </si>
  <si>
    <t>PS/4016/001.00 to .01</t>
  </si>
  <si>
    <t>C 20 058</t>
  </si>
  <si>
    <t>Allow use of BLUES as single use gowning</t>
  </si>
  <si>
    <t>per QRM-20-003</t>
  </si>
  <si>
    <t>C 20 059</t>
  </si>
  <si>
    <t>SP/4054/003.00 to .01</t>
  </si>
  <si>
    <t>C 20 060</t>
  </si>
  <si>
    <t>SOP P-06 Rev 2 to Rev 3</t>
  </si>
  <si>
    <t>C 20 061</t>
  </si>
  <si>
    <t>Revise AM/3809/001.04 to .05</t>
  </si>
  <si>
    <t>Include placebo prep and correct purity calculation</t>
  </si>
  <si>
    <t>C 20 062</t>
  </si>
  <si>
    <t>GMX granulator L096</t>
  </si>
  <si>
    <t>replace control board</t>
  </si>
  <si>
    <t>Revise AM/2864/001 and -005; initiate -006</t>
  </si>
  <si>
    <t>Update as per CAPA 20-012</t>
  </si>
  <si>
    <t>Revise CA/4039/004.00 to .01</t>
  </si>
  <si>
    <t>Revise to include repackaged microbial results</t>
  </si>
  <si>
    <t>CANCELLED, Used Deviation rather than Change Control</t>
  </si>
  <si>
    <t>see LDR A20-021</t>
  </si>
  <si>
    <t>Revise PS/4041/001.00 to .01</t>
  </si>
  <si>
    <t xml:space="preserve">Revise to change testing method for Water Determination </t>
  </si>
  <si>
    <t>C 20 066</t>
  </si>
  <si>
    <t>Revise PS/3729/001.02, -002.01</t>
  </si>
  <si>
    <t>Add Microbial testing at Release</t>
  </si>
  <si>
    <t>C 20 063</t>
  </si>
  <si>
    <t>C 20 067</t>
  </si>
  <si>
    <t>C 20 068</t>
  </si>
  <si>
    <t>Install 2 new 120V outlets in hallway outside room 110.</t>
  </si>
  <si>
    <t>Electrical system</t>
  </si>
  <si>
    <t>Install 3 new 120V outlets in upper lab A116B.</t>
  </si>
  <si>
    <t>C 20 069</t>
  </si>
  <si>
    <t>Revise SOP T-08 Rev 5 to Rev 6, SOP E-76 Rev. 3 to 4</t>
  </si>
  <si>
    <t>C 20 070</t>
  </si>
  <si>
    <t>TR/3935/008.00, -009.00</t>
  </si>
  <si>
    <t xml:space="preserve">Correct notebook reference </t>
  </si>
  <si>
    <t>C 20 071</t>
  </si>
  <si>
    <t>Revise RM/3788/009.00 and RM/3788/010.00</t>
  </si>
  <si>
    <t>change expiration date to 5 yrs from DOM</t>
  </si>
  <si>
    <t>C 20 072</t>
  </si>
  <si>
    <t>Revise Specification and Test Methods</t>
  </si>
  <si>
    <t>include standard scan of PlasACRYL</t>
  </si>
  <si>
    <t>C 20 073</t>
  </si>
  <si>
    <t>Revise SOP A27 Rev 0 to Rev 1</t>
  </si>
  <si>
    <t>add data integrity updates</t>
  </si>
  <si>
    <t>C 20 074</t>
  </si>
  <si>
    <t>Revise QA/2862/027 Revision 00 to 01</t>
  </si>
  <si>
    <t>to include updated TOC accuracy and precision data to align with QRM-19-009 and new TOC LARs</t>
  </si>
  <si>
    <t>C 20 075</t>
  </si>
  <si>
    <t>Annual review</t>
  </si>
  <si>
    <t>Quality Manual, QM-10-001 Rev 6 to Rev 7</t>
  </si>
  <si>
    <t>C 20 076</t>
  </si>
  <si>
    <t>Improve method as per CAPA 20-015</t>
  </si>
  <si>
    <t>Revise AM/3729/001.02 to .03</t>
  </si>
  <si>
    <t>C 20 077</t>
  </si>
  <si>
    <t>SOP E-15 Rev 2 to Rev 3 and SOP E-54 Rev 3 to Rev 4</t>
  </si>
  <si>
    <t>periodic review; no significant changes to either</t>
  </si>
  <si>
    <t>C 20 078</t>
  </si>
  <si>
    <t>New SOP for 5 cubic foot blender (SOP E-98)</t>
  </si>
  <si>
    <t>C 20 079</t>
  </si>
  <si>
    <t>SOP E-44 Rev 0 to Rev 1</t>
  </si>
  <si>
    <t>periodic review; no significant changes</t>
  </si>
  <si>
    <t>C 20 080</t>
  </si>
  <si>
    <t>C 20 081</t>
  </si>
  <si>
    <t>SOP F-02 Rev 3 to Rev 4, S-02 Rev 3 to Rev 4, and SOP S-09 Rev 3 to Rev 4</t>
  </si>
  <si>
    <t>periodic review; no significant changes to any of these</t>
  </si>
  <si>
    <t>SOP F-20 Rev 3 to Rev 4</t>
  </si>
  <si>
    <t>C 20 082</t>
  </si>
  <si>
    <t>Packaging Material Inspection Form, MR/2862/001 Rev 01 to Rev 02</t>
  </si>
  <si>
    <t>Revise to include a measurement requirement</t>
  </si>
  <si>
    <t>C 20 083</t>
  </si>
  <si>
    <t>Valves are leaking</t>
  </si>
  <si>
    <t>Replace the water supply valves on kettles in Rooms 127 &amp; 128</t>
  </si>
  <si>
    <t>C 20 084</t>
  </si>
  <si>
    <t>Install a water supply line and drain to new stability chamber in hallway outside Room 110</t>
  </si>
  <si>
    <t>To support new stability chamber.</t>
  </si>
  <si>
    <t>C 20 085</t>
  </si>
  <si>
    <t>SOP E-49 Rev 2 to Rev 3</t>
  </si>
  <si>
    <t>Early review of a rollover procedure</t>
  </si>
  <si>
    <t>Revise SP/3803/006.01 to .02</t>
  </si>
  <si>
    <t xml:space="preserve">Client request removal os specific stability pulls </t>
  </si>
  <si>
    <t>Revise SOP E-79 Rev 0 to Rev 1, SOP T-43 Rev 2 to Rev 3,
SOP T-45 Rev 2 to Rev 3 and SOP T-50 Rev 2 to Rev 3</t>
  </si>
  <si>
    <t>Early review of rollover procedures</t>
  </si>
  <si>
    <t>REQUESTER</t>
  </si>
  <si>
    <t>C 20 088</t>
  </si>
  <si>
    <t>Revise batch reecord M4056-12A per D 20 050</t>
  </si>
  <si>
    <t>update/change of batch record instructions</t>
  </si>
  <si>
    <t>C 20 089</t>
  </si>
  <si>
    <t>Revise SP/4008/002.00 to .01</t>
  </si>
  <si>
    <t>Add 6M time point per client request</t>
  </si>
  <si>
    <t>C 20 090</t>
  </si>
  <si>
    <t>Revise AM/3729/003.04 to .05</t>
  </si>
  <si>
    <t>Increase sonication time of sample preparation</t>
  </si>
  <si>
    <t>C 20 091</t>
  </si>
  <si>
    <t>Revise AM/3809/001.05 to .06 and AM/3788/003.03 to .04</t>
  </si>
  <si>
    <t>Clarify weight variation testing and update salt correction factor</t>
  </si>
  <si>
    <t>C 20 092</t>
  </si>
  <si>
    <t>All cleaning batch records</t>
  </si>
  <si>
    <t>Starting on 15Jun2020, all issued cleaning batch records will be issued with the new TOC LARs per QRM-19-009.</t>
  </si>
  <si>
    <t>C 20 093</t>
  </si>
  <si>
    <t>Revise CA/3999/001.00, -002.00, PS/3729/001.03, -002.02</t>
  </si>
  <si>
    <t>Change and clarify water determination significant figures reporting</t>
  </si>
  <si>
    <t>C 20 094</t>
  </si>
  <si>
    <t>C 20 095</t>
  </si>
  <si>
    <t>C 20 096</t>
  </si>
  <si>
    <t>Revise AM/3940/003.03 to .04</t>
  </si>
  <si>
    <t>AM/3980/001.01 and -002.01 to .02</t>
  </si>
  <si>
    <t>include additional sample stability</t>
  </si>
  <si>
    <t xml:space="preserve">include new validated formulation </t>
  </si>
  <si>
    <t>AM/4015/003.01 to .02, -004.02 to .03 and -005.01 to .02</t>
  </si>
  <si>
    <t>C 20 097</t>
  </si>
  <si>
    <t>Revise SOP Q-07 Rev 2 to Rev 3</t>
  </si>
  <si>
    <t>Address CAPA 20-008 (remaining bulk FP storage)</t>
  </si>
  <si>
    <t>C 20 098</t>
  </si>
  <si>
    <t>Revise SOP A-28 Rev 1 to Rev 2</t>
  </si>
  <si>
    <t>C 20 099</t>
  </si>
  <si>
    <t>Revide AM/3809/001.06 to .07</t>
  </si>
  <si>
    <t>Correct typo</t>
  </si>
  <si>
    <t>C 20 100</t>
  </si>
  <si>
    <t>E-79 Rev 0, T-50 Rev 2, T-43 Rev 2, T-45 Rev 2</t>
  </si>
  <si>
    <t>Revise for periodic review</t>
  </si>
  <si>
    <t>C 20 101</t>
  </si>
  <si>
    <t xml:space="preserve">Creation of product specifications </t>
  </si>
  <si>
    <t>new product, PlasACRYL NP</t>
  </si>
  <si>
    <t>C 20 102</t>
  </si>
  <si>
    <t>Revise SP/3720/001.00 and SP/3720/002.00 to .01</t>
  </si>
  <si>
    <t>C 20 103</t>
  </si>
  <si>
    <t>C 20 104</t>
  </si>
  <si>
    <t xml:space="preserve">exahust fan L430 </t>
  </si>
  <si>
    <t>Replace the motor on exhaust fan L430 (vent hood in A116B)</t>
  </si>
  <si>
    <t>DHCP services</t>
  </si>
  <si>
    <t>migrate DHCP services from server dc1 to server dc11</t>
  </si>
  <si>
    <t>C 20 105</t>
  </si>
  <si>
    <t>Revise SOP F-04 Rev 2 to Rev 3, and SOP S-16 Rev 4 to Rev 5</t>
  </si>
  <si>
    <t>C 20 106</t>
  </si>
  <si>
    <t>Revise SOP Q-14 Rev 5 to Rev 6</t>
  </si>
  <si>
    <t>CAPA 19-057 requirmement</t>
  </si>
  <si>
    <t>C 20 107</t>
  </si>
  <si>
    <t>Revise SOP A-33 Rev 1 to Rev 2</t>
  </si>
  <si>
    <t>Periodic review and editorial changes</t>
  </si>
  <si>
    <t>C 20108</t>
  </si>
  <si>
    <t>Revise AM/3940/002.03 to .04</t>
  </si>
  <si>
    <t>C 20 109</t>
  </si>
  <si>
    <t>Revise AM/3763/001.05 to .06</t>
  </si>
  <si>
    <t>Update method for additional sample prep guidance and clarity</t>
  </si>
  <si>
    <t>C 20 110</t>
  </si>
  <si>
    <t>Pressure gauges for Rooms 120 and 121</t>
  </si>
  <si>
    <t>Replace the digital gauges with analog gauges</t>
  </si>
  <si>
    <t>C 20 111</t>
  </si>
  <si>
    <t>Revide AM/3911/001.01 to .02</t>
  </si>
  <si>
    <t>Revise method to include standard stability and ID testing</t>
  </si>
  <si>
    <t>C 20 112</t>
  </si>
  <si>
    <t>Repair of FTIR iS20 (Asset A401)</t>
  </si>
  <si>
    <t>will be replacing detector on new unit with detector on old unit.</t>
  </si>
  <si>
    <t>C 20 113</t>
  </si>
  <si>
    <t>Revise AM/3995/004.00 to .01 and AM/3995/005.01 to .02</t>
  </si>
  <si>
    <t>Methods validated</t>
  </si>
  <si>
    <t>Xoc</t>
  </si>
  <si>
    <t>C 20 114</t>
  </si>
  <si>
    <t>Revise PS/4084/001,002.00 to .01</t>
  </si>
  <si>
    <t>Change CU to WV</t>
  </si>
  <si>
    <t>Selva</t>
  </si>
  <si>
    <t>C 20 115</t>
  </si>
  <si>
    <t>Ridgeback</t>
  </si>
  <si>
    <t>Revise AM/4033/002,003.01 to .02</t>
  </si>
  <si>
    <t>C 20 116</t>
  </si>
  <si>
    <t>Revise SOP A-07 Rev. 5 to Rev. 6</t>
  </si>
  <si>
    <t>Add references USP and SOP; Add information about ELSD and PDA; Clarify method testing interchangeability b/w HPLC and UPLC</t>
  </si>
  <si>
    <t>C 20 117</t>
  </si>
  <si>
    <t>Revise SP/3896/002.00, SP/3896/003.00 and SP/3896/005.00 to .01</t>
  </si>
  <si>
    <t>C 20 118</t>
  </si>
  <si>
    <t>Revise SOP E-50 Rev 2 to Rev 3</t>
  </si>
  <si>
    <t>periodic review; address both models</t>
  </si>
  <si>
    <t>C 20 119</t>
  </si>
  <si>
    <t>Revise AM/4033/002.02 and PS/4033/004.01</t>
  </si>
  <si>
    <t>C 20 120</t>
  </si>
  <si>
    <t>C 20 121</t>
  </si>
  <si>
    <t>Make SOP E-55 obsolete</t>
  </si>
  <si>
    <t>Equipment has been decommissioned</t>
  </si>
  <si>
    <t>C 20 122</t>
  </si>
  <si>
    <t>Revise CA/3840/002,-004, -005; CA/3940/001; CA/3981/001</t>
  </si>
  <si>
    <t xml:space="preserve">Correct Assay and CU values based on purity update </t>
  </si>
  <si>
    <t xml:space="preserve">C 20 123 </t>
  </si>
  <si>
    <t xml:space="preserve">Revise AM/3939/001, -002.00 to .01 </t>
  </si>
  <si>
    <t>C 20 124</t>
  </si>
  <si>
    <t>Revise AM/3935/003.03 to .04 and AM/3935/004.01 to .02</t>
  </si>
  <si>
    <t xml:space="preserve">C 20 125 </t>
  </si>
  <si>
    <t>Remove retest date per client request</t>
  </si>
  <si>
    <t>All issued COAs (CA/4033/001-006),(CA/4072/001-002) and CA/4083/003</t>
  </si>
  <si>
    <t>see C 20 100</t>
  </si>
  <si>
    <t>see C 20 087</t>
  </si>
  <si>
    <t>C 20 126</t>
  </si>
  <si>
    <t>Revise SOP Q-20 Rev 5 to Rev 6</t>
  </si>
  <si>
    <t>C 20 127</t>
  </si>
  <si>
    <t>C 20 128</t>
  </si>
  <si>
    <t>C 20 129</t>
  </si>
  <si>
    <t>Revise SOP Q-23 Rev 5 to Rev 6</t>
  </si>
  <si>
    <t>Revise SOP Q-27 Rev 1 to Rev 2</t>
  </si>
  <si>
    <t>Revise SOP Q-32 Rev 4 to Rev 5</t>
  </si>
  <si>
    <t>C 20 130</t>
  </si>
  <si>
    <t>Lower the upper alarm limit in ViewLinc for warehouses 123A and 126 from 24C to 23C</t>
  </si>
  <si>
    <t>per QA/2862/098 memo</t>
  </si>
  <si>
    <t>C 20 131</t>
  </si>
  <si>
    <t>Revise PS/4084/001,002.01 to .02, PS/4084/003.00 to .01</t>
  </si>
  <si>
    <t>Update Appearance description</t>
  </si>
  <si>
    <t>C 20 132</t>
  </si>
  <si>
    <t>Revise PS/3744/001.02 to .03</t>
  </si>
  <si>
    <t>Update reportable impurity unit</t>
  </si>
  <si>
    <t xml:space="preserve">C 20 133 </t>
  </si>
  <si>
    <t>Revise CA/4041/001.00 to .01</t>
  </si>
  <si>
    <t>Add 12 month shelf life</t>
  </si>
  <si>
    <t xml:space="preserve">C 20 134 </t>
  </si>
  <si>
    <t>Revise SP/4020/001.00 to .01</t>
  </si>
  <si>
    <t>Add Identification testing for Time Zero timepoint</t>
  </si>
  <si>
    <t>C 20 135</t>
  </si>
  <si>
    <t>Replace all 4 water heaters in the basement</t>
  </si>
  <si>
    <t>Damaged during recent storm</t>
  </si>
  <si>
    <t>C 20 136</t>
  </si>
  <si>
    <t>Replace 2 boilers in the basement</t>
  </si>
  <si>
    <t>C 20 137</t>
  </si>
  <si>
    <t>Replace intrusion alarm panel, 3 keypads, basement entry/exit RFID controls and several fire sensors in basement.</t>
  </si>
  <si>
    <t>C 20 138</t>
  </si>
  <si>
    <t>Revise AM/4084/001.00 to .01</t>
  </si>
  <si>
    <t>C 20 139</t>
  </si>
  <si>
    <t>Revise SP/3966/001.00 to .01</t>
  </si>
  <si>
    <t>BJL, LAF</t>
  </si>
  <si>
    <t>C 20 140</t>
  </si>
  <si>
    <t>Revise CA/4056/001.00 to .01</t>
  </si>
  <si>
    <t>remove irrelevant footnote from specified microorganisms testing.</t>
  </si>
  <si>
    <t>C 20 141</t>
  </si>
  <si>
    <t>Revise SOP A-22 Rev. 4 to 5</t>
  </si>
  <si>
    <t>update sample prep based on LIR A20-025</t>
  </si>
  <si>
    <t>C 20 142</t>
  </si>
  <si>
    <t>Revise SOP E-81 Rev 0 to Rev 1</t>
  </si>
  <si>
    <t>C 20 143</t>
  </si>
  <si>
    <t>New SOP Q-41 on AQL Inspections</t>
  </si>
  <si>
    <t>required procedure</t>
  </si>
  <si>
    <t>C 20 144</t>
  </si>
  <si>
    <t>Revise AM/4033/002.03 to .04</t>
  </si>
  <si>
    <t>modify sample preparation as per LIR A20-043</t>
  </si>
  <si>
    <t>C 20 145</t>
  </si>
  <si>
    <t>Revise SOP E-53 Rev 3 to Rev 4</t>
  </si>
  <si>
    <t>C 20 146</t>
  </si>
  <si>
    <t>Revise SOP D-03 Rev 6 to Rev 7</t>
  </si>
  <si>
    <t>C 20 147</t>
  </si>
  <si>
    <t>C 20 148</t>
  </si>
  <si>
    <t>Vacuum ovens L491 and L556</t>
  </si>
  <si>
    <t>SOP  E-61 Rev 3 to Rev 4</t>
  </si>
  <si>
    <t>To address modifications made to the vacuum ovens</t>
  </si>
  <si>
    <t>Modify the vacuum pumps to add oil mist filter with oil recirculation kit and hand valve to allow opening of door while pump is on.</t>
  </si>
  <si>
    <t>C 20 149</t>
  </si>
  <si>
    <t>Revise SP/3943/001.01 to .02</t>
  </si>
  <si>
    <t>Add additional time point</t>
  </si>
  <si>
    <t>LAF/JK</t>
  </si>
  <si>
    <t>C 20 150</t>
  </si>
  <si>
    <t>Install a new EPC to GC Asset#</t>
  </si>
  <si>
    <t>C 20 151</t>
  </si>
  <si>
    <t>replace all basement and outdoor pest control devices in the basement</t>
  </si>
  <si>
    <t>Revise SOP E-62 Rev 1 to Rev 2</t>
  </si>
  <si>
    <t>C 20 152</t>
  </si>
  <si>
    <t>Install, configure and validate new backup appliance Unitrends Recover-8024S</t>
  </si>
  <si>
    <t>IT backup appliance</t>
  </si>
  <si>
    <t>C 20 153</t>
  </si>
  <si>
    <t>Update AM/4015/003.03 and -004.03 to scale up the sample preparation</t>
  </si>
  <si>
    <t>per CAPA 20-026</t>
  </si>
  <si>
    <t>C 20 154</t>
  </si>
  <si>
    <t>per CAPA 18-047 and periodic review</t>
  </si>
  <si>
    <t>C 20 155</t>
  </si>
  <si>
    <t>Revise SOP T-53 Rev. 0 to Rev.1</t>
  </si>
  <si>
    <t>Revise SOP A-25 Rev. 5 to Rev. 6</t>
  </si>
  <si>
    <t>C 20 156</t>
  </si>
  <si>
    <t>New SOP E-100 Rev 0, for the PW3416 Heat Sealer</t>
  </si>
  <si>
    <t>Pace Emerson</t>
  </si>
  <si>
    <t>C 20 157</t>
  </si>
  <si>
    <t>Replace the 2 natural gas generators F0024 and F0076</t>
  </si>
  <si>
    <t>C 20 158</t>
  </si>
  <si>
    <t>QRM-20-008 Rev 00 to Rev 01</t>
  </si>
  <si>
    <t>Revised to include stability data and updated conclusion</t>
  </si>
  <si>
    <t>C 20 159</t>
  </si>
  <si>
    <t>SOP A-23 Rev 4 to 5</t>
  </si>
  <si>
    <t>C 20 160</t>
  </si>
  <si>
    <t>C 20 161</t>
  </si>
  <si>
    <t>Revise SP/3937/001.00 to .01</t>
  </si>
  <si>
    <t>Add optional time points per client request</t>
  </si>
  <si>
    <t>Revise PS/4024/001.00 &amp; PS/4024/002.00 to .01</t>
  </si>
  <si>
    <t>correct typos</t>
  </si>
  <si>
    <t>C 20 162</t>
  </si>
  <si>
    <t>C 20 163</t>
  </si>
  <si>
    <t>QRM-19-010 Rev 00 to Rev 01</t>
  </si>
  <si>
    <t>per CAPA 20-032</t>
  </si>
  <si>
    <t>C 20 164</t>
  </si>
  <si>
    <t>Revise AP/2861/001.02 to .03</t>
  </si>
  <si>
    <t>add additional and new procedures</t>
  </si>
  <si>
    <t>C 20 165</t>
  </si>
  <si>
    <t>Create packaging inspection forms MR/2862/004 and MR/2862/005</t>
  </si>
  <si>
    <t>To document inspection of foil pouches and swabs with caps</t>
  </si>
  <si>
    <t>C 20 166</t>
  </si>
  <si>
    <t>Revise SP/3954/001.00 to .01</t>
  </si>
  <si>
    <t>Stalicla</t>
  </si>
  <si>
    <t>C 20 167</t>
  </si>
  <si>
    <t>C 20 168</t>
  </si>
  <si>
    <t>XW Pharma</t>
  </si>
  <si>
    <t>Revise AR/4043/001.00 to .01 and AM/4043/001.01 to .02</t>
  </si>
  <si>
    <t>Correct typos and validate method</t>
  </si>
  <si>
    <t>C 20 169</t>
  </si>
  <si>
    <t>Employee position/department change</t>
  </si>
  <si>
    <t>William Hahn to transition to QA department from Formulations Development</t>
  </si>
  <si>
    <t>C 20 170</t>
  </si>
  <si>
    <t>Revise SOP Q-34 Rev 1 to Rev 2</t>
  </si>
  <si>
    <t>C 20 171</t>
  </si>
  <si>
    <t>Revise SOP Q-15 Rev 5 to Rev 6</t>
  </si>
  <si>
    <t>C 20 172</t>
  </si>
  <si>
    <t xml:space="preserve">Revise Certificate of Analysis CA/4089/002.00 to .01 </t>
  </si>
  <si>
    <t>C 20 173</t>
  </si>
  <si>
    <t>Revise Desiccant Inspection Form, MR/2862/002 Rev 01 to Rev 02</t>
  </si>
  <si>
    <t>Reformat to add clarity</t>
  </si>
  <si>
    <t>C 20 174</t>
  </si>
  <si>
    <t>Crinetics</t>
  </si>
  <si>
    <t>Correct omission pertaining to testing</t>
  </si>
  <si>
    <t>Revise SP/4102/001.00 to .01</t>
  </si>
  <si>
    <t>C 20 175</t>
  </si>
  <si>
    <t>Revise TR/4043/002.00, TR/4043/003.00 and TR/4043/004.00 to .01</t>
  </si>
  <si>
    <t>Correct year in test date and date of issue</t>
  </si>
  <si>
    <t>STM</t>
  </si>
  <si>
    <t>CANCELLED</t>
  </si>
  <si>
    <t>C 20 176</t>
  </si>
  <si>
    <t xml:space="preserve">periodic review and LIMS incorporation </t>
  </si>
  <si>
    <t>SOP T-11 Rev. 4 to Rev. 5</t>
  </si>
  <si>
    <t>periodic review and CAPA 20-011</t>
  </si>
  <si>
    <t>C 20 177</t>
  </si>
  <si>
    <t>New Software Installation for Analytical</t>
  </si>
  <si>
    <t>Software update for necessary data increase</t>
  </si>
  <si>
    <t>C 20 178</t>
  </si>
  <si>
    <t>LIMS incorporation to Emerson</t>
  </si>
  <si>
    <t>New LIMS SOPs and revise existing SOPs impacted by LIMS</t>
  </si>
  <si>
    <t>C 20 179</t>
  </si>
  <si>
    <t>Revise SOP E-78 Rev 0 to Rev 1</t>
  </si>
  <si>
    <t>C 20 180</t>
  </si>
  <si>
    <t>Revised AM/4044/001.02 to .03 and AM/4044/003.01 to .02</t>
  </si>
  <si>
    <t>Corino</t>
  </si>
  <si>
    <t>C 20 181</t>
  </si>
  <si>
    <t>Revise AM/4043/002.01 to .02</t>
  </si>
  <si>
    <t>C 20 182</t>
  </si>
  <si>
    <t>Revise SOP E-33 Rev 2 to Rev 3</t>
  </si>
  <si>
    <t>C 20 183</t>
  </si>
  <si>
    <t>Revise SOP F-10 Rev 4 to Rev 5</t>
  </si>
  <si>
    <t>C 20 184</t>
  </si>
  <si>
    <t xml:space="preserve">Revise AM/3954/002.01 to .02; AM/3954/003.02 to .03; AM/3954/004.00 to .01 </t>
  </si>
  <si>
    <t>validate methods</t>
  </si>
  <si>
    <t>C 20 185</t>
  </si>
  <si>
    <t>Revise SP/4028/001.00 to .01</t>
  </si>
  <si>
    <t>MM/SM</t>
  </si>
  <si>
    <t>MM/JK</t>
  </si>
  <si>
    <t>Revise SP/4054/003.00 to .01</t>
  </si>
  <si>
    <t>C 20 186</t>
  </si>
  <si>
    <t>Revise SP/3916/004, -005.00 to .01; PS/3763/001,-002.03 to .04 and PS/3916/001,-002.01 to .02</t>
  </si>
  <si>
    <t>C 20 187</t>
  </si>
  <si>
    <t>Revise SOP E-02 Rev 1 to Rev 2</t>
  </si>
  <si>
    <t>Revise AM/4033/002.04 to .05; SP/4033/003.00 to .01 and SP/4072/001.00 to .01</t>
  </si>
  <si>
    <t>Add duplicate preparations to method and internal targets to stability protocols</t>
  </si>
  <si>
    <t>C 20 188</t>
  </si>
  <si>
    <t>Revise SOP E-47 Rev 2 to Rev 3</t>
  </si>
  <si>
    <t>C 20 189</t>
  </si>
  <si>
    <t>Revise SOP E-75 Rev 0 to Rev 1</t>
  </si>
  <si>
    <t>C 20 190</t>
  </si>
  <si>
    <t>Make SOP E-68 obsolete</t>
  </si>
  <si>
    <t>Mocon L365 to be decommissioned</t>
  </si>
  <si>
    <t>C 20 191</t>
  </si>
  <si>
    <t>Revise QA/2862/001 Rev 02 to Rev 03</t>
  </si>
  <si>
    <t>C 20 192</t>
  </si>
  <si>
    <t>Make SOP S-03 and SOP S-04 obsolete</t>
  </si>
  <si>
    <t>Made redundant with Pace procedures</t>
  </si>
  <si>
    <t>C 20 193</t>
  </si>
  <si>
    <t>Revise SOP R-05 Rev 5 to Rev 6</t>
  </si>
  <si>
    <t>C 20 194</t>
  </si>
  <si>
    <t>Revise SOP A-30 Rev 2 to Rev 3</t>
  </si>
  <si>
    <t xml:space="preserve">remove tests and add client's reference number </t>
  </si>
  <si>
    <t>C 20 195</t>
  </si>
  <si>
    <t>Revise CA/4024/002.00 to .01</t>
  </si>
  <si>
    <t>client request to add additional naming</t>
  </si>
  <si>
    <t>C 20 196</t>
  </si>
  <si>
    <t xml:space="preserve">periodic review </t>
  </si>
  <si>
    <t>Revise SOP A-27 Rev. 0 to Rev. 1</t>
  </si>
  <si>
    <t>C 20 197</t>
  </si>
  <si>
    <t>C 20 198</t>
  </si>
  <si>
    <t>Revise SOP S-08 Rev 3 to Rev 4</t>
  </si>
  <si>
    <t>Repair glassware washer A354</t>
  </si>
  <si>
    <t>like for like parts replaced</t>
  </si>
  <si>
    <t>C 20 199</t>
  </si>
  <si>
    <t>client request to change pull schedule</t>
  </si>
  <si>
    <t>Revise SP/3896/003.01 to .02</t>
  </si>
  <si>
    <t>C 20 200</t>
  </si>
  <si>
    <t>Revise SOP T-10 Rev 3 to Rev 4</t>
  </si>
  <si>
    <t>C 20 201</t>
  </si>
  <si>
    <t>C 20 202</t>
  </si>
  <si>
    <t>Revise SOP E-74 Rev 1 to Rev 2</t>
  </si>
  <si>
    <t>Revise SOP S-14 Rev 2 to Rev 3</t>
  </si>
  <si>
    <t>C 20 203</t>
  </si>
  <si>
    <t>Revise SP/4108/001.00 and SP/4108/002.00 to .01</t>
  </si>
  <si>
    <t>Add clarification on sample testing and add time point</t>
  </si>
  <si>
    <t>Atea</t>
  </si>
  <si>
    <t>C 20 204</t>
  </si>
  <si>
    <t>Revise SOP S-24 Rev 0 to Rev 1</t>
  </si>
  <si>
    <t>C 20 205</t>
  </si>
  <si>
    <t>Revise SOP T-20 Rev 4 to Rev 5</t>
  </si>
  <si>
    <t>to align with SOP Q-41</t>
  </si>
  <si>
    <t>C 20 206</t>
  </si>
  <si>
    <t>Revise SOP S-23 Rev 1 to Rev 2</t>
  </si>
  <si>
    <t>C 20 207</t>
  </si>
  <si>
    <t>Revise SOP D-20 Rev 3 to Rev 4</t>
  </si>
  <si>
    <t>Periodic review; align w/SOP D-14; address shutdown and weekly sampling BRs; update Index format</t>
  </si>
  <si>
    <t>C 20 208</t>
  </si>
  <si>
    <t>Revise CA/3954/001.00 to .01</t>
  </si>
  <si>
    <t>typographical error</t>
  </si>
  <si>
    <t>C 20 209</t>
  </si>
  <si>
    <t>Revise AM/3835/001.06 to .07</t>
  </si>
  <si>
    <t>Add rinsing glassware with diluent step to prevent contamination</t>
  </si>
  <si>
    <t>C 20 210</t>
  </si>
  <si>
    <t>Revise AM/3783/002.03 to .04</t>
  </si>
  <si>
    <t>Add information about placebo peaks</t>
  </si>
  <si>
    <t>C 20 211</t>
  </si>
  <si>
    <t xml:space="preserve">Replace electric equipment in the basement. </t>
  </si>
  <si>
    <t>C 20 212</t>
  </si>
  <si>
    <t>Revise SP/3896/002.01 and SP/3896/005.01 to .02</t>
  </si>
  <si>
    <t>Change Control Dashboard</t>
  </si>
  <si>
    <t>Year</t>
  </si>
  <si>
    <t>Number</t>
  </si>
  <si>
    <t>Avg Time to Closure (days)</t>
  </si>
  <si>
    <t>C 20 213</t>
  </si>
  <si>
    <t>Retire SOP T-06 Rev. 4</t>
  </si>
  <si>
    <t xml:space="preserve">The associated instrument no longer supported by vendor. </t>
  </si>
  <si>
    <t>C 20 214</t>
  </si>
  <si>
    <t>Vacuum oven L556 to get new dry screw feed pump to replace the oil rotary vane pump.</t>
  </si>
  <si>
    <t>Remove use of oil pump in GMP room.</t>
  </si>
  <si>
    <t>C 20 215</t>
  </si>
  <si>
    <t>Replace the main blower motor on HVAC unit F0002</t>
  </si>
  <si>
    <t>To replace current failed motor</t>
  </si>
  <si>
    <t>C 20 216</t>
  </si>
  <si>
    <t>Devin Corson to transition to Formulations Development from QA department</t>
  </si>
  <si>
    <t>C 20 217</t>
  </si>
  <si>
    <t>Revise SP/4008/003.00 to .01</t>
  </si>
  <si>
    <t>per client request time point changes and reserve number of samples changes</t>
  </si>
  <si>
    <t>C 20 218</t>
  </si>
  <si>
    <t>Revise OQTS-20-001.00 to .01</t>
  </si>
  <si>
    <t>correct typo and make additional clarifications</t>
  </si>
  <si>
    <t>C 20 219</t>
  </si>
  <si>
    <t>Update Training Roles for K. O'Brien in SmartSolve</t>
  </si>
  <si>
    <t>To reflect added responsibilities</t>
  </si>
  <si>
    <t>C 20 220</t>
  </si>
  <si>
    <t>SOP S-10 Rev 3 to Rev 4, Fire Extinguishers</t>
  </si>
  <si>
    <t>C 20 221</t>
  </si>
  <si>
    <t>SOP Q-04 Rev 4 to Rev 5, Regulatory Inspections</t>
  </si>
  <si>
    <t>C20 222</t>
  </si>
  <si>
    <t>Assembly</t>
  </si>
  <si>
    <t>Revise SP/4031/003.00 to .01</t>
  </si>
  <si>
    <t>highlight water determination will be n=1</t>
  </si>
  <si>
    <t>C20 223</t>
  </si>
  <si>
    <t xml:space="preserve">SOP A-35 Rev 0 to Rev 1 </t>
  </si>
  <si>
    <t>C20 224</t>
  </si>
  <si>
    <t>Remove requirement for HO training for Director level employees</t>
  </si>
  <si>
    <t>Director level employees do not perform HO work.</t>
  </si>
  <si>
    <t>Revise SOP P-04 Rev 4 to Rev 5</t>
  </si>
  <si>
    <t>C20 226</t>
  </si>
  <si>
    <t>Revise SOP Q-31 Rev 2 to Rev 3</t>
  </si>
  <si>
    <t>C20 227</t>
  </si>
  <si>
    <t>Changes to LIMS Validation Environment OQ</t>
  </si>
  <si>
    <t>fix minor configuration errors</t>
  </si>
  <si>
    <t>C 21 001</t>
  </si>
  <si>
    <t>Revise AM/4043/003.02 and -004.01 to .03 and .02</t>
  </si>
  <si>
    <t xml:space="preserve">Validate method </t>
  </si>
  <si>
    <t>SMM</t>
  </si>
  <si>
    <t>C 21 002</t>
  </si>
  <si>
    <t>Lower the established min wt for floor balance L568 back to 2kg</t>
  </si>
  <si>
    <t>Per QA/2862/001 Rev 3</t>
  </si>
  <si>
    <t>C 20 064</t>
  </si>
  <si>
    <t>C 20 065</t>
  </si>
  <si>
    <t>C 20 020</t>
  </si>
  <si>
    <t>C 20 021</t>
  </si>
  <si>
    <t>C 20 022</t>
  </si>
  <si>
    <t>C 20 086</t>
  </si>
  <si>
    <t>C 20 087</t>
  </si>
  <si>
    <r>
      <t>Change monitor set points to 16</t>
    </r>
    <r>
      <rPr>
        <sz val="10"/>
        <color theme="5" tint="-0.249977111117893"/>
        <rFont val="Calibri"/>
        <family val="2"/>
      </rPr>
      <t>°</t>
    </r>
    <r>
      <rPr>
        <sz val="10"/>
        <color theme="5" tint="-0.249977111117893"/>
        <rFont val="Arial"/>
        <family val="2"/>
      </rPr>
      <t>C - 24</t>
    </r>
    <r>
      <rPr>
        <sz val="10"/>
        <color theme="5" tint="-0.249977111117893"/>
        <rFont val="Calibri"/>
        <family val="2"/>
      </rPr>
      <t>°</t>
    </r>
    <r>
      <rPr>
        <sz val="10"/>
        <color theme="5" tint="-0.249977111117893"/>
        <rFont val="Arial"/>
        <family val="2"/>
      </rPr>
      <t>C and remove notification delay.</t>
    </r>
  </si>
  <si>
    <t>CTRL SHIFT M to update master list</t>
  </si>
  <si>
    <t>C 21 003</t>
  </si>
  <si>
    <t xml:space="preserve">SP/4084/002.00 to .01 </t>
  </si>
  <si>
    <t xml:space="preserve">Remove 6M accelerated testing </t>
  </si>
  <si>
    <t>C 21 004</t>
  </si>
  <si>
    <t>replace the main blower motor</t>
  </si>
  <si>
    <t>HVAC system F0003</t>
  </si>
  <si>
    <t>RFC after change completed</t>
  </si>
  <si>
    <t>C 21 005</t>
  </si>
  <si>
    <t>replace ACE control board and keypad</t>
  </si>
  <si>
    <t>C 21 006</t>
  </si>
  <si>
    <t>Revise SOP T-08 Rev 6 to Rev 7</t>
  </si>
  <si>
    <t>allowing application of smoothing</t>
  </si>
  <si>
    <t>C 21 007</t>
  </si>
  <si>
    <t>Add LPS to analytical laboratory</t>
  </si>
  <si>
    <t>draw consistent/uninterrupted power to laboratory instruments</t>
  </si>
  <si>
    <t>C 21 008</t>
  </si>
  <si>
    <t>Required for use of equipment</t>
  </si>
  <si>
    <t>C 21 009</t>
  </si>
  <si>
    <t>M9 TOC analyzer</t>
  </si>
  <si>
    <t>Move instrument from Room A116B to 212</t>
  </si>
  <si>
    <t>C 21 010</t>
  </si>
  <si>
    <t>Revise SOP E-11, SE Production Rooms and Equipment</t>
  </si>
  <si>
    <t>Periodic review, Rev 4 to Rev 5</t>
  </si>
  <si>
    <t>C 21 011</t>
  </si>
  <si>
    <t>Revise SOP R-09, Material Categorization System and Project Requirements</t>
  </si>
  <si>
    <t>To align with SOP R-07 and SOP Q-22; Rev 2 to Rev 3</t>
  </si>
  <si>
    <t>C 21 012</t>
  </si>
  <si>
    <t>Create the EHS Management role in SmartSolve and assign it to supervisor and manager roles, as well as those on Safety Committee.</t>
  </si>
  <si>
    <t>Required to train on EHS policies</t>
  </si>
  <si>
    <t>C 21 013</t>
  </si>
  <si>
    <t>Add COR-SOP-0003 Rev 02 to SmartSolve as a policy.</t>
  </si>
  <si>
    <t>To be assigned to Analytical Development.</t>
  </si>
  <si>
    <t>C 21 014</t>
  </si>
  <si>
    <t>Update CA/4123/001.00 to .01</t>
  </si>
  <si>
    <t>Correct DOM</t>
  </si>
  <si>
    <t>C 21 015</t>
  </si>
  <si>
    <t>Include 10 mg capsules</t>
  </si>
  <si>
    <t>Revise AM/3935/003.04 to .05</t>
  </si>
  <si>
    <t>C 21 016</t>
  </si>
  <si>
    <t>Revise SP/4015/001.00 and -002.00 to 01</t>
  </si>
  <si>
    <t>remove ID testing and do  not pull or test lots 4015-23, -45, -56 after 3 months</t>
  </si>
  <si>
    <t>closed</t>
  </si>
  <si>
    <t>Initiation form and conclusion forms were submitted &gt;2 years late.</t>
  </si>
  <si>
    <t>C 21 017</t>
  </si>
  <si>
    <t>Update naming of product/active</t>
  </si>
  <si>
    <t>Acadia</t>
  </si>
  <si>
    <t>Revise PS/4024/001.01 and PS/4024/002.01 to .02</t>
  </si>
  <si>
    <t>C 21 018</t>
  </si>
  <si>
    <t>Revise SP/3954/002.00 to 01</t>
  </si>
  <si>
    <t>C 21 019</t>
  </si>
  <si>
    <t>Revise SP/3954/001.01 to .02</t>
  </si>
  <si>
    <r>
      <rPr>
        <sz val="10"/>
        <rFont val="Arial"/>
        <family val="2"/>
      </rPr>
      <t>Dissolution testing is being performed on 6 capsules (n=6) per USP &lt;711&gt; by applying the L</t>
    </r>
    <r>
      <rPr>
        <vertAlign val="subscript"/>
        <sz val="10"/>
        <rFont val="Arial"/>
        <family val="2"/>
      </rPr>
      <t>1</t>
    </r>
    <r>
      <rPr>
        <sz val="10"/>
        <rFont val="Arial"/>
        <family val="2"/>
      </rPr>
      <t xml:space="preserve"> acceptance criteria only per CAPA 20-046.</t>
    </r>
  </si>
  <si>
    <t>C 21 020</t>
  </si>
  <si>
    <t xml:space="preserve">Changes to LIMS during Validation </t>
  </si>
  <si>
    <t>Add attributes and correct missed or incomplete customization</t>
  </si>
  <si>
    <t>C 21 021</t>
  </si>
  <si>
    <t>Revise AM/3763/003.04 and -004.06 to .05 and .07</t>
  </si>
  <si>
    <t>change type of vials and number of preps</t>
  </si>
  <si>
    <t>y</t>
  </si>
  <si>
    <t>Assets moved and installed by 10/30/19 however qualification activities occurred later. A377</t>
  </si>
  <si>
    <t>Asset not yet qualified; currently used for R+D only and labeled appropriately.</t>
  </si>
  <si>
    <t>12m+</t>
  </si>
  <si>
    <t>Change could not be completed in time due to availability of parts; change has been deemed no longer necessary at management's discretion</t>
  </si>
  <si>
    <t>1-3m</t>
  </si>
  <si>
    <t>C 21 022</t>
  </si>
  <si>
    <t>Servers on site</t>
  </si>
  <si>
    <t>Install a secondary UPS and 2 new power distribution units to provide greater runtime when battery power is required.</t>
  </si>
  <si>
    <t>C 21 023</t>
  </si>
  <si>
    <t>Periodic review, Rev 8 to Rev 9</t>
  </si>
  <si>
    <t>Revise SOP F-03, Room Cleaning</t>
  </si>
  <si>
    <t>SOP Rev up covered in C 20 073; no impact.</t>
  </si>
  <si>
    <t>Never initiated; could not spec system. Never used for GMP.</t>
  </si>
  <si>
    <t>On Time</t>
  </si>
  <si>
    <t>1st Ext</t>
  </si>
  <si>
    <t>2nd Ext</t>
  </si>
  <si>
    <t>C 21 024</t>
  </si>
  <si>
    <t>C 21 025</t>
  </si>
  <si>
    <t>Replace the sensor probe with newer version</t>
  </si>
  <si>
    <t>Stability Chamber A077</t>
  </si>
  <si>
    <t>Replace the cooling fan motor</t>
  </si>
  <si>
    <t>C 21 026</t>
  </si>
  <si>
    <t>Install new Millipore Synergy water system</t>
  </si>
  <si>
    <t>for A Lab</t>
  </si>
  <si>
    <t>C 21 027</t>
  </si>
  <si>
    <t>Revise AM/4024/001.00, AM/4024/002.00 and SP/4024/003.00 to .01</t>
  </si>
  <si>
    <t>Update methods to validated and update name of active</t>
  </si>
  <si>
    <t>Systems</t>
  </si>
  <si>
    <t>C 21 028</t>
  </si>
  <si>
    <t>C 21 029</t>
  </si>
  <si>
    <t>Revise all PlasACRYL master BRs per CAPA 21-001</t>
  </si>
  <si>
    <t>CAPA from mock recall audit</t>
  </si>
  <si>
    <t>Per comments from mock recall audit</t>
  </si>
  <si>
    <t>Revise all Marcoat master BRs and sunset customer specific BR</t>
  </si>
  <si>
    <t>C 21 030</t>
  </si>
  <si>
    <t>Periodic review and CAPA 20-019</t>
  </si>
  <si>
    <t>C 21 031</t>
  </si>
  <si>
    <t>Revise Raw Material Specification RM/2864/009.00 to RM/2864/009.01</t>
  </si>
  <si>
    <t>Update the specification per USP</t>
  </si>
  <si>
    <t>C 21 032</t>
  </si>
  <si>
    <t>Add Corporate Policy COR-SOP-0002 Rev 01, EHS Incident Classification and Required Response to SmartSolve.</t>
  </si>
  <si>
    <t>To track the required training on this policy.</t>
  </si>
  <si>
    <t>Not needed, a different method was used instead</t>
  </si>
  <si>
    <t>C 21 033</t>
  </si>
  <si>
    <t>Create new Position Role in SmartSolve: Manager, Analytical Development</t>
  </si>
  <si>
    <t>required to capture training requirements for this position.</t>
  </si>
  <si>
    <t>C 21 034</t>
  </si>
  <si>
    <t>Revise SOP R-07 Rev 8 to Rev 9</t>
  </si>
  <si>
    <t>Periodic review and CAPA 20-010</t>
  </si>
  <si>
    <t>Add SOP E-75 as training requirement to Analytical Development personnel</t>
  </si>
  <si>
    <t>C 21 035</t>
  </si>
  <si>
    <t>Add Corporate Policy COR-SOP-0001 Rev 01, Hazard Assessments to SmartSolve.</t>
  </si>
  <si>
    <t>C 21 036</t>
  </si>
  <si>
    <t>Revise to add clarifications</t>
  </si>
  <si>
    <t>QRM-20-009 Rev 00 to Rev 01, Not Updating all SOPs prior to LIMS Implementation</t>
  </si>
  <si>
    <t>C 21 037</t>
  </si>
  <si>
    <t>Refrigerator A328 in upstairs cage</t>
  </si>
  <si>
    <t>Replace the controller</t>
  </si>
  <si>
    <t>C 21 038</t>
  </si>
  <si>
    <t>Remove use of SortFast assembly and CAPA 20-029</t>
  </si>
  <si>
    <t>MCS</t>
  </si>
  <si>
    <t>SOP E-86 Rev 2 to Rev 3, Capsule Polisher</t>
  </si>
  <si>
    <t>C 21 039</t>
  </si>
  <si>
    <t>C 21 040</t>
  </si>
  <si>
    <t>C 21 041</t>
  </si>
  <si>
    <t>Revise SP/4044/003.00 and SP/4044/004.00 to .01</t>
  </si>
  <si>
    <t>Remove ER tablets from stability studies per client request</t>
  </si>
  <si>
    <t>Revise SP/3955/002.00 to .01</t>
  </si>
  <si>
    <t>FLX/Rapt</t>
  </si>
  <si>
    <t>Revise SP/4057/001.00 to .01</t>
  </si>
  <si>
    <t>Add additional time points</t>
  </si>
  <si>
    <t>C 21 042</t>
  </si>
  <si>
    <t>SF</t>
  </si>
  <si>
    <t>Revise SP/4084/002.01 to .02</t>
  </si>
  <si>
    <t xml:space="preserve">Correct KF Method listed </t>
  </si>
  <si>
    <t>C 21 043</t>
  </si>
  <si>
    <t>C 21 044</t>
  </si>
  <si>
    <t>FLM-1, asset # L015</t>
  </si>
  <si>
    <t>TFC Lab Micro Roller Compactor</t>
  </si>
  <si>
    <t>Replace the nitrogen accumulator</t>
  </si>
  <si>
    <t>C 21 045</t>
  </si>
  <si>
    <t>Add SOP F-20 and associated HO course to K. Tran in SmartSolve</t>
  </si>
  <si>
    <t>C 21 046</t>
  </si>
  <si>
    <t>Revise P5595_ValPlan_0001 to VP-19-001</t>
  </si>
  <si>
    <t>Revise document number to align with Emerson procedures as well as document format</t>
  </si>
  <si>
    <t>C 21 047</t>
  </si>
  <si>
    <t>Replace the VFD that controls the exhaust blower</t>
  </si>
  <si>
    <t>Update LIMS security options by IT</t>
  </si>
  <si>
    <t xml:space="preserve">To align with current security procedures. </t>
  </si>
  <si>
    <t>C 21 048</t>
  </si>
  <si>
    <t>Update LIMS configs</t>
  </si>
  <si>
    <t>Make fields more accessible</t>
  </si>
  <si>
    <t>C 21 049</t>
  </si>
  <si>
    <t>Update AP/2861/001.03 to .04</t>
  </si>
  <si>
    <t>include LIMS Training</t>
  </si>
  <si>
    <t>3-6m</t>
  </si>
  <si>
    <t>C 21 050</t>
  </si>
  <si>
    <t xml:space="preserve">Revise SOP E-49 Rev 3 to Rev 4 </t>
  </si>
  <si>
    <t>Add new moisture balance model</t>
  </si>
  <si>
    <t>C 21 051</t>
  </si>
  <si>
    <t>Revise SP/3966/001.01 to .02</t>
  </si>
  <si>
    <t>Add 22M stability testing to Lot 3966-34</t>
  </si>
  <si>
    <t>C 21 052</t>
  </si>
  <si>
    <t>Revise AM/2864/005.03 to .04; AM/2864/006.00 to .01</t>
  </si>
  <si>
    <t>fix typos</t>
  </si>
  <si>
    <t>C 21 053</t>
  </si>
  <si>
    <t>Revise VSR-21-001.00 to .01</t>
  </si>
  <si>
    <t>fix typo and add clarification</t>
  </si>
  <si>
    <t>C 21 054</t>
  </si>
  <si>
    <t>Revise AM/3935/003.05 to .06</t>
  </si>
  <si>
    <t>Increase sonication time to sample prep</t>
  </si>
  <si>
    <t>C 21 055</t>
  </si>
  <si>
    <t>New RM Specification RM/3803/004.00 for WFI Quality Water</t>
  </si>
  <si>
    <t>Create spec per USP for water used in GMP manufacturing and cleaning</t>
  </si>
  <si>
    <t>C 21 056</t>
  </si>
  <si>
    <t>Revise SOP E-96 Rev 2 to Rev 3</t>
  </si>
  <si>
    <t>Vial drawers no longer used with Rx counter</t>
  </si>
  <si>
    <t>C 21 057</t>
  </si>
  <si>
    <t>Revise SOP Q-22 Rev 6 to Rev 7</t>
  </si>
  <si>
    <t>To remove Contract Mfg and add clarifications</t>
  </si>
  <si>
    <t>C 21 058</t>
  </si>
  <si>
    <t>BioKier</t>
  </si>
  <si>
    <t>Revise AM/3977/001.01 to .02</t>
  </si>
  <si>
    <t>C 21 059</t>
  </si>
  <si>
    <t>Required training</t>
  </si>
  <si>
    <t>Add SOP R-09 as training requirement to the Analytical Development role in SmartSolve.</t>
  </si>
  <si>
    <t>C 21 060</t>
  </si>
  <si>
    <t xml:space="preserve">Create Draft Test Reports in Production environment as in Validation and Development environments  </t>
  </si>
  <si>
    <t>Intended use for LIMS users</t>
  </si>
  <si>
    <t>C 20 225</t>
  </si>
  <si>
    <t>SOP rev up within target date, however increased scope introduced during extension was 2 days late</t>
  </si>
  <si>
    <t>C 21 061</t>
  </si>
  <si>
    <t>Revise SP/4102/002.00 to .01</t>
  </si>
  <si>
    <t>Add 5 month stability pull and testing</t>
  </si>
  <si>
    <t>C 21 062</t>
  </si>
  <si>
    <t>C 21 063</t>
  </si>
  <si>
    <t>C 21 064</t>
  </si>
  <si>
    <t>Revise SOP A-24 Rev 4 to Rev 5</t>
  </si>
  <si>
    <t>Revise SP/4110/002.00 to .01</t>
  </si>
  <si>
    <t>Add 2M stability time point per client request</t>
  </si>
  <si>
    <t>Revise AM/4108/001.02 and AM/4108/002.02 to .03</t>
  </si>
  <si>
    <t>C 21 065</t>
  </si>
  <si>
    <t>Revise SOP E-57 Rev 2 to Rev 3</t>
  </si>
  <si>
    <t>C 21 066</t>
  </si>
  <si>
    <t>C 21 067</t>
  </si>
  <si>
    <t>Periodic review and CAPA 20-034</t>
  </si>
  <si>
    <t>Revise SOP A-13 Rev 7 to Rev 8</t>
  </si>
  <si>
    <t>Revise SOP A-31 Rev 1 to Rev 2</t>
  </si>
  <si>
    <t>C 21 068</t>
  </si>
  <si>
    <t>TOC vial prep</t>
  </si>
  <si>
    <t>Use a bottle dispenser instead of weighing out the water for TOC vials.</t>
  </si>
  <si>
    <t>C 21 069</t>
  </si>
  <si>
    <t>Revised SP/4084/002.02 to .03</t>
  </si>
  <si>
    <t>C 21 070</t>
  </si>
  <si>
    <t>Revise the Site Master File (SMF-12-001.02)</t>
  </si>
  <si>
    <t>C 21 071</t>
  </si>
  <si>
    <t>Revise CA/4041/001.01 to .02</t>
  </si>
  <si>
    <t xml:space="preserve">extend product shelf life </t>
  </si>
  <si>
    <t>C 21 072</t>
  </si>
  <si>
    <t>Update LIMS by applying Patch2400</t>
  </si>
  <si>
    <t>improvements to LIMS viewing</t>
  </si>
  <si>
    <t>C 21 073</t>
  </si>
  <si>
    <t>Revise SP/3916/003.00 to .01</t>
  </si>
  <si>
    <t>Client request to add additional time point</t>
  </si>
  <si>
    <t>C 21 074</t>
  </si>
  <si>
    <t>Update LIMS template reports</t>
  </si>
  <si>
    <t>improve formatting</t>
  </si>
  <si>
    <t>C 21 075</t>
  </si>
  <si>
    <t>Install new electrical outlets in Room 111</t>
  </si>
  <si>
    <t>to support use of new equipment</t>
  </si>
  <si>
    <t>late extension form</t>
  </si>
  <si>
    <t>C 21 076</t>
  </si>
  <si>
    <t>Revise SOP E-29 Rev 6 to Rev 7</t>
  </si>
  <si>
    <t>CAPA 20-019 and CAPA 21-015</t>
  </si>
  <si>
    <t>C 21 077</t>
  </si>
  <si>
    <t>Required for use of the Sonic Sifter</t>
  </si>
  <si>
    <t xml:space="preserve">SM </t>
  </si>
  <si>
    <t>Add SOP E-10 to traiining requirements for the Analytical Dept in SmartSolve</t>
  </si>
  <si>
    <t>C 21 078</t>
  </si>
  <si>
    <t>Revise SOP A-18 Rev 3 to Rev 4</t>
  </si>
  <si>
    <t>C 21 079</t>
  </si>
  <si>
    <t>Revise SP/4126/002.00 to .01</t>
  </si>
  <si>
    <t>Remove testing and pulls past 2-month time points</t>
  </si>
  <si>
    <t>C 21 080</t>
  </si>
  <si>
    <t xml:space="preserve">Revise Analytical SOP templates </t>
  </si>
  <si>
    <t>Add Pace Logo</t>
  </si>
  <si>
    <t>4/31/2021</t>
  </si>
  <si>
    <t>C 21 081</t>
  </si>
  <si>
    <t>Replace the thermostat in room 123A with like for like</t>
  </si>
  <si>
    <t>Replace failed unit</t>
  </si>
  <si>
    <t>C 21 082</t>
  </si>
  <si>
    <t>C 21 083</t>
  </si>
  <si>
    <t>Create training role in SmartSolve for QC Supervisor</t>
  </si>
  <si>
    <t>C 21 084</t>
  </si>
  <si>
    <t>Remove the dust collection drops in rooms 124 &amp; 125</t>
  </si>
  <si>
    <t>C 21 085</t>
  </si>
  <si>
    <t>Update Product Specifications for PlasACRYL, PlasACRYL T20 and PlasACRYL HTP20</t>
  </si>
  <si>
    <t xml:space="preserve">Revise Product Specifications </t>
  </si>
  <si>
    <t>C 21 086</t>
  </si>
  <si>
    <t>Added 8 week timepoint</t>
  </si>
  <si>
    <t>Oncopia</t>
  </si>
  <si>
    <t>OS</t>
  </si>
  <si>
    <t>C 21 087</t>
  </si>
  <si>
    <t xml:space="preserve">Revise SP/4118/002.00 to .01 </t>
  </si>
  <si>
    <t>Revise CA/4121/001, 002.00 to .01</t>
  </si>
  <si>
    <t>change retest date</t>
  </si>
  <si>
    <t>C 21 088</t>
  </si>
  <si>
    <t>Revise LIMS Report templates</t>
  </si>
  <si>
    <t>To include Pace logo and contact info</t>
  </si>
  <si>
    <t>for new refrigerator/freezer units</t>
  </si>
  <si>
    <t>C 21 089</t>
  </si>
  <si>
    <t>Install 2 new generator drops; in Warehouse 216 and basement area 014.</t>
  </si>
  <si>
    <t>Install multiple power outlets on 1st and 2nd floor</t>
  </si>
  <si>
    <t>for new building monitoring system</t>
  </si>
  <si>
    <t>C 21 090</t>
  </si>
  <si>
    <t>Revise the Quality Manual, Rev 7 to Rev 8</t>
  </si>
  <si>
    <t>annual review</t>
  </si>
  <si>
    <t>C 21 091</t>
  </si>
  <si>
    <t>Revise AM/3928/006.02 &amp; AM/3928/007.02 to .03</t>
  </si>
  <si>
    <t xml:space="preserve">to include validation results </t>
  </si>
  <si>
    <t>C 21 092</t>
  </si>
  <si>
    <t>Revise SOP P-02 Rev 5 to Rev 6</t>
  </si>
  <si>
    <t>C 21 093</t>
  </si>
  <si>
    <t xml:space="preserve">Revise SP/3861/002.02 to revision .03 </t>
  </si>
  <si>
    <t>extend stability to include 48 and 60 months</t>
  </si>
  <si>
    <t>C 21 094</t>
  </si>
  <si>
    <t>Revise AM/4044/001.03 to .04</t>
  </si>
  <si>
    <t>per CAPA 21-013</t>
  </si>
  <si>
    <t>GL</t>
  </si>
  <si>
    <t>C 21 095</t>
  </si>
  <si>
    <t>Install 4 new 120v 20amp circuits in Room 219</t>
  </si>
  <si>
    <t>required for CTM use</t>
  </si>
  <si>
    <t>C 21 096</t>
  </si>
  <si>
    <t>Create new Position Role in SmartSolve: Manager, QA - Analytical</t>
  </si>
  <si>
    <t xml:space="preserve">Revise all active SE Stability Protocols </t>
  </si>
  <si>
    <t>reference current Product Specifications</t>
  </si>
  <si>
    <t>C 21 098</t>
  </si>
  <si>
    <t>Revise Product Specifications for Marcoat 125 and Marcoat 125N</t>
  </si>
  <si>
    <t>C 21 099</t>
  </si>
  <si>
    <t>C 21 097</t>
  </si>
  <si>
    <t>Replace motor on F0020, right compressed air compressor.</t>
  </si>
  <si>
    <t>failed motor</t>
  </si>
  <si>
    <t>C 21 100</t>
  </si>
  <si>
    <t>Remove the Mapping role from the person record for CF in SmartSolve.</t>
  </si>
  <si>
    <t>C 21 101</t>
  </si>
  <si>
    <t>Revise SOP T-52 Rev 2 to Rev 3</t>
  </si>
  <si>
    <t>C 21 102</t>
  </si>
  <si>
    <t>Revise Product Specifications, PS/3954/001, -002.00 and Stability Protocols, SP/3954/002.01 and SP/4112/001.00</t>
  </si>
  <si>
    <t>Change Appearance specification and instructions</t>
  </si>
  <si>
    <t>C 21 103</t>
  </si>
  <si>
    <t>Evonik</t>
  </si>
  <si>
    <t>RD</t>
  </si>
  <si>
    <t>Revise PlasACRYL T20 and PlasACRYL HTP20 finish product labels for logo, distributor verbiage and font</t>
  </si>
  <si>
    <t>C 21 104</t>
  </si>
  <si>
    <t>Create master batch record for variable batch size of PlasACRYL</t>
  </si>
  <si>
    <t>Rush client order</t>
  </si>
  <si>
    <t>Start</t>
  </si>
  <si>
    <t>End</t>
  </si>
  <si>
    <t>Total Year</t>
  </si>
  <si>
    <t>Q1</t>
  </si>
  <si>
    <t>Q2</t>
  </si>
  <si>
    <t>Q3</t>
  </si>
  <si>
    <t>Q4</t>
  </si>
  <si>
    <t>Cycle Time</t>
  </si>
  <si>
    <t>a</t>
  </si>
  <si>
    <t>b</t>
  </si>
  <si>
    <t>c</t>
  </si>
  <si>
    <t>e</t>
  </si>
  <si>
    <t>f</t>
  </si>
  <si>
    <t>g</t>
  </si>
  <si>
    <t>h</t>
  </si>
  <si>
    <t>i</t>
  </si>
  <si>
    <t>j</t>
  </si>
  <si>
    <t>k</t>
  </si>
  <si>
    <t>l</t>
  </si>
  <si>
    <t>m</t>
  </si>
  <si>
    <t>n</t>
  </si>
  <si>
    <t>o</t>
  </si>
  <si>
    <t>p</t>
  </si>
  <si>
    <t>q</t>
  </si>
  <si>
    <t>r</t>
  </si>
  <si>
    <t>s</t>
  </si>
  <si>
    <t>Column guide:</t>
  </si>
  <si>
    <t>Charts:</t>
  </si>
  <si>
    <t>Total</t>
  </si>
  <si>
    <t>total</t>
  </si>
  <si>
    <t>C 21 105</t>
  </si>
  <si>
    <t>Install required utilities for 3 new Agilent HPLC systems in the lab and add waste line.</t>
  </si>
  <si>
    <t>C 21 106</t>
  </si>
  <si>
    <t>Add three new Agilent HPLC systems to Empower</t>
  </si>
  <si>
    <t>C 21 107</t>
  </si>
  <si>
    <t>Replace condenser motor under warranty for HVAC F0046</t>
  </si>
  <si>
    <t>repair</t>
  </si>
  <si>
    <t>C 21 108</t>
  </si>
  <si>
    <t>Replace condenser motor for HVAC F0006</t>
  </si>
  <si>
    <t>C 21 109</t>
  </si>
  <si>
    <t>Revise SOP A-36 Rev 1 to Rev 2</t>
  </si>
  <si>
    <t>C 21 110</t>
  </si>
  <si>
    <t>Revise SOP T-12 Rev 3 to Rev 4</t>
  </si>
  <si>
    <t>C 21 111</t>
  </si>
  <si>
    <t>Create EHS-SOP-001-rev.00 and make SOP S-23 obsolete</t>
  </si>
  <si>
    <t>new EHS procedure</t>
  </si>
  <si>
    <t>C 21 112</t>
  </si>
  <si>
    <t>Add E-92_HO course to the QC Swabbing role in SmartSolve</t>
  </si>
  <si>
    <t>per CAPA 21-024 #1</t>
  </si>
  <si>
    <t>C 21 113</t>
  </si>
  <si>
    <t>Revise CA/4098/001.00 to .01</t>
  </si>
  <si>
    <t xml:space="preserve">Correct related substance results </t>
  </si>
  <si>
    <t>C 21 114</t>
  </si>
  <si>
    <t>Revise AM/3678/001.04 to .05</t>
  </si>
  <si>
    <t>Add new dosage</t>
  </si>
  <si>
    <t>C 21 115</t>
  </si>
  <si>
    <t>Revise SOP E-92 Rev 0 to Rev 1</t>
  </si>
  <si>
    <t>C 21 116</t>
  </si>
  <si>
    <t>C 21 117</t>
  </si>
  <si>
    <t>no longer applicable</t>
  </si>
  <si>
    <t>Remove QC Swabbing role as training requirement for M.Huffort in SmartSolve.</t>
  </si>
  <si>
    <t>C 21 118</t>
  </si>
  <si>
    <t>EHS-SOP-002, Respiratory Protection Program, Rev. 00 to be added as training requirement in SmartSolve.</t>
  </si>
  <si>
    <t>Create EHS-GUI-001-rev.00 and make SOP S-16 obsolete</t>
  </si>
  <si>
    <t>C 21 119</t>
  </si>
  <si>
    <t>Correct Water Content Method</t>
  </si>
  <si>
    <t>Revise SP/5049/001-004.00</t>
  </si>
  <si>
    <t>C 21 120</t>
  </si>
  <si>
    <t>Revise AM/4108/001.03 to .04</t>
  </si>
  <si>
    <t>Add contamination precautions</t>
  </si>
  <si>
    <t>JM</t>
  </si>
  <si>
    <t>C 21 121</t>
  </si>
  <si>
    <t>based on toxicology data</t>
  </si>
  <si>
    <t>Revise Product Specifications (PS/3896/001 -006) and Certificate of Analysis (CA/5046/001) related substance specification</t>
  </si>
  <si>
    <t>Revise AM/3763/003.05 to .06</t>
  </si>
  <si>
    <t>Add stability and update formatting</t>
  </si>
  <si>
    <t>C 21 122</t>
  </si>
  <si>
    <t>C 21 123</t>
  </si>
  <si>
    <t>Pace SOP</t>
  </si>
  <si>
    <t>Add SOP GLP1 to SmartSolve as a policy with training roles to be same as for SOP Q-35.</t>
  </si>
  <si>
    <t>C 21 124</t>
  </si>
  <si>
    <t>extend stability to include 30 and 36 months</t>
  </si>
  <si>
    <t>Revise SP/3928/005.00 to .01</t>
  </si>
  <si>
    <t>C 21 125</t>
  </si>
  <si>
    <t>no longer applicable to her position</t>
  </si>
  <si>
    <t>Pace</t>
  </si>
  <si>
    <t>Remove the EHS Management role from person record of Mscullion in SmartSolve.</t>
  </si>
  <si>
    <t>C 21 126</t>
  </si>
  <si>
    <t>replace electrical cord for disintegration bath A106</t>
  </si>
  <si>
    <t>C 21 127</t>
  </si>
  <si>
    <t>Revise SOP F-08 Rev 3 to Rev 4</t>
  </si>
  <si>
    <t>C 21 128</t>
  </si>
  <si>
    <t>Revise AR/4002/001.00 to .01</t>
  </si>
  <si>
    <t>clarify placebo typo</t>
  </si>
  <si>
    <t>C 21 129</t>
  </si>
  <si>
    <t>To document required training</t>
  </si>
  <si>
    <t>Create SOP L49_HO course and add it to Analytical Dev_HO and QA-Analytical_HO training roles in SmartSolve.</t>
  </si>
  <si>
    <t>C 21 130</t>
  </si>
  <si>
    <t xml:space="preserve">Stability Protocol SP/4110/002.01 for CRN04777 Solutions revised to version .02 </t>
  </si>
  <si>
    <t>Protocol revision</t>
  </si>
  <si>
    <t>C 21 131</t>
  </si>
  <si>
    <t>Revise AM/3935/003.06 to .07</t>
  </si>
  <si>
    <t>add higher doses</t>
  </si>
  <si>
    <t>C 21 132</t>
  </si>
  <si>
    <t>Revise TR/5046/002.00 to .01</t>
  </si>
  <si>
    <t>correct typo- PS version</t>
  </si>
  <si>
    <t>C 21 133</t>
  </si>
  <si>
    <t>New job responsibilities</t>
  </si>
  <si>
    <t>Assign additional training roles in SmartSolve to Glewis, JD’Agnese and JMusco.</t>
  </si>
  <si>
    <t>C 21 134</t>
  </si>
  <si>
    <t>Decommission the CapPlusTech CF72v2 Automatic Capsule Filling Machine (L456) and make SOP E-85 obsolete</t>
  </si>
  <si>
    <t>C 21 135</t>
  </si>
  <si>
    <t>Revise PS/5047/001.00 to .01</t>
  </si>
  <si>
    <t>per client request for clarity</t>
  </si>
  <si>
    <t>C 21 136</t>
  </si>
  <si>
    <t>Revise PS/5047/002.00 to .01</t>
  </si>
  <si>
    <t>C 21 137</t>
  </si>
  <si>
    <t>Revise SP/4112/001.00 to .01</t>
  </si>
  <si>
    <t>change Dissolution criteria</t>
  </si>
  <si>
    <t>C 21 138</t>
  </si>
  <si>
    <t>update product names and Related Substances criteria</t>
  </si>
  <si>
    <t>Revise PS/4142/002, -003, -004.00 to .01</t>
  </si>
  <si>
    <t>C 21 139</t>
  </si>
  <si>
    <t>Replace hood exhaust system in low A-lab A111, asset L292</t>
  </si>
  <si>
    <t>Compliance w/ Pace Safety requirements</t>
  </si>
  <si>
    <t>C 21 140</t>
  </si>
  <si>
    <t>Revise AM/4024/001.01 to .02</t>
  </si>
  <si>
    <t>change USP Plate Count system suitability criteria</t>
  </si>
  <si>
    <t>C 21 141</t>
  </si>
  <si>
    <t>Revise AM/4108/002.04 to .05</t>
  </si>
  <si>
    <t>per CAPA 21-041</t>
  </si>
  <si>
    <t>JPM</t>
  </si>
  <si>
    <t>C 21 142</t>
  </si>
  <si>
    <t>per CAPA 21-042</t>
  </si>
  <si>
    <t>C 21 143</t>
  </si>
  <si>
    <t>per CAPA 21-033</t>
  </si>
  <si>
    <t>C 21 144</t>
  </si>
  <si>
    <t>Revise AM/3745/003.04 to .05</t>
  </si>
  <si>
    <t>Revise SOP T-09 Rev 5 to Rev 6</t>
  </si>
  <si>
    <t xml:space="preserve">C 21 145 </t>
  </si>
  <si>
    <t>Update DOM information</t>
  </si>
  <si>
    <t>Update DOM information for SP/5014</t>
  </si>
  <si>
    <t>C 21 146</t>
  </si>
  <si>
    <t>Installed LabVantage LIMS Systems - all environments</t>
  </si>
  <si>
    <t>Purchase and install additional licenses</t>
  </si>
  <si>
    <t>C 21 147</t>
  </si>
  <si>
    <t>Revise SOP E-23 Rev 3 to Rev 4</t>
  </si>
  <si>
    <t>C 21 148</t>
  </si>
  <si>
    <t>Revise SOP T-14 Rev 2 to Rev 3</t>
  </si>
  <si>
    <t>C 21 149</t>
  </si>
  <si>
    <t>Revise SOP Q-38 Rev 0 to Rev 1, Management Review of the Pharmaceutical Quality System</t>
  </si>
  <si>
    <t>C 21 150</t>
  </si>
  <si>
    <t>Revise SOP A-06 Rev 3 to Rev 4, Centrifuges</t>
  </si>
  <si>
    <t>C 21 151</t>
  </si>
  <si>
    <t>Revise SP/4090/001, SP/5049/001-0004.00 to .01</t>
  </si>
  <si>
    <t>correct # of water determinations required</t>
  </si>
  <si>
    <t>C 21 152</t>
  </si>
  <si>
    <t>Remove the QC Swabbing training role from the SmartSolve person record of L. Forcellini.</t>
  </si>
  <si>
    <t>C 21 153</t>
  </si>
  <si>
    <t>RM/3808/004 Rev 00, Water For Injection (WFI) Quality Water</t>
  </si>
  <si>
    <t>per CAPA 21-038</t>
  </si>
  <si>
    <t>C 21 154</t>
  </si>
  <si>
    <t>Revise AM/3729/003.05 to .06</t>
  </si>
  <si>
    <t>per CAPA 21-040</t>
  </si>
  <si>
    <t>no longer pertinent</t>
  </si>
  <si>
    <t>C 21 155</t>
  </si>
  <si>
    <t>Install a 208V 20amp circuit in room A112 for new dishwasher</t>
  </si>
  <si>
    <t>required for new equipment</t>
  </si>
  <si>
    <t>C 21 156</t>
  </si>
  <si>
    <t>Revise SOP E-14 Rev 3 to Rev 4</t>
  </si>
  <si>
    <t>C 21 157</t>
  </si>
  <si>
    <t>based on Lace5 failure</t>
  </si>
  <si>
    <t>Replaced drives and restored HPLC systems</t>
  </si>
  <si>
    <t>C 21 158</t>
  </si>
  <si>
    <t>Revise PS/5074/002.00 and -003.00</t>
  </si>
  <si>
    <t>Correct Uniformity of Dosage test</t>
  </si>
  <si>
    <t>C 21 159</t>
  </si>
  <si>
    <t>Revise AM/3745/003.05 to .06</t>
  </si>
  <si>
    <t>Correct impurity name</t>
  </si>
  <si>
    <t>C 21 160</t>
  </si>
  <si>
    <t>Revise PS/4054/002.00, AM/3801/002.05, CA/4057/007.00</t>
  </si>
  <si>
    <t>C 21 161</t>
  </si>
  <si>
    <t>Revise SOP A-08 Rev 4 to Rev 5</t>
  </si>
  <si>
    <t>per MF/2861/005</t>
  </si>
  <si>
    <t>C 21 162</t>
  </si>
  <si>
    <t>C 21 163</t>
  </si>
  <si>
    <t>Replace 2 boilers in basement (F0021 for 36" coating pan in room 118 and F0022 for kettles in rooms 127 and 128).</t>
  </si>
  <si>
    <t>due to flood damage</t>
  </si>
  <si>
    <t>Replace all 4 water heaters in basement (3 gas and one electric)</t>
  </si>
  <si>
    <t>C 21 164</t>
  </si>
  <si>
    <t xml:space="preserve">SP/5077/001.00 for 1 mg and 5 mg ATI-2138 Tablets and Placebo will be revised </t>
  </si>
  <si>
    <t>Add ID testing</t>
  </si>
  <si>
    <t>C 21 165</t>
  </si>
  <si>
    <t>PAPR Guide EHS-GUI-002-rev.00</t>
  </si>
  <si>
    <t>new guidance</t>
  </si>
  <si>
    <t>C 21 166</t>
  </si>
  <si>
    <t>client request to update microbial specfication</t>
  </si>
  <si>
    <t>Revise PS/4142/001, -002, -003, -004.01 to .02</t>
  </si>
  <si>
    <t>C 21 167</t>
  </si>
  <si>
    <t>condenser fan seized overnight.</t>
  </si>
  <si>
    <t>Repair stability chamber A127</t>
  </si>
  <si>
    <t>C 21 168</t>
  </si>
  <si>
    <t>Revise SOP E-25 Rev 4 to Rev 5</t>
  </si>
  <si>
    <t>C 21 169</t>
  </si>
  <si>
    <t xml:space="preserve">Revise SOP A-07 Rev 6 to Rev 7 </t>
  </si>
  <si>
    <t>C 21 170</t>
  </si>
  <si>
    <t>new glassware washer</t>
  </si>
  <si>
    <t>C 21 171</t>
  </si>
  <si>
    <t>revise SP/3950/002.00 to .01 &amp; update to Pace format</t>
  </si>
  <si>
    <t xml:space="preserve">Add 48 month pull, client request </t>
  </si>
  <si>
    <t>client request</t>
  </si>
  <si>
    <t>C 21 172</t>
  </si>
  <si>
    <t>revise &amp; update AR/3803/012.00 to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</si>
</sst>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yy;@"/>
    <numFmt numFmtId="165" formatCode="mm/dd/yy;@"/>
    <numFmt numFmtId="166" formatCode="m/d/yy;@"/>
  </numFmts>
  <fonts count="47" x14ac:knownFonts="1">
    <font>
      <sz val="10"/>
      <name val="Arial"/>
    </font>
    <font>
      <sz val="11"/>
      <color theme="1"/>
      <name val="Calibri"/>
      <family val="2"/>
      <scheme val="minor"/>
    </font>
    <font>
      <sz val="10"/>
      <color theme="1"/>
      <name val="Century Gothic"/>
      <family val="2"/>
    </font>
    <font>
      <sz val="10"/>
      <name val="Arial"/>
      <family val="2"/>
    </font>
    <font>
      <sz val="8"/>
      <name val="Arial"/>
      <family val="2"/>
    </font>
    <font>
      <b/>
      <sz val="10"/>
      <name val="Arial"/>
      <family val="2"/>
    </font>
    <font>
      <b/>
      <sz val="36"/>
      <name val="Arial"/>
      <family val="2"/>
    </font>
    <font>
      <sz val="10"/>
      <color indexed="10"/>
      <name val="Arial"/>
      <family val="2"/>
    </font>
    <font>
      <sz val="10"/>
      <name val="Arial"/>
      <family val="2"/>
    </font>
    <font>
      <b/>
      <sz val="24"/>
      <name val="Arial"/>
      <family val="2"/>
    </font>
    <font>
      <sz val="20"/>
      <name val="Arial"/>
      <family val="2"/>
    </font>
    <font>
      <b/>
      <sz val="20"/>
      <name val="Century Gothic"/>
      <family val="2"/>
    </font>
    <font>
      <sz val="20"/>
      <name val="Century Gothic"/>
      <family val="2"/>
    </font>
    <font>
      <b/>
      <sz val="10"/>
      <name val="Century Gothic"/>
      <family val="2"/>
    </font>
    <font>
      <sz val="10"/>
      <name val="Century Gothic"/>
      <family val="2"/>
    </font>
    <font>
      <sz val="10"/>
      <color indexed="10"/>
      <name val="Century Gothic"/>
      <family val="2"/>
    </font>
    <font>
      <sz val="10"/>
      <color indexed="16"/>
      <name val="Arial"/>
      <family val="2"/>
    </font>
    <font>
      <sz val="10"/>
      <name val="Arial"/>
      <family val="2"/>
    </font>
    <font>
      <sz val="8"/>
      <color indexed="81"/>
      <name val="Tahoma"/>
      <family val="2"/>
    </font>
    <font>
      <b/>
      <sz val="8"/>
      <color indexed="81"/>
      <name val="Tahoma"/>
      <family val="2"/>
    </font>
    <font>
      <sz val="9"/>
      <name val="Century Gothic"/>
      <family val="2"/>
    </font>
    <font>
      <sz val="11"/>
      <name val="Century Gothic"/>
      <family val="2"/>
    </font>
    <font>
      <sz val="11"/>
      <name val="Arial"/>
      <family val="2"/>
    </font>
    <font>
      <sz val="10"/>
      <name val="Calibri"/>
      <family val="2"/>
    </font>
    <font>
      <b/>
      <sz val="12"/>
      <name val="Century Gothic"/>
      <family val="2"/>
    </font>
    <font>
      <sz val="12"/>
      <name val="Arial"/>
      <family val="2"/>
    </font>
    <font>
      <sz val="10"/>
      <color rgb="FFC00000"/>
      <name val="Arial"/>
      <family val="2"/>
    </font>
    <font>
      <sz val="10"/>
      <color theme="1"/>
      <name val="Century Gothic"/>
      <family val="2"/>
    </font>
    <font>
      <sz val="8"/>
      <name val="Century Gothic"/>
      <family val="2"/>
    </font>
    <font>
      <sz val="8"/>
      <color theme="1"/>
      <name val="Century Gothic"/>
      <family val="2"/>
    </font>
    <font>
      <strike/>
      <sz val="8"/>
      <color theme="1"/>
      <name val="Century Gothic"/>
      <family val="2"/>
    </font>
    <font>
      <sz val="11"/>
      <color rgb="FF3F3F76"/>
      <name val="Calibri"/>
      <family val="2"/>
      <scheme val="minor"/>
    </font>
    <font>
      <u/>
      <sz val="10"/>
      <name val="Arial"/>
      <family val="2"/>
    </font>
    <font>
      <sz val="10"/>
      <color theme="1"/>
      <name val="Arial"/>
      <family val="2"/>
    </font>
    <font>
      <b/>
      <sz val="10"/>
      <color theme="0"/>
      <name val="Century Gothic"/>
      <family val="2"/>
    </font>
    <font>
      <sz val="10"/>
      <name val="Century Gothic"/>
      <family val="2"/>
    </font>
    <font>
      <sz val="10"/>
      <color theme="5" tint="-0.249977111117893"/>
      <name val="Arial"/>
      <family val="2"/>
    </font>
    <font>
      <sz val="8"/>
      <color theme="5" tint="-0.249977111117893"/>
      <name val="Arial"/>
      <family val="2"/>
    </font>
    <font>
      <b/>
      <sz val="10"/>
      <color theme="5" tint="-0.249977111117893"/>
      <name val="Century Gothic"/>
      <family val="2"/>
    </font>
    <font>
      <sz val="10"/>
      <color theme="5" tint="-0.249977111117893"/>
      <name val="Calibri"/>
      <family val="2"/>
    </font>
    <font>
      <sz val="8"/>
      <name val="Arial"/>
      <family val="2"/>
    </font>
    <font>
      <vertAlign val="superscript"/>
      <sz val="10"/>
      <name val="Arial"/>
      <family val="2"/>
    </font>
    <font>
      <vertAlign val="subscript"/>
      <sz val="10"/>
      <name val="Arial"/>
      <family val="2"/>
    </font>
    <font>
      <vertAlign val="superscript"/>
      <sz val="10"/>
      <color theme="1"/>
      <name val="Arial"/>
      <family val="2"/>
    </font>
    <font>
      <sz val="10"/>
      <name val="Arial"/>
      <family val="2"/>
    </font>
    <font>
      <sz val="10"/>
      <color theme="1"/>
      <name val="Arial"/>
    </font>
    <font>
      <sz val="10"/>
      <color theme="5" tint="-0.249977111117893"/>
      <name val="Arial"/>
    </font>
  </fonts>
  <fills count="14">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C99"/>
      </patternFill>
    </fill>
    <fill>
      <patternFill patternType="solid">
        <fgColor theme="5" tint="0.79998168889431442"/>
        <bgColor theme="5" tint="0.79998168889431442"/>
      </patternFill>
    </fill>
    <fill>
      <patternFill patternType="solid">
        <fgColor theme="5"/>
        <bgColor theme="5"/>
      </patternFill>
    </fill>
  </fills>
  <borders count="30">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indexed="64"/>
      </left>
      <right style="thin">
        <color indexed="64"/>
      </right>
      <top/>
      <bottom style="thin">
        <color rgb="FF000000"/>
      </bottom>
      <diagonal/>
    </border>
    <border>
      <left/>
      <right/>
      <top style="thin">
        <color indexed="64"/>
      </top>
      <bottom style="thin">
        <color theme="5"/>
      </bottom>
      <diagonal/>
    </border>
    <border>
      <left/>
      <right/>
      <top/>
      <bottom style="thin">
        <color theme="5"/>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theme="5"/>
      </top>
      <bottom/>
      <diagonal/>
    </border>
    <border>
      <left/>
      <right/>
      <top style="thin">
        <color theme="5"/>
      </top>
      <bottom/>
      <diagonal/>
    </border>
    <border>
      <left style="thin">
        <color indexed="64"/>
      </left>
      <right style="thin">
        <color indexed="64"/>
      </right>
      <top style="thin">
        <color rgb="FF000000"/>
      </top>
      <bottom style="thin">
        <color theme="5" tint="0.39997558519241921"/>
      </bottom>
      <diagonal/>
    </border>
    <border>
      <left style="thin">
        <color indexed="64"/>
      </left>
      <right style="thin">
        <color indexed="64"/>
      </right>
      <top style="thin">
        <color rgb="FF000000"/>
      </top>
      <bottom style="thin">
        <color indexed="64"/>
      </bottom>
      <diagonal/>
    </border>
    <border>
      <left style="thin">
        <color indexed="64"/>
      </left>
      <right style="thin">
        <color indexed="64"/>
      </right>
      <top style="thin">
        <color rgb="FF000000"/>
      </top>
      <bottom style="thin">
        <color rgb="FF000000"/>
      </bottom>
      <diagonal/>
    </border>
  </borders>
  <cellStyleXfs count="4">
    <xf numFmtId="0" fontId="0" fillId="0" borderId="0"/>
    <xf numFmtId="0" fontId="1" fillId="0" borderId="0"/>
    <xf numFmtId="0" fontId="31" fillId="11" borderId="15" applyNumberFormat="0" applyAlignment="0" applyProtection="0"/>
    <xf numFmtId="9" fontId="44" fillId="0" borderId="0" applyFont="0" applyFill="0" applyBorder="0" applyAlignment="0" applyProtection="0"/>
  </cellStyleXfs>
  <cellXfs count="567">
    <xf numFmtId="0" fontId="0" fillId="0" borderId="0" xfId="0"/>
    <xf numFmtId="0" fontId="0" fillId="0" borderId="1" xfId="0" applyBorder="1" applyAlignment="1">
      <alignment horizontal="center"/>
    </xf>
    <xf numFmtId="0" fontId="0" fillId="0" borderId="1" xfId="0" applyBorder="1"/>
    <xf numFmtId="0" fontId="0" fillId="0" borderId="2" xfId="0" applyBorder="1"/>
    <xf numFmtId="14" fontId="0" fillId="0" borderId="1" xfId="0" applyNumberFormat="1" applyBorder="1" applyAlignment="1">
      <alignment horizontal="center"/>
    </xf>
    <xf numFmtId="0" fontId="5" fillId="0" borderId="3" xfId="0" applyFont="1" applyBorder="1" applyAlignment="1">
      <alignment horizontal="center"/>
    </xf>
    <xf numFmtId="0" fontId="5" fillId="0" borderId="3" xfId="0" applyFont="1" applyBorder="1" applyAlignment="1">
      <alignment horizontal="center" wrapText="1"/>
    </xf>
    <xf numFmtId="0" fontId="0" fillId="0" borderId="0" xfId="0" applyAlignment="1">
      <alignment horizontal="center"/>
    </xf>
    <xf numFmtId="0" fontId="0" fillId="0" borderId="4" xfId="0" applyBorder="1" applyAlignment="1">
      <alignment horizontal="center"/>
    </xf>
    <xf numFmtId="0" fontId="0" fillId="0" borderId="0" xfId="0" applyBorder="1" applyAlignment="1">
      <alignment horizontal="center"/>
    </xf>
    <xf numFmtId="14" fontId="0" fillId="0" borderId="0" xfId="0" applyNumberFormat="1" applyBorder="1" applyAlignment="1">
      <alignment horizontal="center"/>
    </xf>
    <xf numFmtId="0" fontId="0" fillId="0" borderId="5" xfId="0" applyFill="1" applyBorder="1" applyAlignment="1">
      <alignment horizontal="center"/>
    </xf>
    <xf numFmtId="0" fontId="0" fillId="0" borderId="1" xfId="0" applyFill="1" applyBorder="1" applyAlignment="1">
      <alignment horizontal="center"/>
    </xf>
    <xf numFmtId="14" fontId="0" fillId="0" borderId="0" xfId="0" applyNumberFormat="1" applyAlignment="1">
      <alignment horizontal="center"/>
    </xf>
    <xf numFmtId="0" fontId="0" fillId="0" borderId="0" xfId="0" applyFill="1" applyBorder="1" applyAlignment="1">
      <alignment horizontal="center"/>
    </xf>
    <xf numFmtId="14" fontId="0" fillId="0" borderId="0" xfId="0" applyNumberFormat="1"/>
    <xf numFmtId="14" fontId="0" fillId="0" borderId="0" xfId="0" applyNumberFormat="1" applyBorder="1"/>
    <xf numFmtId="0" fontId="8" fillId="0" borderId="0" xfId="0" applyFont="1"/>
    <xf numFmtId="0" fontId="0" fillId="0" borderId="2" xfId="0"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center" wrapText="1"/>
    </xf>
    <xf numFmtId="0" fontId="0" fillId="2" borderId="0" xfId="0" applyFill="1"/>
    <xf numFmtId="0" fontId="0" fillId="0" borderId="3" xfId="0" applyFill="1" applyBorder="1" applyAlignment="1">
      <alignment horizontal="center"/>
    </xf>
    <xf numFmtId="0" fontId="0" fillId="0" borderId="3" xfId="0" applyBorder="1" applyAlignment="1">
      <alignment horizontal="center"/>
    </xf>
    <xf numFmtId="14" fontId="0" fillId="0" borderId="3" xfId="0" applyNumberFormat="1" applyBorder="1" applyAlignment="1">
      <alignment horizontal="center"/>
    </xf>
    <xf numFmtId="0" fontId="0" fillId="3" borderId="3" xfId="0" applyFill="1" applyBorder="1" applyAlignment="1">
      <alignment horizontal="center"/>
    </xf>
    <xf numFmtId="14" fontId="0" fillId="3" borderId="3" xfId="0" applyNumberFormat="1" applyFill="1" applyBorder="1" applyAlignment="1">
      <alignment horizontal="center"/>
    </xf>
    <xf numFmtId="0" fontId="3" fillId="0" borderId="3" xfId="0" applyFont="1" applyFill="1" applyBorder="1" applyAlignment="1">
      <alignment horizontal="center"/>
    </xf>
    <xf numFmtId="0" fontId="0" fillId="0" borderId="3" xfId="0" applyFill="1" applyBorder="1" applyAlignment="1">
      <alignment horizontal="center" vertical="center"/>
    </xf>
    <xf numFmtId="0" fontId="0" fillId="0" borderId="7" xfId="0" applyFill="1" applyBorder="1" applyAlignment="1">
      <alignment horizontal="center"/>
    </xf>
    <xf numFmtId="0" fontId="0" fillId="0" borderId="2" xfId="0" applyFill="1" applyBorder="1" applyAlignment="1">
      <alignment horizontal="center"/>
    </xf>
    <xf numFmtId="0" fontId="7" fillId="0" borderId="3" xfId="0" applyFont="1" applyBorder="1" applyAlignment="1">
      <alignment horizontal="center"/>
    </xf>
    <xf numFmtId="14" fontId="0" fillId="0" borderId="3" xfId="0" applyNumberFormat="1" applyBorder="1" applyAlignment="1">
      <alignment horizontal="center" vertical="center"/>
    </xf>
    <xf numFmtId="14" fontId="3" fillId="0" borderId="3" xfId="0" applyNumberFormat="1" applyFont="1" applyBorder="1" applyAlignment="1">
      <alignment horizontal="center"/>
    </xf>
    <xf numFmtId="0" fontId="0" fillId="0" borderId="3" xfId="0" applyBorder="1" applyAlignment="1">
      <alignment horizontal="center" vertical="center"/>
    </xf>
    <xf numFmtId="14" fontId="8" fillId="0" borderId="1" xfId="0" applyNumberFormat="1" applyFont="1" applyBorder="1" applyAlignment="1">
      <alignment horizontal="center"/>
    </xf>
    <xf numFmtId="0" fontId="0" fillId="0" borderId="8" xfId="0" applyBorder="1" applyAlignment="1">
      <alignment horizontal="center"/>
    </xf>
    <xf numFmtId="0" fontId="5" fillId="0" borderId="6" xfId="0" applyFont="1" applyBorder="1" applyAlignment="1">
      <alignment horizontal="center"/>
    </xf>
    <xf numFmtId="0" fontId="8" fillId="0" borderId="6" xfId="0" applyFont="1" applyBorder="1" applyAlignment="1">
      <alignment horizontal="center"/>
    </xf>
    <xf numFmtId="0" fontId="0" fillId="0" borderId="3" xfId="0" applyBorder="1" applyAlignment="1">
      <alignment horizontal="center" wrapText="1"/>
    </xf>
    <xf numFmtId="0" fontId="0" fillId="0" borderId="3" xfId="0" applyBorder="1" applyAlignment="1">
      <alignment horizontal="center" vertical="center" wrapText="1"/>
    </xf>
    <xf numFmtId="0" fontId="3" fillId="0" borderId="3" xfId="0" applyFont="1" applyBorder="1" applyAlignment="1">
      <alignment horizontal="center"/>
    </xf>
    <xf numFmtId="16" fontId="0" fillId="0" borderId="6" xfId="0" applyNumberFormat="1" applyBorder="1" applyAlignment="1">
      <alignment horizontal="center"/>
    </xf>
    <xf numFmtId="0" fontId="8" fillId="0" borderId="3" xfId="0" applyFont="1" applyBorder="1" applyAlignment="1">
      <alignment horizontal="center"/>
    </xf>
    <xf numFmtId="0" fontId="8" fillId="0" borderId="3" xfId="0" applyFont="1" applyBorder="1" applyAlignment="1">
      <alignment horizontal="center" wrapText="1"/>
    </xf>
    <xf numFmtId="0" fontId="0" fillId="0" borderId="7" xfId="0" applyBorder="1" applyAlignment="1">
      <alignment horizontal="center"/>
    </xf>
    <xf numFmtId="0" fontId="0" fillId="0" borderId="6" xfId="0" applyBorder="1" applyAlignment="1">
      <alignment horizontal="center"/>
    </xf>
    <xf numFmtId="0" fontId="0" fillId="0" borderId="9" xfId="0" applyBorder="1" applyAlignment="1">
      <alignment horizontal="center"/>
    </xf>
    <xf numFmtId="0" fontId="0" fillId="0" borderId="6" xfId="0" applyFill="1" applyBorder="1" applyAlignment="1">
      <alignment horizontal="center" vertical="center" wrapText="1"/>
    </xf>
    <xf numFmtId="0" fontId="0" fillId="0" borderId="6" xfId="0" applyBorder="1" applyAlignment="1">
      <alignment horizontal="center" wrapText="1"/>
    </xf>
    <xf numFmtId="0" fontId="0" fillId="3" borderId="6" xfId="0" applyFill="1" applyBorder="1" applyAlignment="1">
      <alignment horizontal="center"/>
    </xf>
    <xf numFmtId="0" fontId="0" fillId="0" borderId="6" xfId="0" applyBorder="1" applyAlignment="1">
      <alignment horizontal="center" vertical="center" wrapText="1"/>
    </xf>
    <xf numFmtId="0" fontId="3" fillId="0" borderId="6" xfId="0" applyFont="1" applyBorder="1" applyAlignment="1">
      <alignment horizontal="center"/>
    </xf>
    <xf numFmtId="0" fontId="0" fillId="0" borderId="6" xfId="0" applyFill="1" applyBorder="1" applyAlignment="1">
      <alignment horizontal="center"/>
    </xf>
    <xf numFmtId="0" fontId="0" fillId="0" borderId="10" xfId="0" applyBorder="1" applyAlignment="1">
      <alignment horizontal="center"/>
    </xf>
    <xf numFmtId="14" fontId="0" fillId="0" borderId="3" xfId="0" applyNumberFormat="1" applyFill="1" applyBorder="1" applyAlignment="1">
      <alignment horizontal="center"/>
    </xf>
    <xf numFmtId="0" fontId="0" fillId="2" borderId="1" xfId="0" applyFill="1" applyBorder="1" applyAlignment="1"/>
    <xf numFmtId="0" fontId="0" fillId="2" borderId="1" xfId="0" applyFill="1" applyBorder="1" applyAlignment="1">
      <alignment horizontal="left"/>
    </xf>
    <xf numFmtId="14" fontId="5" fillId="0" borderId="3" xfId="0" applyNumberFormat="1" applyFont="1" applyBorder="1" applyAlignment="1">
      <alignment horizontal="center"/>
    </xf>
    <xf numFmtId="0" fontId="13" fillId="0" borderId="6" xfId="0" applyFont="1" applyBorder="1" applyAlignment="1">
      <alignment horizontal="center" wrapText="1"/>
    </xf>
    <xf numFmtId="0" fontId="14" fillId="0" borderId="6" xfId="0" applyFont="1" applyBorder="1" applyAlignment="1">
      <alignment horizontal="center" wrapText="1"/>
    </xf>
    <xf numFmtId="0" fontId="14" fillId="0" borderId="6" xfId="0" applyFont="1" applyBorder="1" applyAlignment="1">
      <alignment horizontal="center" vertical="center" wrapText="1"/>
    </xf>
    <xf numFmtId="0" fontId="14" fillId="0" borderId="3" xfId="0" applyFont="1" applyBorder="1" applyAlignment="1">
      <alignment horizontal="center" wrapText="1"/>
    </xf>
    <xf numFmtId="0" fontId="14" fillId="0" borderId="3" xfId="0" applyFont="1" applyBorder="1" applyAlignment="1">
      <alignment horizontal="center" vertical="center" wrapText="1"/>
    </xf>
    <xf numFmtId="0" fontId="14" fillId="0" borderId="6" xfId="0" applyFont="1" applyFill="1" applyBorder="1" applyAlignment="1">
      <alignment horizontal="center" vertical="center" wrapText="1"/>
    </xf>
    <xf numFmtId="0" fontId="16" fillId="0" borderId="3" xfId="0" applyFont="1" applyFill="1" applyBorder="1" applyAlignment="1">
      <alignment horizontal="center"/>
    </xf>
    <xf numFmtId="0" fontId="16" fillId="0" borderId="6" xfId="0" applyFont="1" applyFill="1" applyBorder="1" applyAlignment="1">
      <alignment horizontal="center"/>
    </xf>
    <xf numFmtId="14" fontId="16" fillId="0" borderId="3" xfId="0" applyNumberFormat="1" applyFont="1" applyBorder="1" applyAlignment="1">
      <alignment horizontal="center"/>
    </xf>
    <xf numFmtId="0" fontId="16" fillId="0" borderId="3" xfId="0" applyFont="1" applyBorder="1" applyAlignment="1">
      <alignment horizontal="center"/>
    </xf>
    <xf numFmtId="0" fontId="16" fillId="0" borderId="0" xfId="0" applyFont="1"/>
    <xf numFmtId="0" fontId="3" fillId="0" borderId="0" xfId="0" applyFont="1"/>
    <xf numFmtId="0" fontId="3" fillId="0" borderId="0" xfId="0" applyFont="1" applyFill="1" applyBorder="1" applyAlignment="1">
      <alignment horizontal="center"/>
    </xf>
    <xf numFmtId="0" fontId="3" fillId="0" borderId="0" xfId="0" applyFont="1" applyAlignment="1">
      <alignment horizontal="center"/>
    </xf>
    <xf numFmtId="0" fontId="3" fillId="0" borderId="1" xfId="0" applyFont="1" applyFill="1" applyBorder="1" applyAlignment="1">
      <alignment horizontal="center"/>
    </xf>
    <xf numFmtId="0" fontId="3" fillId="0" borderId="4" xfId="0" applyFont="1" applyFill="1" applyBorder="1" applyAlignment="1">
      <alignment horizontal="center"/>
    </xf>
    <xf numFmtId="14" fontId="3" fillId="0" borderId="0" xfId="0" applyNumberFormat="1" applyFont="1"/>
    <xf numFmtId="0" fontId="12" fillId="0" borderId="0" xfId="0" applyFont="1" applyFill="1" applyAlignment="1">
      <alignment wrapText="1"/>
    </xf>
    <xf numFmtId="0" fontId="10" fillId="0" borderId="0" xfId="0" applyFont="1" applyFill="1" applyAlignment="1">
      <alignment wrapText="1"/>
    </xf>
    <xf numFmtId="0" fontId="10" fillId="0" borderId="0" xfId="0" applyFont="1" applyAlignment="1">
      <alignment wrapText="1"/>
    </xf>
    <xf numFmtId="0" fontId="13" fillId="0" borderId="3" xfId="0" applyFont="1" applyBorder="1" applyAlignment="1">
      <alignment horizontal="center" wrapText="1"/>
    </xf>
    <xf numFmtId="0" fontId="14" fillId="0" borderId="0" xfId="0" applyFont="1" applyFill="1" applyAlignment="1">
      <alignment wrapText="1"/>
    </xf>
    <xf numFmtId="0" fontId="0" fillId="0" borderId="0" xfId="0" applyFill="1" applyAlignment="1">
      <alignment wrapText="1"/>
    </xf>
    <xf numFmtId="0" fontId="0" fillId="0" borderId="0" xfId="0" applyAlignment="1">
      <alignment wrapText="1"/>
    </xf>
    <xf numFmtId="14" fontId="14" fillId="0" borderId="3" xfId="0" applyNumberFormat="1" applyFont="1" applyBorder="1" applyAlignment="1">
      <alignment horizontal="center" wrapText="1"/>
    </xf>
    <xf numFmtId="0" fontId="14" fillId="0" borderId="6" xfId="0" applyFont="1" applyFill="1" applyBorder="1" applyAlignment="1">
      <alignment horizontal="center" wrapText="1"/>
    </xf>
    <xf numFmtId="0" fontId="17" fillId="0" borderId="0" xfId="0" applyFont="1" applyFill="1" applyAlignment="1">
      <alignment wrapText="1"/>
    </xf>
    <xf numFmtId="0" fontId="17" fillId="0" borderId="0" xfId="0" applyFont="1" applyAlignment="1">
      <alignment wrapText="1"/>
    </xf>
    <xf numFmtId="0" fontId="14" fillId="0" borderId="1" xfId="0" applyFont="1" applyFill="1" applyBorder="1" applyAlignment="1">
      <alignment horizontal="left" wrapText="1"/>
    </xf>
    <xf numFmtId="0" fontId="14" fillId="0" borderId="3" xfId="0" applyFont="1" applyFill="1" applyBorder="1" applyAlignment="1">
      <alignment horizontal="center" wrapText="1"/>
    </xf>
    <xf numFmtId="0" fontId="14" fillId="0" borderId="1" xfId="0" applyFont="1" applyFill="1" applyBorder="1" applyAlignment="1">
      <alignment wrapText="1"/>
    </xf>
    <xf numFmtId="0" fontId="15" fillId="0" borderId="3" xfId="0" applyFont="1" applyFill="1" applyBorder="1" applyAlignment="1">
      <alignment horizontal="center" wrapText="1"/>
    </xf>
    <xf numFmtId="0" fontId="15" fillId="0" borderId="3" xfId="0" applyFont="1" applyBorder="1" applyAlignment="1">
      <alignment horizontal="center" wrapText="1"/>
    </xf>
    <xf numFmtId="0" fontId="14" fillId="0" borderId="3" xfId="0" applyFont="1" applyFill="1" applyBorder="1" applyAlignment="1">
      <alignment horizontal="center" vertical="center" wrapText="1"/>
    </xf>
    <xf numFmtId="14" fontId="14" fillId="0" borderId="3" xfId="0" applyNumberFormat="1" applyFont="1" applyBorder="1" applyAlignment="1">
      <alignment horizontal="center" vertical="center" wrapText="1"/>
    </xf>
    <xf numFmtId="16" fontId="14" fillId="0" borderId="6" xfId="0" applyNumberFormat="1" applyFont="1" applyBorder="1" applyAlignment="1">
      <alignment horizontal="center" wrapText="1"/>
    </xf>
    <xf numFmtId="0" fontId="14" fillId="0" borderId="0" xfId="0" applyFont="1" applyAlignment="1">
      <alignment horizontal="center" wrapText="1"/>
    </xf>
    <xf numFmtId="0" fontId="14" fillId="0" borderId="1" xfId="0" applyFont="1" applyBorder="1" applyAlignment="1">
      <alignment horizontal="center" wrapText="1"/>
    </xf>
    <xf numFmtId="0" fontId="14" fillId="0" borderId="2" xfId="0" applyFont="1" applyBorder="1" applyAlignment="1">
      <alignment horizontal="center" wrapText="1"/>
    </xf>
    <xf numFmtId="0" fontId="14" fillId="0" borderId="0" xfId="0" applyFont="1" applyAlignment="1">
      <alignment wrapText="1"/>
    </xf>
    <xf numFmtId="0" fontId="20" fillId="0" borderId="3" xfId="0" applyFont="1" applyBorder="1" applyAlignment="1">
      <alignment horizontal="center" wrapText="1"/>
    </xf>
    <xf numFmtId="0" fontId="14" fillId="4" borderId="6" xfId="0" applyFont="1" applyFill="1" applyBorder="1" applyAlignment="1">
      <alignment horizontal="center" wrapText="1"/>
    </xf>
    <xf numFmtId="0" fontId="14" fillId="4" borderId="3" xfId="0" applyFont="1" applyFill="1" applyBorder="1" applyAlignment="1">
      <alignment horizontal="center" wrapText="1"/>
    </xf>
    <xf numFmtId="0" fontId="14" fillId="4" borderId="7" xfId="0" applyFont="1" applyFill="1" applyBorder="1" applyAlignment="1">
      <alignment horizontal="center" wrapText="1"/>
    </xf>
    <xf numFmtId="0" fontId="0" fillId="0" borderId="0" xfId="0" applyAlignment="1">
      <alignment horizontal="center" wrapText="1"/>
    </xf>
    <xf numFmtId="14" fontId="14" fillId="0" borderId="3" xfId="0" applyNumberFormat="1" applyFont="1" applyFill="1" applyBorder="1" applyAlignment="1">
      <alignment horizontal="center" wrapText="1"/>
    </xf>
    <xf numFmtId="0" fontId="3" fillId="0" borderId="6" xfId="0" applyFont="1" applyFill="1" applyBorder="1" applyAlignment="1">
      <alignment horizontal="center"/>
    </xf>
    <xf numFmtId="0" fontId="0" fillId="0" borderId="0" xfId="0" applyFill="1"/>
    <xf numFmtId="0" fontId="3" fillId="0" borderId="0" xfId="0" applyFont="1" applyFill="1" applyAlignment="1">
      <alignment wrapText="1"/>
    </xf>
    <xf numFmtId="0" fontId="3" fillId="0" borderId="0" xfId="0" applyFont="1" applyAlignment="1">
      <alignment wrapText="1"/>
    </xf>
    <xf numFmtId="0" fontId="13" fillId="0" borderId="3" xfId="0" applyFont="1" applyBorder="1" applyAlignment="1">
      <alignment horizontal="center" vertical="center" wrapText="1"/>
    </xf>
    <xf numFmtId="0" fontId="13" fillId="0" borderId="6" xfId="0" applyFont="1" applyBorder="1" applyAlignment="1">
      <alignment horizontal="center" vertical="center" wrapText="1"/>
    </xf>
    <xf numFmtId="0" fontId="14" fillId="0" borderId="3" xfId="0" applyFont="1" applyBorder="1" applyAlignment="1">
      <alignment horizontal="left" vertical="center" wrapText="1"/>
    </xf>
    <xf numFmtId="14" fontId="14" fillId="0" borderId="3" xfId="0" applyNumberFormat="1"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3" xfId="0" applyFont="1" applyFill="1" applyBorder="1" applyAlignment="1">
      <alignment horizontal="center" vertical="center" wrapText="1"/>
    </xf>
    <xf numFmtId="16" fontId="14" fillId="0" borderId="6" xfId="0" applyNumberFormat="1" applyFont="1" applyBorder="1" applyAlignment="1">
      <alignment horizontal="center" vertical="center" wrapText="1"/>
    </xf>
    <xf numFmtId="0" fontId="14" fillId="0" borderId="0" xfId="0" applyFont="1" applyAlignment="1">
      <alignment horizontal="center" vertical="center" wrapText="1"/>
    </xf>
    <xf numFmtId="0" fontId="14" fillId="0" borderId="1" xfId="0" applyFont="1" applyBorder="1" applyAlignment="1">
      <alignment horizontal="center" vertical="center" wrapText="1"/>
    </xf>
    <xf numFmtId="0" fontId="14" fillId="0" borderId="0" xfId="0" applyFont="1" applyAlignment="1">
      <alignment vertical="center" wrapText="1"/>
    </xf>
    <xf numFmtId="0" fontId="13" fillId="0" borderId="6" xfId="0" applyFont="1" applyBorder="1" applyAlignment="1">
      <alignment horizontal="left" vertical="center" wrapText="1"/>
    </xf>
    <xf numFmtId="0" fontId="14" fillId="0" borderId="3" xfId="0" applyFont="1" applyFill="1" applyBorder="1" applyAlignment="1">
      <alignment horizontal="left" vertical="center" wrapText="1"/>
    </xf>
    <xf numFmtId="0" fontId="0" fillId="0" borderId="3" xfId="0" applyBorder="1" applyAlignment="1">
      <alignment horizontal="left" vertical="center" wrapText="1"/>
    </xf>
    <xf numFmtId="0" fontId="14" fillId="0" borderId="0" xfId="0" applyFont="1" applyAlignment="1">
      <alignment horizontal="left"/>
    </xf>
    <xf numFmtId="0" fontId="20" fillId="0" borderId="3" xfId="0" applyFont="1" applyBorder="1" applyAlignment="1">
      <alignment horizontal="left" vertical="center" wrapText="1"/>
    </xf>
    <xf numFmtId="0" fontId="14" fillId="0" borderId="6" xfId="0" applyFont="1" applyBorder="1" applyAlignment="1">
      <alignment horizontal="left" vertical="center" wrapText="1"/>
    </xf>
    <xf numFmtId="0" fontId="14" fillId="4" borderId="3" xfId="0" applyFont="1" applyFill="1" applyBorder="1" applyAlignment="1">
      <alignment horizontal="left" vertical="center" wrapText="1"/>
    </xf>
    <xf numFmtId="0" fontId="14" fillId="0" borderId="2" xfId="0" applyFont="1" applyBorder="1" applyAlignment="1">
      <alignment horizontal="left" vertical="center" wrapText="1"/>
    </xf>
    <xf numFmtId="0" fontId="14" fillId="0" borderId="0" xfId="0" applyFont="1" applyAlignment="1">
      <alignment horizontal="left" vertical="center" wrapText="1"/>
    </xf>
    <xf numFmtId="0" fontId="14" fillId="4" borderId="7" xfId="0" applyFont="1" applyFill="1" applyBorder="1" applyAlignment="1">
      <alignment horizontal="center" vertical="center" wrapText="1"/>
    </xf>
    <xf numFmtId="0" fontId="8" fillId="0" borderId="0" xfId="0" applyFont="1" applyAlignment="1">
      <alignment horizontal="center"/>
    </xf>
    <xf numFmtId="16" fontId="0" fillId="0" borderId="0" xfId="0" applyNumberFormat="1" applyAlignment="1">
      <alignment horizontal="center"/>
    </xf>
    <xf numFmtId="0" fontId="0" fillId="0" borderId="4" xfId="0" applyBorder="1" applyAlignment="1">
      <alignment horizontal="center" wrapText="1"/>
    </xf>
    <xf numFmtId="0" fontId="0" fillId="0" borderId="4" xfId="0" applyBorder="1" applyAlignment="1">
      <alignment horizontal="center" vertical="center" wrapText="1"/>
    </xf>
    <xf numFmtId="14" fontId="14" fillId="0" borderId="6" xfId="0" applyNumberFormat="1" applyFont="1" applyFill="1" applyBorder="1" applyAlignment="1">
      <alignment horizontal="center" vertical="center" wrapText="1"/>
    </xf>
    <xf numFmtId="0" fontId="14" fillId="0" borderId="0" xfId="0" applyFont="1" applyFill="1" applyAlignment="1">
      <alignment vertical="center" wrapText="1"/>
    </xf>
    <xf numFmtId="14" fontId="14" fillId="4" borderId="3" xfId="0" applyNumberFormat="1" applyFont="1" applyFill="1" applyBorder="1" applyAlignment="1">
      <alignment horizontal="center" vertical="center" wrapText="1"/>
    </xf>
    <xf numFmtId="0" fontId="14" fillId="4" borderId="0" xfId="0" applyFont="1" applyFill="1" applyAlignment="1">
      <alignment wrapText="1"/>
    </xf>
    <xf numFmtId="0" fontId="0" fillId="4" borderId="0" xfId="0" applyFill="1" applyAlignment="1">
      <alignment wrapText="1"/>
    </xf>
    <xf numFmtId="0" fontId="14" fillId="0" borderId="3" xfId="0" applyFont="1" applyFill="1" applyBorder="1" applyAlignment="1">
      <alignment horizontal="left" wrapText="1"/>
    </xf>
    <xf numFmtId="0" fontId="14" fillId="0" borderId="3" xfId="0" applyFont="1" applyBorder="1" applyAlignment="1">
      <alignment horizontal="left"/>
    </xf>
    <xf numFmtId="0" fontId="14" fillId="4" borderId="7" xfId="0" applyFont="1" applyFill="1" applyBorder="1" applyAlignment="1">
      <alignment horizontal="left" vertical="center" wrapText="1"/>
    </xf>
    <xf numFmtId="0" fontId="0" fillId="5" borderId="0" xfId="0" applyFill="1"/>
    <xf numFmtId="0" fontId="14" fillId="5" borderId="3" xfId="0" applyFont="1" applyFill="1" applyBorder="1" applyAlignment="1">
      <alignment horizontal="center" wrapText="1"/>
    </xf>
    <xf numFmtId="0" fontId="14" fillId="5" borderId="3" xfId="0" applyFont="1" applyFill="1" applyBorder="1" applyAlignment="1">
      <alignment horizontal="center" vertical="center" wrapText="1"/>
    </xf>
    <xf numFmtId="0" fontId="0" fillId="6" borderId="0" xfId="0" applyFill="1"/>
    <xf numFmtId="0" fontId="14" fillId="0" borderId="3" xfId="0" applyFont="1" applyFill="1" applyBorder="1" applyAlignment="1">
      <alignment horizontal="center" vertical="center"/>
    </xf>
    <xf numFmtId="0" fontId="14" fillId="0" borderId="6" xfId="0" applyFont="1" applyFill="1" applyBorder="1" applyAlignment="1">
      <alignment horizontal="center" vertical="center"/>
    </xf>
    <xf numFmtId="0" fontId="0" fillId="0" borderId="6" xfId="0" applyFont="1" applyFill="1" applyBorder="1" applyAlignment="1">
      <alignment horizontal="center"/>
    </xf>
    <xf numFmtId="14" fontId="13" fillId="0" borderId="6" xfId="0" applyNumberFormat="1" applyFont="1" applyBorder="1" applyAlignment="1">
      <alignment horizontal="center" vertical="center" wrapText="1"/>
    </xf>
    <xf numFmtId="14" fontId="14" fillId="0" borderId="0" xfId="0" applyNumberFormat="1" applyFont="1" applyAlignment="1">
      <alignment vertical="center" wrapText="1"/>
    </xf>
    <xf numFmtId="0" fontId="14" fillId="0" borderId="6" xfId="0" applyFont="1" applyFill="1" applyBorder="1" applyAlignment="1">
      <alignment horizontal="left" vertical="center" wrapText="1"/>
    </xf>
    <xf numFmtId="14" fontId="14" fillId="0" borderId="6" xfId="0" applyNumberFormat="1" applyFont="1" applyBorder="1" applyAlignment="1">
      <alignment horizontal="left" vertical="center" wrapText="1"/>
    </xf>
    <xf numFmtId="14" fontId="14" fillId="0" borderId="6" xfId="0" applyNumberFormat="1" applyFont="1" applyFill="1" applyBorder="1" applyAlignment="1">
      <alignment horizontal="left" vertical="center" wrapText="1"/>
    </xf>
    <xf numFmtId="0" fontId="14" fillId="0" borderId="6" xfId="0" applyFont="1" applyFill="1" applyBorder="1" applyAlignment="1">
      <alignment horizontal="left" vertical="center"/>
    </xf>
    <xf numFmtId="0" fontId="0" fillId="0" borderId="0" xfId="0" applyFill="1" applyAlignment="1">
      <alignment vertical="center" wrapText="1"/>
    </xf>
    <xf numFmtId="0" fontId="0" fillId="0" borderId="0" xfId="0" applyAlignment="1">
      <alignment vertical="center" wrapText="1"/>
    </xf>
    <xf numFmtId="14" fontId="5" fillId="0" borderId="1" xfId="0" applyNumberFormat="1" applyFont="1" applyBorder="1" applyAlignment="1">
      <alignment horizontal="center"/>
    </xf>
    <xf numFmtId="0" fontId="14" fillId="0" borderId="0" xfId="0" applyFont="1" applyFill="1" applyAlignment="1">
      <alignment horizontal="center" wrapText="1"/>
    </xf>
    <xf numFmtId="164" fontId="14" fillId="0" borderId="0" xfId="0" applyNumberFormat="1" applyFont="1" applyAlignment="1">
      <alignment horizontal="center" vertical="center" wrapText="1"/>
    </xf>
    <xf numFmtId="14" fontId="14" fillId="0" borderId="0" xfId="0" applyNumberFormat="1" applyFont="1" applyAlignment="1">
      <alignment horizontal="center" vertical="center" wrapText="1"/>
    </xf>
    <xf numFmtId="0" fontId="26" fillId="0" borderId="3" xfId="0" applyFont="1" applyFill="1" applyBorder="1" applyAlignment="1">
      <alignment horizontal="center"/>
    </xf>
    <xf numFmtId="0" fontId="26" fillId="0" borderId="6" xfId="0" applyFont="1" applyFill="1" applyBorder="1" applyAlignment="1">
      <alignment horizontal="center"/>
    </xf>
    <xf numFmtId="14" fontId="26" fillId="0" borderId="3" xfId="0" applyNumberFormat="1" applyFont="1" applyBorder="1" applyAlignment="1">
      <alignment horizontal="center"/>
    </xf>
    <xf numFmtId="0" fontId="26" fillId="0" borderId="3" xfId="0" applyFont="1" applyBorder="1" applyAlignment="1">
      <alignment horizontal="center"/>
    </xf>
    <xf numFmtId="0" fontId="26" fillId="0" borderId="0" xfId="0" applyFont="1"/>
    <xf numFmtId="0" fontId="21" fillId="0" borderId="0" xfId="0" applyFont="1" applyFill="1" applyAlignment="1">
      <alignment wrapText="1"/>
    </xf>
    <xf numFmtId="0" fontId="22" fillId="0" borderId="0" xfId="0" applyFont="1" applyFill="1" applyAlignment="1">
      <alignment wrapText="1"/>
    </xf>
    <xf numFmtId="0" fontId="22" fillId="0" borderId="0" xfId="0" applyFont="1" applyAlignment="1">
      <alignment wrapText="1"/>
    </xf>
    <xf numFmtId="0" fontId="21" fillId="0" borderId="0" xfId="0" applyFont="1" applyAlignment="1">
      <alignment wrapText="1"/>
    </xf>
    <xf numFmtId="0" fontId="21" fillId="0" borderId="0" xfId="0" applyFont="1" applyFill="1" applyAlignment="1">
      <alignment vertical="center" wrapText="1"/>
    </xf>
    <xf numFmtId="0" fontId="21" fillId="0" borderId="0" xfId="0" applyFont="1" applyAlignment="1">
      <alignment vertical="center" wrapText="1"/>
    </xf>
    <xf numFmtId="0" fontId="21" fillId="0" borderId="0" xfId="0" applyFont="1" applyFill="1" applyBorder="1" applyAlignment="1">
      <alignment wrapText="1"/>
    </xf>
    <xf numFmtId="0" fontId="22" fillId="0" borderId="0" xfId="0" applyFont="1" applyFill="1" applyBorder="1" applyAlignment="1">
      <alignment wrapText="1"/>
    </xf>
    <xf numFmtId="0" fontId="22" fillId="0" borderId="0" xfId="0" applyFont="1" applyBorder="1" applyAlignment="1">
      <alignment wrapText="1"/>
    </xf>
    <xf numFmtId="0" fontId="22" fillId="0" borderId="0" xfId="0" applyFont="1" applyFill="1" applyAlignment="1">
      <alignment vertical="center" wrapText="1"/>
    </xf>
    <xf numFmtId="0" fontId="22" fillId="0" borderId="0" xfId="0" applyFont="1" applyAlignment="1">
      <alignment vertical="center" wrapText="1"/>
    </xf>
    <xf numFmtId="0" fontId="14" fillId="7" borderId="3" xfId="0" applyFont="1" applyFill="1" applyBorder="1" applyAlignment="1">
      <alignment horizontal="center" wrapText="1"/>
    </xf>
    <xf numFmtId="14" fontId="14" fillId="0" borderId="0" xfId="0" applyNumberFormat="1" applyFont="1" applyAlignment="1">
      <alignment horizontal="center" wrapText="1"/>
    </xf>
    <xf numFmtId="0" fontId="14" fillId="0" borderId="1" xfId="0" applyFont="1" applyFill="1" applyBorder="1" applyAlignment="1">
      <alignment horizontal="center" wrapText="1"/>
    </xf>
    <xf numFmtId="0" fontId="14" fillId="0" borderId="4" xfId="0" applyFont="1" applyFill="1" applyBorder="1" applyAlignment="1">
      <alignment wrapText="1"/>
    </xf>
    <xf numFmtId="164" fontId="13" fillId="0" borderId="6" xfId="0" applyNumberFormat="1" applyFont="1" applyBorder="1" applyAlignment="1">
      <alignment horizontal="center" vertical="center" wrapText="1"/>
    </xf>
    <xf numFmtId="0" fontId="13" fillId="0" borderId="6" xfId="0" applyFont="1" applyBorder="1" applyAlignment="1">
      <alignment vertical="center" wrapText="1"/>
    </xf>
    <xf numFmtId="164" fontId="14" fillId="0" borderId="6" xfId="0" applyNumberFormat="1" applyFont="1" applyBorder="1" applyAlignment="1">
      <alignment horizontal="center" vertical="center" wrapText="1"/>
    </xf>
    <xf numFmtId="0" fontId="14" fillId="0" borderId="6" xfId="0" applyFont="1" applyBorder="1" applyAlignment="1">
      <alignment vertical="center" wrapText="1"/>
    </xf>
    <xf numFmtId="0" fontId="14" fillId="0" borderId="3" xfId="0" applyFont="1" applyBorder="1" applyAlignment="1">
      <alignment vertical="center" wrapText="1"/>
    </xf>
    <xf numFmtId="0" fontId="14" fillId="0" borderId="6" xfId="0" applyFont="1" applyFill="1" applyBorder="1" applyAlignment="1">
      <alignment vertical="center" wrapText="1"/>
    </xf>
    <xf numFmtId="164" fontId="14" fillId="0" borderId="3" xfId="0" applyNumberFormat="1" applyFont="1" applyBorder="1" applyAlignment="1">
      <alignment horizontal="center" vertical="center" wrapText="1"/>
    </xf>
    <xf numFmtId="0" fontId="14" fillId="0" borderId="3" xfId="0" applyFont="1" applyBorder="1" applyAlignment="1"/>
    <xf numFmtId="164" fontId="14" fillId="0" borderId="6" xfId="0" applyNumberFormat="1" applyFont="1" applyFill="1" applyBorder="1" applyAlignment="1">
      <alignment horizontal="center" vertical="center" wrapText="1"/>
    </xf>
    <xf numFmtId="0" fontId="14" fillId="0" borderId="3" xfId="0" applyFont="1" applyBorder="1" applyAlignment="1">
      <alignment horizontal="left" wrapText="1"/>
    </xf>
    <xf numFmtId="0" fontId="14" fillId="4" borderId="6" xfId="0" applyFont="1" applyFill="1" applyBorder="1" applyAlignment="1">
      <alignment vertical="center" wrapText="1"/>
    </xf>
    <xf numFmtId="0" fontId="14" fillId="4" borderId="3" xfId="0" applyFont="1" applyFill="1" applyBorder="1" applyAlignment="1">
      <alignment vertical="center" wrapText="1"/>
    </xf>
    <xf numFmtId="16" fontId="14" fillId="0" borderId="6" xfId="0" applyNumberFormat="1" applyFont="1" applyBorder="1" applyAlignment="1">
      <alignment vertical="center" wrapText="1"/>
    </xf>
    <xf numFmtId="164" fontId="14" fillId="0" borderId="6" xfId="0" applyNumberFormat="1" applyFont="1" applyFill="1" applyBorder="1" applyAlignment="1">
      <alignment horizontal="left" vertical="center" wrapText="1"/>
    </xf>
    <xf numFmtId="0" fontId="14" fillId="0" borderId="7" xfId="0" applyFont="1" applyFill="1" applyBorder="1" applyAlignment="1">
      <alignment horizontal="center" vertical="center" wrapText="1"/>
    </xf>
    <xf numFmtId="164" fontId="14" fillId="0" borderId="10" xfId="0" applyNumberFormat="1" applyFont="1" applyFill="1" applyBorder="1" applyAlignment="1">
      <alignment horizontal="center" vertical="center" wrapText="1"/>
    </xf>
    <xf numFmtId="0" fontId="14" fillId="0" borderId="10" xfId="0" applyFont="1" applyFill="1" applyBorder="1" applyAlignment="1">
      <alignment vertical="center" wrapText="1"/>
    </xf>
    <xf numFmtId="0" fontId="14" fillId="0" borderId="7" xfId="0" applyFont="1" applyFill="1" applyBorder="1" applyAlignment="1">
      <alignment horizontal="left" vertical="center" wrapText="1"/>
    </xf>
    <xf numFmtId="14" fontId="14" fillId="0" borderId="7" xfId="0" applyNumberFormat="1" applyFont="1" applyFill="1" applyBorder="1" applyAlignment="1">
      <alignment horizontal="center" vertical="center" wrapText="1"/>
    </xf>
    <xf numFmtId="14" fontId="14" fillId="0" borderId="7" xfId="0" applyNumberFormat="1" applyFont="1" applyBorder="1" applyAlignment="1">
      <alignment horizontal="center" vertical="center" wrapText="1"/>
    </xf>
    <xf numFmtId="0" fontId="14" fillId="0" borderId="7" xfId="0" applyFont="1" applyBorder="1" applyAlignment="1">
      <alignment horizontal="center" vertical="center" wrapText="1"/>
    </xf>
    <xf numFmtId="0" fontId="14" fillId="0" borderId="2" xfId="0" applyFont="1" applyFill="1" applyBorder="1" applyAlignment="1">
      <alignment horizontal="center" vertical="center" wrapText="1"/>
    </xf>
    <xf numFmtId="164" fontId="14" fillId="0" borderId="8" xfId="0" applyNumberFormat="1" applyFont="1" applyFill="1" applyBorder="1" applyAlignment="1">
      <alignment horizontal="center" vertical="center" wrapText="1"/>
    </xf>
    <xf numFmtId="0" fontId="14" fillId="0" borderId="8" xfId="0" applyFont="1" applyFill="1" applyBorder="1" applyAlignment="1">
      <alignment vertical="center" wrapText="1"/>
    </xf>
    <xf numFmtId="0" fontId="14" fillId="0" borderId="2" xfId="0" applyFont="1" applyFill="1" applyBorder="1" applyAlignment="1">
      <alignment horizontal="left" vertical="center" wrapText="1"/>
    </xf>
    <xf numFmtId="14" fontId="14" fillId="0" borderId="2" xfId="0" applyNumberFormat="1" applyFont="1" applyFill="1" applyBorder="1" applyAlignment="1">
      <alignment horizontal="center" vertical="center" wrapText="1"/>
    </xf>
    <xf numFmtId="14" fontId="14" fillId="0" borderId="2" xfId="0" applyNumberFormat="1" applyFont="1" applyBorder="1" applyAlignment="1">
      <alignment horizontal="center" vertical="center" wrapText="1"/>
    </xf>
    <xf numFmtId="0" fontId="14" fillId="0" borderId="2" xfId="0" applyFont="1" applyBorder="1" applyAlignment="1">
      <alignment horizontal="center" vertical="center" wrapText="1"/>
    </xf>
    <xf numFmtId="164" fontId="14" fillId="0" borderId="6" xfId="0" applyNumberFormat="1" applyFont="1" applyFill="1" applyBorder="1" applyAlignment="1">
      <alignment horizontal="center" vertical="center"/>
    </xf>
    <xf numFmtId="0" fontId="14" fillId="0" borderId="6" xfId="0" applyFont="1" applyFill="1" applyBorder="1" applyAlignment="1">
      <alignment vertical="center"/>
    </xf>
    <xf numFmtId="14" fontId="14" fillId="0" borderId="6" xfId="0" applyNumberFormat="1" applyFont="1" applyFill="1" applyBorder="1" applyAlignment="1">
      <alignment vertical="center" wrapText="1"/>
    </xf>
    <xf numFmtId="14" fontId="27" fillId="0" borderId="3" xfId="0" applyNumberFormat="1" applyFont="1" applyFill="1" applyBorder="1" applyAlignment="1">
      <alignment horizontal="center" vertical="center" wrapText="1"/>
    </xf>
    <xf numFmtId="0" fontId="14" fillId="0" borderId="4" xfId="0" applyFont="1" applyFill="1" applyBorder="1" applyAlignment="1">
      <alignment horizontal="left" wrapText="1"/>
    </xf>
    <xf numFmtId="0" fontId="14" fillId="0" borderId="0" xfId="0" applyFont="1" applyFill="1" applyBorder="1" applyAlignment="1">
      <alignment wrapText="1"/>
    </xf>
    <xf numFmtId="164" fontId="14" fillId="0" borderId="10" xfId="0" applyNumberFormat="1" applyFont="1" applyBorder="1" applyAlignment="1">
      <alignment horizontal="center" vertical="center" wrapText="1"/>
    </xf>
    <xf numFmtId="0" fontId="14" fillId="0" borderId="10" xfId="0" applyFont="1" applyBorder="1" applyAlignment="1">
      <alignment vertical="center" wrapText="1"/>
    </xf>
    <xf numFmtId="0" fontId="14" fillId="0" borderId="7" xfId="0" applyFont="1" applyBorder="1" applyAlignment="1">
      <alignment horizontal="left" vertical="center" wrapText="1"/>
    </xf>
    <xf numFmtId="0" fontId="14" fillId="0" borderId="9" xfId="0" applyFont="1" applyFill="1" applyBorder="1" applyAlignment="1">
      <alignment wrapText="1"/>
    </xf>
    <xf numFmtId="0" fontId="14" fillId="0" borderId="8" xfId="0" applyFont="1" applyBorder="1" applyAlignment="1">
      <alignment horizontal="center" vertical="center" wrapText="1"/>
    </xf>
    <xf numFmtId="0" fontId="13" fillId="5" borderId="3" xfId="0" applyFont="1" applyFill="1" applyBorder="1" applyAlignment="1">
      <alignment horizontal="center" vertical="center" wrapText="1"/>
    </xf>
    <xf numFmtId="14" fontId="14" fillId="7" borderId="3" xfId="0" applyNumberFormat="1" applyFont="1" applyFill="1" applyBorder="1" applyAlignment="1">
      <alignment horizontal="center" vertical="center" wrapText="1"/>
    </xf>
    <xf numFmtId="0" fontId="8" fillId="0" borderId="0" xfId="0" applyFont="1" applyFill="1"/>
    <xf numFmtId="14" fontId="5" fillId="0" borderId="3" xfId="0" applyNumberFormat="1" applyFont="1" applyBorder="1" applyAlignment="1">
      <alignment horizontal="center" wrapText="1"/>
    </xf>
    <xf numFmtId="14" fontId="0" fillId="0" borderId="2" xfId="0" applyNumberFormat="1" applyBorder="1" applyAlignment="1">
      <alignment horizontal="center"/>
    </xf>
    <xf numFmtId="14" fontId="3" fillId="0" borderId="0" xfId="0" applyNumberFormat="1" applyFont="1" applyAlignment="1">
      <alignment horizontal="center"/>
    </xf>
    <xf numFmtId="0" fontId="8" fillId="0" borderId="3" xfId="0" applyFont="1" applyFill="1" applyBorder="1" applyAlignment="1">
      <alignment horizontal="center"/>
    </xf>
    <xf numFmtId="0" fontId="14" fillId="0" borderId="0" xfId="0" applyFont="1" applyFill="1" applyAlignment="1">
      <alignment horizontal="left" vertical="center" wrapText="1"/>
    </xf>
    <xf numFmtId="164" fontId="14" fillId="5" borderId="6" xfId="0" applyNumberFormat="1" applyFont="1" applyFill="1" applyBorder="1" applyAlignment="1">
      <alignment horizontal="center" vertical="center" wrapText="1"/>
    </xf>
    <xf numFmtId="0" fontId="14" fillId="0" borderId="3" xfId="0" applyFont="1" applyBorder="1" applyAlignment="1">
      <alignment wrapText="1"/>
    </xf>
    <xf numFmtId="0" fontId="3" fillId="0" borderId="3" xfId="0" applyFont="1" applyBorder="1" applyAlignment="1">
      <alignment wrapText="1"/>
    </xf>
    <xf numFmtId="0" fontId="14" fillId="0" borderId="3" xfId="0" applyFont="1" applyFill="1" applyBorder="1" applyAlignment="1">
      <alignment vertical="center" wrapText="1"/>
    </xf>
    <xf numFmtId="0" fontId="3" fillId="5" borderId="3" xfId="0" applyFont="1" applyFill="1" applyBorder="1" applyAlignment="1">
      <alignment horizontal="center" vertical="center" wrapText="1"/>
    </xf>
    <xf numFmtId="0" fontId="3" fillId="0" borderId="3" xfId="0" applyFont="1" applyBorder="1" applyAlignment="1">
      <alignment horizontal="center" vertical="center" wrapText="1"/>
    </xf>
    <xf numFmtId="0" fontId="2" fillId="0" borderId="3" xfId="0" applyFont="1" applyFill="1" applyBorder="1" applyAlignment="1">
      <alignment horizontal="center" vertical="center" wrapText="1"/>
    </xf>
    <xf numFmtId="0" fontId="3" fillId="0" borderId="3" xfId="0" applyFont="1" applyBorder="1" applyAlignment="1">
      <alignment vertical="center" wrapText="1"/>
    </xf>
    <xf numFmtId="0" fontId="14" fillId="0" borderId="3" xfId="0" applyFont="1" applyBorder="1" applyAlignment="1">
      <alignment vertical="center"/>
    </xf>
    <xf numFmtId="0" fontId="14" fillId="0" borderId="0" xfId="0" applyFont="1" applyFill="1" applyBorder="1" applyAlignment="1">
      <alignment horizontal="left" wrapText="1"/>
    </xf>
    <xf numFmtId="14" fontId="14" fillId="0" borderId="1" xfId="0" applyNumberFormat="1" applyFont="1" applyBorder="1" applyAlignment="1">
      <alignment horizontal="center" vertical="center" wrapText="1"/>
    </xf>
    <xf numFmtId="0" fontId="3" fillId="0" borderId="9" xfId="0" applyFont="1" applyFill="1" applyBorder="1" applyAlignment="1">
      <alignment wrapText="1"/>
    </xf>
    <xf numFmtId="0" fontId="3" fillId="0" borderId="9" xfId="0" applyFont="1" applyBorder="1" applyAlignment="1">
      <alignment wrapText="1"/>
    </xf>
    <xf numFmtId="0" fontId="3" fillId="0" borderId="0" xfId="0" applyFont="1" applyFill="1" applyBorder="1" applyAlignment="1">
      <alignment wrapText="1"/>
    </xf>
    <xf numFmtId="0" fontId="3" fillId="0" borderId="0" xfId="0" applyFont="1" applyBorder="1" applyAlignment="1">
      <alignment wrapText="1"/>
    </xf>
    <xf numFmtId="0" fontId="3" fillId="5" borderId="3" xfId="0" applyFont="1" applyFill="1" applyBorder="1" applyAlignment="1">
      <alignment vertical="center" wrapText="1"/>
    </xf>
    <xf numFmtId="0" fontId="14" fillId="0" borderId="0" xfId="0" applyFont="1" applyAlignment="1">
      <alignment horizontal="left" wrapText="1"/>
    </xf>
    <xf numFmtId="0" fontId="13" fillId="0" borderId="11" xfId="0" applyFont="1" applyBorder="1" applyAlignment="1">
      <alignment vertical="center" wrapText="1"/>
    </xf>
    <xf numFmtId="0" fontId="13" fillId="0" borderId="11" xfId="0" applyFont="1" applyBorder="1" applyAlignment="1">
      <alignment horizontal="center" vertical="center" wrapText="1"/>
    </xf>
    <xf numFmtId="14" fontId="3" fillId="5" borderId="3" xfId="0" applyNumberFormat="1" applyFont="1" applyFill="1" applyBorder="1" applyAlignment="1">
      <alignment horizontal="center" vertical="center" wrapText="1"/>
    </xf>
    <xf numFmtId="49" fontId="14" fillId="0" borderId="0" xfId="0" applyNumberFormat="1" applyFont="1" applyFill="1" applyBorder="1" applyAlignment="1">
      <alignment horizontal="center" vertical="center" wrapText="1"/>
    </xf>
    <xf numFmtId="0" fontId="14" fillId="0" borderId="0" xfId="0" applyFont="1" applyFill="1" applyBorder="1" applyAlignment="1">
      <alignment horizontal="left" vertical="center" wrapText="1"/>
    </xf>
    <xf numFmtId="0" fontId="14" fillId="0" borderId="0" xfId="0" applyFont="1" applyFill="1" applyBorder="1" applyAlignment="1">
      <alignment horizontal="center" vertical="center" wrapText="1"/>
    </xf>
    <xf numFmtId="165" fontId="14" fillId="0" borderId="0" xfId="0" applyNumberFormat="1" applyFont="1" applyFill="1" applyBorder="1" applyAlignment="1">
      <alignment horizontal="center" vertical="center" wrapText="1"/>
    </xf>
    <xf numFmtId="0" fontId="14" fillId="0" borderId="0" xfId="0" applyFont="1" applyFill="1" applyBorder="1" applyAlignment="1">
      <alignment horizontal="left" vertical="center"/>
    </xf>
    <xf numFmtId="165" fontId="13" fillId="0" borderId="14" xfId="0" applyNumberFormat="1" applyFont="1" applyFill="1" applyBorder="1" applyAlignment="1">
      <alignment vertical="center" wrapText="1"/>
    </xf>
    <xf numFmtId="0" fontId="28" fillId="10" borderId="0" xfId="0" applyFont="1" applyFill="1" applyBorder="1" applyAlignment="1">
      <alignment horizontal="center" vertical="center" wrapText="1"/>
    </xf>
    <xf numFmtId="0" fontId="13" fillId="0" borderId="0" xfId="0" applyFont="1" applyFill="1" applyBorder="1" applyAlignment="1">
      <alignment horizontal="left" vertical="center"/>
    </xf>
    <xf numFmtId="0" fontId="14" fillId="0" borderId="0" xfId="0" applyFont="1" applyFill="1" applyBorder="1" applyAlignment="1">
      <alignment vertical="center" wrapText="1"/>
    </xf>
    <xf numFmtId="0" fontId="29" fillId="10" borderId="0" xfId="1" applyFont="1" applyFill="1" applyAlignment="1">
      <alignment vertical="center"/>
    </xf>
    <xf numFmtId="0" fontId="0" fillId="0" borderId="0" xfId="0" applyBorder="1"/>
    <xf numFmtId="0" fontId="14" fillId="8" borderId="3" xfId="0" applyFont="1" applyFill="1" applyBorder="1" applyAlignment="1">
      <alignment horizontal="center" vertical="center" wrapText="1"/>
    </xf>
    <xf numFmtId="165" fontId="14" fillId="8" borderId="3" xfId="0" applyNumberFormat="1" applyFont="1" applyFill="1" applyBorder="1" applyAlignment="1">
      <alignment horizontal="center" vertical="center" wrapText="1"/>
    </xf>
    <xf numFmtId="0" fontId="14" fillId="9" borderId="3" xfId="0" applyFont="1" applyFill="1" applyBorder="1" applyAlignment="1">
      <alignment horizontal="center" vertical="center" wrapText="1"/>
    </xf>
    <xf numFmtId="166" fontId="14" fillId="8" borderId="3" xfId="0" applyNumberFormat="1" applyFont="1" applyFill="1" applyBorder="1" applyAlignment="1">
      <alignment horizontal="center" vertical="center" wrapText="1"/>
    </xf>
    <xf numFmtId="166" fontId="14" fillId="0" borderId="0" xfId="0" applyNumberFormat="1" applyFont="1" applyFill="1" applyBorder="1" applyAlignment="1">
      <alignment horizontal="center" vertical="center" wrapText="1"/>
    </xf>
    <xf numFmtId="166" fontId="14" fillId="9" borderId="3" xfId="0" applyNumberFormat="1" applyFont="1" applyFill="1" applyBorder="1" applyAlignment="1">
      <alignment horizontal="center" vertical="center" wrapText="1"/>
    </xf>
    <xf numFmtId="166" fontId="13" fillId="0" borderId="14" xfId="0" applyNumberFormat="1" applyFont="1" applyFill="1" applyBorder="1" applyAlignment="1">
      <alignment vertical="center" wrapText="1"/>
    </xf>
    <xf numFmtId="0" fontId="28" fillId="10" borderId="14" xfId="0" applyFont="1" applyFill="1" applyBorder="1" applyAlignment="1">
      <alignment horizontal="left" vertical="center"/>
    </xf>
    <xf numFmtId="0" fontId="28" fillId="10" borderId="14" xfId="0" applyFont="1" applyFill="1" applyBorder="1" applyAlignment="1">
      <alignment horizontal="center" vertical="center" wrapText="1"/>
    </xf>
    <xf numFmtId="0" fontId="14" fillId="5" borderId="2" xfId="0" applyFont="1" applyFill="1" applyBorder="1" applyAlignment="1">
      <alignment horizontal="center" vertical="center" wrapText="1"/>
    </xf>
    <xf numFmtId="164" fontId="14" fillId="5" borderId="8" xfId="0" applyNumberFormat="1" applyFont="1" applyFill="1" applyBorder="1" applyAlignment="1">
      <alignment horizontal="center" vertical="center" wrapText="1"/>
    </xf>
    <xf numFmtId="0" fontId="14" fillId="5" borderId="8" xfId="0" applyFont="1" applyFill="1" applyBorder="1" applyAlignment="1">
      <alignment vertical="center" wrapText="1"/>
    </xf>
    <xf numFmtId="0" fontId="14" fillId="5" borderId="2" xfId="0" applyFont="1" applyFill="1" applyBorder="1" applyAlignment="1">
      <alignment horizontal="left" vertical="center" wrapText="1"/>
    </xf>
    <xf numFmtId="14" fontId="14" fillId="5" borderId="2" xfId="0" applyNumberFormat="1" applyFont="1" applyFill="1" applyBorder="1" applyAlignment="1">
      <alignment horizontal="center" vertical="center" wrapText="1"/>
    </xf>
    <xf numFmtId="0" fontId="14" fillId="5" borderId="0" xfId="0" applyFont="1" applyFill="1" applyAlignment="1">
      <alignment wrapText="1"/>
    </xf>
    <xf numFmtId="0" fontId="21" fillId="5" borderId="0" xfId="0" applyFont="1" applyFill="1" applyAlignment="1">
      <alignment wrapText="1"/>
    </xf>
    <xf numFmtId="0" fontId="22" fillId="5" borderId="0" xfId="0" applyFont="1" applyFill="1" applyAlignment="1">
      <alignment wrapText="1"/>
    </xf>
    <xf numFmtId="0" fontId="14" fillId="5" borderId="6" xfId="0" applyFont="1" applyFill="1" applyBorder="1" applyAlignment="1">
      <alignment vertical="center" wrapText="1"/>
    </xf>
    <xf numFmtId="14" fontId="14" fillId="5" borderId="3" xfId="0" applyNumberFormat="1" applyFont="1" applyFill="1" applyBorder="1" applyAlignment="1">
      <alignment horizontal="center" vertical="center" wrapText="1"/>
    </xf>
    <xf numFmtId="0" fontId="14" fillId="5" borderId="3" xfId="0" applyFont="1" applyFill="1" applyBorder="1" applyAlignment="1">
      <alignment horizontal="left" wrapText="1"/>
    </xf>
    <xf numFmtId="14" fontId="0" fillId="0" borderId="9" xfId="0" applyNumberFormat="1" applyBorder="1" applyAlignment="1">
      <alignment horizontal="center"/>
    </xf>
    <xf numFmtId="0" fontId="0" fillId="0" borderId="0" xfId="0" applyAlignment="1">
      <alignment horizontal="center"/>
    </xf>
    <xf numFmtId="0" fontId="3" fillId="0" borderId="9" xfId="0" applyFont="1" applyBorder="1" applyAlignment="1">
      <alignment horizontal="left"/>
    </xf>
    <xf numFmtId="0" fontId="3" fillId="0" borderId="14" xfId="0" applyFont="1" applyBorder="1" applyAlignment="1">
      <alignment horizontal="left"/>
    </xf>
    <xf numFmtId="49" fontId="14" fillId="0" borderId="0" xfId="0" applyNumberFormat="1" applyFont="1" applyFill="1" applyBorder="1" applyAlignment="1">
      <alignment horizontal="left" vertical="center" wrapText="1"/>
    </xf>
    <xf numFmtId="0" fontId="0" fillId="0" borderId="0" xfId="0" applyAlignment="1">
      <alignment horizontal="left"/>
    </xf>
    <xf numFmtId="14" fontId="14" fillId="8" borderId="3" xfId="0" applyNumberFormat="1" applyFont="1" applyFill="1" applyBorder="1" applyAlignment="1">
      <alignment horizontal="center" vertical="center" wrapText="1"/>
    </xf>
    <xf numFmtId="14" fontId="14" fillId="0" borderId="0" xfId="0" applyNumberFormat="1" applyFont="1" applyFill="1" applyBorder="1" applyAlignment="1">
      <alignment horizontal="center" vertical="center" wrapText="1"/>
    </xf>
    <xf numFmtId="14" fontId="0" fillId="0" borderId="14" xfId="0" applyNumberFormat="1" applyBorder="1" applyAlignment="1">
      <alignment horizontal="center"/>
    </xf>
    <xf numFmtId="0" fontId="0" fillId="0" borderId="9" xfId="0" applyBorder="1" applyAlignment="1">
      <alignment horizontal="left"/>
    </xf>
    <xf numFmtId="0" fontId="0" fillId="0" borderId="9" xfId="0" applyBorder="1" applyAlignment="1">
      <alignment horizontal="left" wrapText="1"/>
    </xf>
    <xf numFmtId="0" fontId="3" fillId="0" borderId="14" xfId="0" applyFont="1" applyBorder="1" applyAlignment="1">
      <alignment horizontal="left" wrapText="1"/>
    </xf>
    <xf numFmtId="0" fontId="0" fillId="0" borderId="0" xfId="0" applyAlignment="1">
      <alignment horizontal="left" wrapText="1"/>
    </xf>
    <xf numFmtId="0" fontId="3" fillId="0" borderId="14" xfId="0" applyFont="1" applyBorder="1" applyAlignment="1">
      <alignment horizontal="center"/>
    </xf>
    <xf numFmtId="0" fontId="0" fillId="0" borderId="14" xfId="0" applyBorder="1" applyAlignment="1">
      <alignment horizontal="center"/>
    </xf>
    <xf numFmtId="0" fontId="28" fillId="10" borderId="14" xfId="0" applyFont="1" applyFill="1" applyBorder="1" applyAlignment="1">
      <alignment horizontal="center" vertical="center"/>
    </xf>
    <xf numFmtId="165" fontId="13" fillId="0" borderId="14" xfId="0" applyNumberFormat="1" applyFont="1" applyFill="1" applyBorder="1" applyAlignment="1">
      <alignment horizontal="center" vertical="center" wrapText="1"/>
    </xf>
    <xf numFmtId="0" fontId="29" fillId="10" borderId="0" xfId="1" applyFont="1" applyFill="1" applyAlignment="1">
      <alignment horizontal="center" vertical="center"/>
    </xf>
    <xf numFmtId="0" fontId="0" fillId="0" borderId="0" xfId="0" applyBorder="1" applyAlignment="1">
      <alignment horizontal="left"/>
    </xf>
    <xf numFmtId="14" fontId="13" fillId="0" borderId="14" xfId="0" applyNumberFormat="1" applyFont="1" applyFill="1" applyBorder="1" applyAlignment="1">
      <alignment horizontal="center" vertical="center" wrapText="1"/>
    </xf>
    <xf numFmtId="14" fontId="14" fillId="9" borderId="3" xfId="0" applyNumberFormat="1" applyFont="1" applyFill="1" applyBorder="1" applyAlignment="1">
      <alignment horizontal="center" vertical="center" wrapText="1"/>
    </xf>
    <xf numFmtId="0" fontId="3" fillId="0" borderId="14" xfId="0" applyFont="1" applyFill="1" applyBorder="1" applyAlignment="1">
      <alignment horizontal="center"/>
    </xf>
    <xf numFmtId="16" fontId="14" fillId="0" borderId="0" xfId="0" applyNumberFormat="1" applyFont="1" applyFill="1" applyBorder="1" applyAlignment="1">
      <alignment horizontal="center" vertical="center" wrapText="1"/>
    </xf>
    <xf numFmtId="0" fontId="30" fillId="10" borderId="0" xfId="1" applyFont="1" applyFill="1" applyAlignment="1">
      <alignment horizontal="center" vertical="center"/>
    </xf>
    <xf numFmtId="16" fontId="3" fillId="0" borderId="14" xfId="0" applyNumberFormat="1" applyFont="1" applyBorder="1" applyAlignment="1">
      <alignment horizontal="center"/>
    </xf>
    <xf numFmtId="0" fontId="0" fillId="0" borderId="14" xfId="0" applyBorder="1" applyAlignment="1">
      <alignment horizontal="left" wrapText="1"/>
    </xf>
    <xf numFmtId="0" fontId="3" fillId="0" borderId="0" xfId="0" applyFont="1" applyBorder="1" applyAlignment="1">
      <alignment horizontal="left" wrapText="1"/>
    </xf>
    <xf numFmtId="0" fontId="3" fillId="0" borderId="9" xfId="0" applyFont="1" applyBorder="1" applyAlignment="1">
      <alignment horizontal="left" wrapText="1"/>
    </xf>
    <xf numFmtId="0" fontId="3" fillId="0" borderId="3" xfId="0" applyFont="1" applyBorder="1" applyAlignment="1">
      <alignment horizontal="left" vertical="center" wrapText="1"/>
    </xf>
    <xf numFmtId="0" fontId="0" fillId="0" borderId="0" xfId="0" applyAlignment="1">
      <alignment horizontal="center"/>
    </xf>
    <xf numFmtId="0" fontId="3" fillId="0" borderId="14" xfId="0" applyFont="1" applyBorder="1" applyAlignment="1">
      <alignment vertical="center" wrapText="1"/>
    </xf>
    <xf numFmtId="0" fontId="3" fillId="0" borderId="14" xfId="0" applyFont="1" applyBorder="1" applyAlignment="1">
      <alignment horizontal="left" vertical="center" wrapText="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30" fillId="0" borderId="0" xfId="1" applyFont="1" applyFill="1" applyAlignment="1">
      <alignment horizontal="center" vertical="center"/>
    </xf>
    <xf numFmtId="0" fontId="29" fillId="0" borderId="0" xfId="1" applyFont="1" applyFill="1" applyAlignment="1">
      <alignment horizontal="center" vertical="center"/>
    </xf>
    <xf numFmtId="0" fontId="13" fillId="5" borderId="14" xfId="0" applyFont="1" applyFill="1" applyBorder="1" applyAlignment="1">
      <alignment horizontal="left" vertical="center"/>
    </xf>
    <xf numFmtId="0" fontId="13" fillId="0" borderId="14" xfId="0" applyFont="1" applyFill="1" applyBorder="1" applyAlignment="1">
      <alignment horizontal="left" vertical="center"/>
    </xf>
    <xf numFmtId="14" fontId="31" fillId="11" borderId="15" xfId="2" applyNumberFormat="1" applyAlignment="1">
      <alignment horizontal="center"/>
    </xf>
    <xf numFmtId="14" fontId="0" fillId="0" borderId="14" xfId="0" applyNumberFormat="1" applyFill="1" applyBorder="1" applyAlignment="1">
      <alignment horizontal="center"/>
    </xf>
    <xf numFmtId="0" fontId="14" fillId="8" borderId="2" xfId="0" applyFont="1" applyFill="1" applyBorder="1" applyAlignment="1">
      <alignment horizontal="center" vertical="center" wrapText="1"/>
    </xf>
    <xf numFmtId="14" fontId="14" fillId="8" borderId="2" xfId="0" applyNumberFormat="1" applyFont="1" applyFill="1" applyBorder="1" applyAlignment="1">
      <alignment horizontal="center" vertical="center" wrapText="1"/>
    </xf>
    <xf numFmtId="0" fontId="14" fillId="9" borderId="2" xfId="0" applyFont="1" applyFill="1" applyBorder="1" applyAlignment="1">
      <alignment horizontal="center" vertical="center" wrapText="1"/>
    </xf>
    <xf numFmtId="14" fontId="14" fillId="9" borderId="2" xfId="0" applyNumberFormat="1" applyFont="1" applyFill="1" applyBorder="1" applyAlignment="1">
      <alignment horizontal="center" vertical="center" wrapText="1"/>
    </xf>
    <xf numFmtId="0" fontId="0" fillId="0" borderId="0" xfId="0" applyAlignment="1">
      <alignment horizontal="center" vertical="center"/>
    </xf>
    <xf numFmtId="0" fontId="3" fillId="7" borderId="14" xfId="0" applyFont="1" applyFill="1" applyBorder="1" applyAlignment="1">
      <alignment horizontal="center"/>
    </xf>
    <xf numFmtId="14" fontId="0" fillId="0" borderId="0" xfId="0" applyNumberFormat="1" applyAlignment="1">
      <alignment horizontal="center" vertical="center"/>
    </xf>
    <xf numFmtId="0" fontId="3" fillId="0" borderId="0" xfId="0" applyFont="1" applyAlignment="1">
      <alignment horizontal="center" vertical="center"/>
    </xf>
    <xf numFmtId="14" fontId="3" fillId="0" borderId="0" xfId="0" applyNumberFormat="1" applyFont="1" applyAlignment="1">
      <alignment horizontal="center" vertical="center"/>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4" xfId="0" applyFont="1" applyFill="1" applyBorder="1" applyAlignment="1">
      <alignment horizontal="center" wrapText="1"/>
    </xf>
    <xf numFmtId="0" fontId="32" fillId="0" borderId="0" xfId="0" applyFont="1"/>
    <xf numFmtId="0" fontId="3" fillId="0" borderId="0" xfId="0" applyFont="1" applyAlignment="1">
      <alignment horizontal="left"/>
    </xf>
    <xf numFmtId="0" fontId="3" fillId="0" borderId="14" xfId="0" applyFont="1" applyFill="1" applyBorder="1" applyAlignment="1">
      <alignment horizontal="center" wrapText="1" shrinkToFit="1"/>
    </xf>
    <xf numFmtId="14" fontId="3" fillId="0" borderId="14" xfId="0" applyNumberFormat="1" applyFont="1" applyBorder="1" applyAlignment="1">
      <alignment horizontal="center"/>
    </xf>
    <xf numFmtId="0" fontId="3" fillId="0" borderId="0" xfId="0" applyFont="1" applyAlignment="1">
      <alignment horizontal="center" vertical="center" wrapText="1"/>
    </xf>
    <xf numFmtId="0" fontId="14" fillId="7" borderId="3" xfId="0" applyFont="1" applyFill="1" applyBorder="1" applyAlignment="1">
      <alignment horizontal="center" vertical="center" wrapText="1"/>
    </xf>
    <xf numFmtId="0" fontId="0" fillId="0" borderId="0" xfId="0" applyAlignment="1">
      <alignment horizontal="center" vertical="center" wrapText="1"/>
    </xf>
    <xf numFmtId="0" fontId="33" fillId="12" borderId="16" xfId="0" applyFont="1" applyFill="1" applyBorder="1" applyAlignment="1">
      <alignment horizontal="center" vertical="center"/>
    </xf>
    <xf numFmtId="14" fontId="33" fillId="12" borderId="17" xfId="0" applyNumberFormat="1" applyFont="1" applyFill="1" applyBorder="1" applyAlignment="1">
      <alignment horizontal="center" vertical="center"/>
    </xf>
    <xf numFmtId="0" fontId="33" fillId="0" borderId="16" xfId="0" applyFont="1" applyBorder="1" applyAlignment="1">
      <alignment horizontal="center" vertical="center"/>
    </xf>
    <xf numFmtId="0" fontId="33" fillId="0" borderId="17" xfId="0" applyFont="1" applyBorder="1" applyAlignment="1">
      <alignment horizontal="left" vertical="center" wrapText="1"/>
    </xf>
    <xf numFmtId="0" fontId="33" fillId="0" borderId="17" xfId="0" applyFont="1" applyBorder="1" applyAlignment="1">
      <alignment horizontal="center" vertical="center"/>
    </xf>
    <xf numFmtId="0" fontId="33" fillId="12" borderId="17" xfId="0" applyFont="1" applyFill="1" applyBorder="1" applyAlignment="1">
      <alignment horizontal="left" vertical="center" wrapText="1"/>
    </xf>
    <xf numFmtId="0" fontId="33" fillId="12" borderId="17" xfId="0" applyFont="1" applyFill="1" applyBorder="1" applyAlignment="1">
      <alignment horizontal="center" vertical="center"/>
    </xf>
    <xf numFmtId="14" fontId="33" fillId="0" borderId="17" xfId="0" applyNumberFormat="1" applyFont="1" applyBorder="1" applyAlignment="1">
      <alignment horizontal="center" vertical="center"/>
    </xf>
    <xf numFmtId="0" fontId="3" fillId="0" borderId="0" xfId="0" applyFont="1" applyBorder="1" applyAlignment="1">
      <alignment horizontal="center" vertical="center"/>
    </xf>
    <xf numFmtId="14" fontId="0" fillId="0" borderId="0" xfId="0" applyNumberFormat="1" applyBorder="1" applyAlignment="1">
      <alignment horizontal="center" vertical="center"/>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Border="1" applyAlignment="1">
      <alignment horizontal="center" vertical="center" wrapText="1"/>
    </xf>
    <xf numFmtId="0" fontId="14" fillId="8" borderId="1" xfId="0" applyFont="1" applyFill="1" applyBorder="1" applyAlignment="1">
      <alignment horizontal="center" vertical="center" wrapText="1"/>
    </xf>
    <xf numFmtId="0" fontId="33" fillId="0" borderId="18" xfId="0" applyFont="1" applyBorder="1" applyAlignment="1">
      <alignment horizontal="center" vertical="center" wrapText="1"/>
    </xf>
    <xf numFmtId="0" fontId="33" fillId="12" borderId="17" xfId="0" applyNumberFormat="1" applyFont="1" applyFill="1" applyBorder="1" applyAlignment="1">
      <alignment horizontal="center" vertical="center"/>
    </xf>
    <xf numFmtId="0" fontId="33" fillId="12" borderId="18" xfId="0" applyFont="1" applyFill="1" applyBorder="1" applyAlignment="1">
      <alignment horizontal="center" vertical="center"/>
    </xf>
    <xf numFmtId="0" fontId="33" fillId="0" borderId="17" xfId="0" applyNumberFormat="1" applyFont="1" applyBorder="1" applyAlignment="1">
      <alignment horizontal="center" vertical="center"/>
    </xf>
    <xf numFmtId="0" fontId="33" fillId="0" borderId="18" xfId="0" applyFont="1" applyBorder="1" applyAlignment="1">
      <alignment horizontal="center" vertical="center"/>
    </xf>
    <xf numFmtId="0" fontId="33" fillId="12" borderId="16" xfId="0" applyNumberFormat="1" applyFont="1" applyFill="1" applyBorder="1"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164" fontId="3" fillId="0" borderId="0" xfId="0" applyNumberFormat="1" applyFont="1" applyAlignment="1">
      <alignment horizontal="center" vertical="center"/>
    </xf>
    <xf numFmtId="164" fontId="0" fillId="0" borderId="0" xfId="0" applyNumberForma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33" fillId="12" borderId="17" xfId="0" applyNumberFormat="1" applyFont="1" applyFill="1" applyBorder="1" applyAlignment="1">
      <alignment horizontal="center" vertical="center" wrapText="1"/>
    </xf>
    <xf numFmtId="0" fontId="3" fillId="0" borderId="0" xfId="0" applyFont="1" applyBorder="1" applyAlignment="1">
      <alignment horizontal="left" vertical="center" wrapText="1"/>
    </xf>
    <xf numFmtId="0" fontId="3" fillId="0" borderId="0" xfId="0" applyFont="1" applyFill="1" applyBorder="1" applyAlignment="1">
      <alignment horizontal="center" vertical="center"/>
    </xf>
    <xf numFmtId="164" fontId="3" fillId="0" borderId="0" xfId="0" applyNumberFormat="1" applyFont="1" applyBorder="1"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35" fillId="9" borderId="19" xfId="0" applyFont="1" applyFill="1" applyBorder="1" applyAlignment="1">
      <alignment horizontal="center" vertical="center" wrapText="1"/>
    </xf>
    <xf numFmtId="0" fontId="0" fillId="0" borderId="0" xfId="0" applyAlignment="1">
      <alignment horizontal="center" vertical="center" wrapText="1"/>
    </xf>
    <xf numFmtId="0" fontId="0" fillId="0" borderId="0" xfId="0"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 fillId="0" borderId="0" xfId="0" applyFont="1"/>
    <xf numFmtId="0" fontId="28" fillId="10" borderId="0" xfId="0" applyFont="1" applyFill="1" applyBorder="1" applyAlignment="1">
      <alignment horizontal="center" vertical="center"/>
    </xf>
    <xf numFmtId="165" fontId="13" fillId="0" borderId="0" xfId="0" applyNumberFormat="1" applyFont="1" applyFill="1" applyBorder="1" applyAlignment="1">
      <alignment horizontal="center" vertical="center" wrapText="1"/>
    </xf>
    <xf numFmtId="14" fontId="13" fillId="0" borderId="0" xfId="0" applyNumberFormat="1" applyFont="1" applyFill="1" applyBorder="1" applyAlignment="1">
      <alignment horizontal="center" vertical="center" wrapText="1"/>
    </xf>
    <xf numFmtId="0" fontId="33" fillId="12" borderId="23" xfId="0" applyFont="1" applyFill="1" applyBorder="1" applyAlignment="1">
      <alignment horizontal="center" vertical="center"/>
    </xf>
    <xf numFmtId="0" fontId="33" fillId="12" borderId="24" xfId="0" applyFont="1" applyFill="1" applyBorder="1" applyAlignment="1">
      <alignment horizontal="center" vertical="center"/>
    </xf>
    <xf numFmtId="0" fontId="34" fillId="8" borderId="2" xfId="0" applyFont="1" applyFill="1" applyBorder="1" applyAlignment="1">
      <alignment horizontal="center" vertical="center" wrapText="1"/>
    </xf>
    <xf numFmtId="14" fontId="34" fillId="8" borderId="2" xfId="0" applyNumberFormat="1" applyFont="1" applyFill="1" applyBorder="1" applyAlignment="1">
      <alignment horizontal="center" vertical="center" wrapText="1"/>
    </xf>
    <xf numFmtId="0" fontId="34" fillId="9" borderId="2" xfId="0" applyFont="1" applyFill="1" applyBorder="1" applyAlignment="1">
      <alignment horizontal="center" vertical="center" wrapText="1"/>
    </xf>
    <xf numFmtId="14" fontId="34" fillId="9" borderId="2" xfId="0" applyNumberFormat="1" applyFont="1" applyFill="1" applyBorder="1" applyAlignment="1">
      <alignment horizontal="center" vertical="center" wrapText="1"/>
    </xf>
    <xf numFmtId="0" fontId="34" fillId="9" borderId="2" xfId="0" applyNumberFormat="1" applyFont="1" applyFill="1" applyBorder="1" applyAlignment="1">
      <alignment horizontal="center" vertical="center" wrapText="1"/>
    </xf>
    <xf numFmtId="0" fontId="34" fillId="13" borderId="2" xfId="0" applyFont="1" applyFill="1" applyBorder="1" applyAlignment="1">
      <alignment horizontal="center" vertical="center" wrapText="1"/>
    </xf>
    <xf numFmtId="0" fontId="33" fillId="12" borderId="22" xfId="0" applyFont="1" applyFill="1" applyBorder="1" applyAlignment="1">
      <alignment horizontal="center" vertical="center"/>
    </xf>
    <xf numFmtId="14" fontId="33" fillId="12" borderId="23" xfId="0" applyNumberFormat="1" applyFont="1" applyFill="1" applyBorder="1" applyAlignment="1">
      <alignment horizontal="center" vertical="center"/>
    </xf>
    <xf numFmtId="0" fontId="33" fillId="12" borderId="23" xfId="0" applyFont="1" applyFill="1" applyBorder="1" applyAlignment="1">
      <alignment horizontal="left" vertical="center" wrapText="1"/>
    </xf>
    <xf numFmtId="0" fontId="33" fillId="12" borderId="23" xfId="0" applyNumberFormat="1" applyFont="1" applyFill="1" applyBorder="1" applyAlignment="1">
      <alignment horizontal="center" vertical="center"/>
    </xf>
    <xf numFmtId="0" fontId="36" fillId="0" borderId="14" xfId="0" applyFont="1" applyBorder="1" applyAlignment="1">
      <alignment horizontal="left" wrapText="1"/>
    </xf>
    <xf numFmtId="0" fontId="36" fillId="0" borderId="14" xfId="0" applyFont="1" applyBorder="1" applyAlignment="1">
      <alignment horizontal="center"/>
    </xf>
    <xf numFmtId="0" fontId="36" fillId="12" borderId="14" xfId="0" applyFont="1" applyFill="1" applyBorder="1" applyAlignment="1">
      <alignment horizontal="left" wrapText="1"/>
    </xf>
    <xf numFmtId="0" fontId="36" fillId="12" borderId="14" xfId="0" applyFont="1" applyFill="1" applyBorder="1" applyAlignment="1">
      <alignment horizontal="center"/>
    </xf>
    <xf numFmtId="0" fontId="36" fillId="12" borderId="14" xfId="0" applyFont="1" applyFill="1" applyBorder="1" applyAlignment="1">
      <alignment horizontal="left"/>
    </xf>
    <xf numFmtId="0" fontId="36" fillId="0" borderId="14" xfId="0" applyFont="1" applyBorder="1" applyAlignment="1">
      <alignment horizontal="left"/>
    </xf>
    <xf numFmtId="0" fontId="36" fillId="12" borderId="14" xfId="0" applyFont="1" applyFill="1" applyBorder="1" applyAlignment="1">
      <alignment wrapText="1"/>
    </xf>
    <xf numFmtId="0" fontId="36" fillId="0" borderId="14" xfId="0" applyFont="1" applyBorder="1" applyAlignment="1">
      <alignment wrapText="1"/>
    </xf>
    <xf numFmtId="0" fontId="37" fillId="0" borderId="14" xfId="0" applyFont="1" applyBorder="1" applyAlignment="1">
      <alignment wrapText="1"/>
    </xf>
    <xf numFmtId="0" fontId="36" fillId="12" borderId="14" xfId="0" applyFont="1" applyFill="1" applyBorder="1"/>
    <xf numFmtId="0" fontId="36" fillId="12" borderId="14" xfId="0" applyFont="1" applyFill="1" applyBorder="1" applyAlignment="1">
      <alignment vertical="center" wrapText="1"/>
    </xf>
    <xf numFmtId="0" fontId="36" fillId="0" borderId="14" xfId="0" applyFont="1" applyBorder="1" applyAlignment="1">
      <alignment vertical="center" wrapText="1"/>
    </xf>
    <xf numFmtId="0" fontId="36" fillId="12" borderId="20" xfId="0" applyFont="1" applyFill="1" applyBorder="1" applyAlignment="1">
      <alignment horizontal="left"/>
    </xf>
    <xf numFmtId="0" fontId="36" fillId="12" borderId="20" xfId="0" applyFont="1" applyFill="1" applyBorder="1" applyAlignment="1">
      <alignment wrapText="1"/>
    </xf>
    <xf numFmtId="0" fontId="36" fillId="12" borderId="20" xfId="0" applyFont="1" applyFill="1" applyBorder="1" applyAlignment="1">
      <alignment vertical="center" wrapText="1"/>
    </xf>
    <xf numFmtId="0" fontId="36" fillId="12" borderId="20" xfId="0" applyFont="1" applyFill="1" applyBorder="1" applyAlignment="1">
      <alignment horizontal="center"/>
    </xf>
    <xf numFmtId="0" fontId="36" fillId="12" borderId="0" xfId="0" applyFont="1" applyFill="1"/>
    <xf numFmtId="0" fontId="36" fillId="0" borderId="0" xfId="0" applyFont="1"/>
    <xf numFmtId="0" fontId="36" fillId="12" borderId="21" xfId="0" applyFont="1" applyFill="1" applyBorder="1"/>
    <xf numFmtId="14" fontId="36" fillId="0" borderId="14" xfId="0" applyNumberFormat="1" applyFont="1" applyBorder="1" applyAlignment="1">
      <alignment horizontal="center"/>
    </xf>
    <xf numFmtId="0" fontId="36" fillId="0" borderId="14" xfId="0" applyFont="1" applyBorder="1"/>
    <xf numFmtId="14" fontId="36" fillId="12" borderId="14" xfId="0" applyNumberFormat="1" applyFont="1" applyFill="1" applyBorder="1" applyAlignment="1">
      <alignment horizontal="center"/>
    </xf>
    <xf numFmtId="14" fontId="36" fillId="12" borderId="14" xfId="0" applyNumberFormat="1" applyFont="1" applyFill="1" applyBorder="1" applyAlignment="1">
      <alignment horizontal="center" wrapText="1"/>
    </xf>
    <xf numFmtId="14" fontId="36" fillId="12" borderId="20" xfId="0" applyNumberFormat="1" applyFont="1" applyFill="1" applyBorder="1" applyAlignment="1">
      <alignment horizontal="center"/>
    </xf>
    <xf numFmtId="0" fontId="36" fillId="12" borderId="20" xfId="0" applyFont="1" applyFill="1" applyBorder="1"/>
    <xf numFmtId="0" fontId="38" fillId="8" borderId="10" xfId="0" applyFont="1" applyFill="1" applyBorder="1" applyAlignment="1">
      <alignment horizontal="center" vertical="center" wrapText="1"/>
    </xf>
    <xf numFmtId="14" fontId="38" fillId="8" borderId="10" xfId="0" applyNumberFormat="1" applyFont="1" applyFill="1" applyBorder="1" applyAlignment="1">
      <alignment horizontal="center" vertical="center" wrapText="1"/>
    </xf>
    <xf numFmtId="14" fontId="34" fillId="8" borderId="10" xfId="0" applyNumberFormat="1" applyFont="1" applyFill="1" applyBorder="1" applyAlignment="1">
      <alignment horizontal="center" vertical="center" wrapText="1"/>
    </xf>
    <xf numFmtId="0" fontId="38" fillId="9" borderId="10" xfId="0" applyFont="1" applyFill="1" applyBorder="1" applyAlignment="1">
      <alignment horizontal="center" vertical="center" wrapText="1"/>
    </xf>
    <xf numFmtId="14" fontId="38" fillId="9" borderId="10" xfId="0" applyNumberFormat="1" applyFont="1" applyFill="1" applyBorder="1" applyAlignment="1">
      <alignment horizontal="center" vertical="center" wrapText="1"/>
    </xf>
    <xf numFmtId="0" fontId="38" fillId="0" borderId="10" xfId="0" applyFont="1" applyBorder="1" applyAlignment="1">
      <alignment horizontal="center" vertical="center" wrapText="1"/>
    </xf>
    <xf numFmtId="0" fontId="38" fillId="9" borderId="25" xfId="0" applyFont="1" applyFill="1" applyBorder="1" applyAlignment="1">
      <alignment horizontal="center" vertical="center" wrapText="1"/>
    </xf>
    <xf numFmtId="14" fontId="33" fillId="12" borderId="14" xfId="0" applyNumberFormat="1" applyFont="1" applyFill="1" applyBorder="1" applyAlignment="1">
      <alignment horizontal="center" vertical="center"/>
    </xf>
    <xf numFmtId="0" fontId="36" fillId="12" borderId="26" xfId="0" applyFont="1" applyFill="1" applyBorder="1"/>
    <xf numFmtId="14" fontId="33" fillId="0" borderId="23" xfId="0" applyNumberFormat="1" applyFont="1" applyBorder="1" applyAlignment="1">
      <alignment horizontal="center" vertical="center"/>
    </xf>
    <xf numFmtId="14" fontId="33" fillId="12" borderId="23" xfId="0" applyNumberFormat="1" applyFont="1" applyFill="1" applyBorder="1" applyAlignment="1">
      <alignment horizontal="center" vertical="center" wrapText="1"/>
    </xf>
    <xf numFmtId="0" fontId="33" fillId="0" borderId="17" xfId="0" applyFont="1" applyBorder="1" applyAlignment="1">
      <alignment horizontal="center" vertical="center" wrapText="1"/>
    </xf>
    <xf numFmtId="0" fontId="33" fillId="12" borderId="17" xfId="0" applyFont="1" applyFill="1" applyBorder="1" applyAlignment="1">
      <alignment horizontal="center" vertical="center" wrapText="1"/>
    </xf>
    <xf numFmtId="0" fontId="33" fillId="12" borderId="17" xfId="0" applyFont="1" applyFill="1" applyBorder="1" applyAlignment="1">
      <alignment wrapText="1"/>
    </xf>
    <xf numFmtId="0" fontId="0" fillId="0" borderId="0" xfId="0" applyAlignment="1">
      <alignment horizontal="center" vertical="center" wrapText="1"/>
    </xf>
    <xf numFmtId="164" fontId="33" fillId="12" borderId="17" xfId="0" applyNumberFormat="1" applyFont="1" applyFill="1" applyBorder="1" applyAlignment="1">
      <alignment horizontal="center" vertical="center"/>
    </xf>
    <xf numFmtId="0" fontId="0" fillId="0" borderId="0" xfId="0" applyAlignment="1">
      <alignment horizontal="center" vertical="center" wrapText="1"/>
    </xf>
    <xf numFmtId="0" fontId="41" fillId="0" borderId="0" xfId="0" applyFont="1" applyAlignment="1">
      <alignment wrapText="1"/>
    </xf>
    <xf numFmtId="0" fontId="0" fillId="0" borderId="0" xfId="0" applyAlignment="1">
      <alignment horizontal="center" vertical="center" wrapText="1"/>
    </xf>
    <xf numFmtId="0" fontId="0" fillId="0" borderId="0" xfId="0" applyAlignment="1">
      <alignment horizontal="center" vertical="center" wrapText="1"/>
    </xf>
    <xf numFmtId="0" fontId="43" fillId="0" borderId="17" xfId="0" applyFont="1" applyBorder="1" applyAlignment="1">
      <alignment wrapText="1"/>
    </xf>
    <xf numFmtId="0" fontId="0" fillId="0" borderId="0" xfId="0" applyAlignment="1">
      <alignment horizontal="center" vertical="center" wrapText="1"/>
    </xf>
    <xf numFmtId="0" fontId="5" fillId="0" borderId="3" xfId="0" applyFont="1" applyBorder="1" applyAlignment="1">
      <alignment horizontal="center" vertical="center"/>
    </xf>
    <xf numFmtId="0" fontId="5" fillId="0" borderId="3" xfId="0" applyFont="1" applyBorder="1" applyAlignment="1">
      <alignment horizontal="center" vertical="center" wrapText="1"/>
    </xf>
    <xf numFmtId="1" fontId="0" fillId="0" borderId="3" xfId="0" applyNumberFormat="1" applyBorder="1" applyAlignment="1">
      <alignment horizontal="center" vertical="center"/>
    </xf>
    <xf numFmtId="9" fontId="0" fillId="0" borderId="3" xfId="3" applyFont="1" applyBorder="1" applyAlignment="1">
      <alignment horizontal="center" vertical="center"/>
    </xf>
    <xf numFmtId="0" fontId="0" fillId="0" borderId="3" xfId="0" applyBorder="1"/>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36" fillId="0" borderId="14" xfId="0" applyFont="1" applyFill="1" applyBorder="1" applyAlignment="1">
      <alignment horizont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4" fontId="33" fillId="0" borderId="17" xfId="0" applyNumberFormat="1"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 fillId="0" borderId="3" xfId="0" applyFont="1" applyBorder="1"/>
    <xf numFmtId="14" fontId="0" fillId="0" borderId="3" xfId="0" applyNumberFormat="1" applyBorder="1"/>
    <xf numFmtId="0" fontId="34" fillId="8" borderId="27" xfId="0" applyFont="1" applyFill="1" applyBorder="1" applyAlignment="1">
      <alignment horizontal="center" vertical="center" wrapText="1"/>
    </xf>
    <xf numFmtId="14" fontId="34" fillId="8" borderId="28" xfId="0" applyNumberFormat="1" applyFont="1" applyFill="1" applyBorder="1" applyAlignment="1">
      <alignment horizontal="center" vertical="center" wrapText="1"/>
    </xf>
    <xf numFmtId="0" fontId="34" fillId="8" borderId="28" xfId="0" applyFont="1" applyFill="1" applyBorder="1" applyAlignment="1">
      <alignment horizontal="center" vertical="center" wrapText="1"/>
    </xf>
    <xf numFmtId="0" fontId="34" fillId="9" borderId="28" xfId="0" applyFont="1" applyFill="1" applyBorder="1" applyAlignment="1">
      <alignment horizontal="center" vertical="center" wrapText="1"/>
    </xf>
    <xf numFmtId="14" fontId="34" fillId="9" borderId="28" xfId="0" applyNumberFormat="1" applyFont="1" applyFill="1" applyBorder="1" applyAlignment="1">
      <alignment horizontal="center" vertical="center" wrapText="1"/>
    </xf>
    <xf numFmtId="0" fontId="34" fillId="13" borderId="28" xfId="0" applyFont="1" applyFill="1" applyBorder="1" applyAlignment="1">
      <alignment horizontal="center" vertical="center" wrapText="1"/>
    </xf>
    <xf numFmtId="0" fontId="34" fillId="9" borderId="29" xfId="0" applyFont="1" applyFill="1" applyBorder="1" applyAlignment="1">
      <alignment horizontal="center" vertical="center" wrapText="1"/>
    </xf>
    <xf numFmtId="0" fontId="5" fillId="0" borderId="0" xfId="0" applyFont="1" applyFill="1" applyBorder="1"/>
    <xf numFmtId="0" fontId="5" fillId="0" borderId="0" xfId="0" applyFont="1" applyBorder="1"/>
    <xf numFmtId="1" fontId="0" fillId="0" borderId="0" xfId="0" applyNumberFormat="1" applyBorder="1" applyAlignment="1">
      <alignment horizontal="center" vertical="center"/>
    </xf>
    <xf numFmtId="9" fontId="0" fillId="0" borderId="0" xfId="3" applyFont="1" applyBorder="1" applyAlignment="1">
      <alignment horizontal="center" vertical="center"/>
    </xf>
    <xf numFmtId="0" fontId="0" fillId="0" borderId="3" xfId="3" applyNumberFormat="1" applyFont="1" applyBorder="1" applyAlignment="1">
      <alignment horizontal="center" vertical="center"/>
    </xf>
    <xf numFmtId="0" fontId="0" fillId="0" borderId="3" xfId="0" applyNumberFormat="1" applyBorder="1"/>
    <xf numFmtId="9" fontId="5" fillId="0" borderId="3" xfId="3" applyFont="1" applyBorder="1" applyAlignment="1">
      <alignment horizontal="center" vertical="center"/>
    </xf>
    <xf numFmtId="1" fontId="5" fillId="0" borderId="3" xfId="0" applyNumberFormat="1"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5" borderId="0" xfId="0" applyNumberFormat="1" applyFill="1" applyAlignment="1">
      <alignment horizontal="center" vertical="center"/>
    </xf>
    <xf numFmtId="0" fontId="0" fillId="0" borderId="0" xfId="0" applyAlignment="1">
      <alignment horizontal="center" vertical="center" wrapText="1"/>
    </xf>
    <xf numFmtId="14" fontId="45" fillId="12" borderId="17" xfId="0" applyNumberFormat="1" applyFont="1" applyFill="1" applyBorder="1" applyAlignment="1">
      <alignment horizontal="center" vertical="center"/>
    </xf>
    <xf numFmtId="0" fontId="45" fillId="12" borderId="17" xfId="0" applyFont="1" applyFill="1" applyBorder="1" applyAlignment="1">
      <alignment horizontal="left" vertical="center" wrapText="1"/>
    </xf>
    <xf numFmtId="0" fontId="45" fillId="12" borderId="17" xfId="0" applyFont="1" applyFill="1" applyBorder="1" applyAlignment="1">
      <alignment horizontal="center" vertical="center"/>
    </xf>
    <xf numFmtId="164" fontId="45" fillId="12" borderId="17" xfId="0" applyNumberFormat="1" applyFont="1" applyFill="1" applyBorder="1" applyAlignment="1">
      <alignment horizontal="center" vertical="center"/>
    </xf>
    <xf numFmtId="0" fontId="45" fillId="12" borderId="17" xfId="0" applyFont="1" applyFill="1" applyBorder="1" applyAlignment="1">
      <alignment horizontal="center" vertical="center" wrapText="1"/>
    </xf>
    <xf numFmtId="0" fontId="45" fillId="12" borderId="18" xfId="0" applyFont="1" applyFill="1" applyBorder="1" applyAlignment="1">
      <alignment horizontal="center" vertical="center"/>
    </xf>
    <xf numFmtId="14" fontId="45" fillId="0" borderId="17" xfId="0" applyNumberFormat="1" applyFont="1" applyBorder="1" applyAlignment="1">
      <alignment horizontal="center" vertical="center"/>
    </xf>
    <xf numFmtId="0" fontId="45" fillId="0" borderId="17" xfId="0" applyFont="1" applyBorder="1" applyAlignment="1">
      <alignment horizontal="left" vertical="center" wrapText="1"/>
    </xf>
    <xf numFmtId="0" fontId="45" fillId="0" borderId="17" xfId="0" applyFont="1" applyBorder="1" applyAlignment="1">
      <alignment horizontal="center" vertical="center"/>
    </xf>
    <xf numFmtId="164" fontId="45" fillId="0" borderId="17" xfId="0" applyNumberFormat="1" applyFont="1" applyBorder="1" applyAlignment="1">
      <alignment horizontal="center" vertical="center"/>
    </xf>
    <xf numFmtId="0" fontId="45" fillId="0" borderId="17" xfId="0" applyFont="1" applyBorder="1" applyAlignment="1">
      <alignment horizontal="center" vertical="center" wrapText="1"/>
    </xf>
    <xf numFmtId="0" fontId="45" fillId="0" borderId="18" xfId="0" applyFont="1" applyBorder="1" applyAlignment="1">
      <alignment horizontal="center" vertical="center"/>
    </xf>
    <xf numFmtId="0" fontId="45" fillId="12" borderId="16" xfId="0" applyFont="1" applyFill="1" applyBorder="1" applyAlignment="1">
      <alignment horizontal="center" vertical="center"/>
    </xf>
    <xf numFmtId="0" fontId="45" fillId="0" borderId="16" xfId="0" applyFont="1" applyBorder="1" applyAlignment="1">
      <alignment horizontal="center" vertical="center"/>
    </xf>
    <xf numFmtId="0" fontId="45" fillId="0" borderId="18" xfId="0" applyNumberFormat="1" applyFont="1" applyBorder="1" applyAlignment="1">
      <alignment horizontal="center" vertical="center"/>
    </xf>
    <xf numFmtId="0" fontId="45" fillId="12" borderId="18" xfId="0" applyNumberFormat="1" applyFont="1" applyFill="1" applyBorder="1" applyAlignment="1">
      <alignment horizontal="center" vertical="center"/>
    </xf>
    <xf numFmtId="14" fontId="45" fillId="5" borderId="17" xfId="0" applyNumberFormat="1" applyFont="1" applyFill="1" applyBorder="1" applyAlignment="1">
      <alignment horizontal="center" vertical="center"/>
    </xf>
    <xf numFmtId="0" fontId="46" fillId="12" borderId="0" xfId="0" applyFont="1" applyFill="1"/>
    <xf numFmtId="14" fontId="46" fillId="12" borderId="0" xfId="0" applyNumberFormat="1" applyFont="1" applyFill="1"/>
    <xf numFmtId="0" fontId="46" fillId="0" borderId="0" xfId="0" applyFont="1"/>
    <xf numFmtId="14" fontId="46" fillId="0" borderId="0" xfId="0" applyNumberFormat="1" applyFont="1"/>
    <xf numFmtId="0" fontId="46" fillId="12" borderId="21" xfId="0" applyFont="1" applyFill="1" applyBorder="1"/>
    <xf numFmtId="14" fontId="46" fillId="12" borderId="21" xfId="0" applyNumberFormat="1" applyFont="1" applyFill="1" applyBorder="1"/>
    <xf numFmtId="0" fontId="13" fillId="5" borderId="0" xfId="0" applyFont="1" applyFill="1" applyBorder="1" applyAlignment="1">
      <alignment horizontal="left" vertical="center"/>
    </xf>
    <xf numFmtId="0" fontId="13" fillId="5" borderId="14" xfId="0" applyFont="1" applyFill="1" applyBorder="1" applyAlignment="1">
      <alignment horizontal="left" vertical="center"/>
    </xf>
    <xf numFmtId="0" fontId="0" fillId="0" borderId="14" xfId="0" applyBorder="1" applyAlignment="1">
      <alignment horizontal="left" vertical="center"/>
    </xf>
    <xf numFmtId="0" fontId="13" fillId="0" borderId="11" xfId="0" applyFont="1" applyBorder="1" applyAlignment="1">
      <alignment vertical="center" wrapText="1"/>
    </xf>
    <xf numFmtId="0" fontId="24" fillId="6" borderId="6" xfId="0" applyFont="1" applyFill="1" applyBorder="1" applyAlignment="1">
      <alignment horizontal="center" vertical="center" wrapText="1"/>
    </xf>
    <xf numFmtId="0" fontId="25" fillId="6" borderId="9" xfId="0" applyFont="1" applyFill="1" applyBorder="1" applyAlignment="1">
      <alignment vertical="center" wrapText="1"/>
    </xf>
    <xf numFmtId="0" fontId="25" fillId="6" borderId="12" xfId="0" applyFont="1" applyFill="1" applyBorder="1" applyAlignment="1">
      <alignment vertical="center" wrapText="1"/>
    </xf>
    <xf numFmtId="0" fontId="11" fillId="0" borderId="0" xfId="0" applyFont="1" applyAlignment="1">
      <alignment horizontal="center" vertical="center" wrapText="1"/>
    </xf>
    <xf numFmtId="0" fontId="9" fillId="6" borderId="0" xfId="0" applyFont="1" applyFill="1" applyAlignment="1">
      <alignment horizontal="center"/>
    </xf>
    <xf numFmtId="0" fontId="11" fillId="0" borderId="0" xfId="0" applyFont="1" applyAlignment="1">
      <alignment horizontal="center" wrapText="1"/>
    </xf>
    <xf numFmtId="0" fontId="6" fillId="0" borderId="0" xfId="0" applyFont="1" applyAlignment="1">
      <alignment horizontal="center"/>
    </xf>
    <xf numFmtId="0" fontId="0" fillId="3" borderId="3" xfId="0" applyFill="1" applyBorder="1" applyAlignment="1">
      <alignment horizontal="center" wrapText="1"/>
    </xf>
    <xf numFmtId="0" fontId="0" fillId="0" borderId="4"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0" xfId="0" applyAlignment="1">
      <alignment horizontal="center"/>
    </xf>
    <xf numFmtId="0" fontId="0" fillId="0" borderId="0" xfId="0" applyFill="1" applyBorder="1" applyAlignment="1">
      <alignment horizontal="center"/>
    </xf>
    <xf numFmtId="0" fontId="8" fillId="0" borderId="0" xfId="0" applyFont="1" applyAlignment="1">
      <alignment horizontal="center" wrapText="1"/>
    </xf>
    <xf numFmtId="0" fontId="8" fillId="0" borderId="0" xfId="0" applyFont="1" applyAlignment="1">
      <alignment horizontal="center"/>
    </xf>
    <xf numFmtId="0" fontId="5" fillId="0" borderId="6" xfId="0" applyFont="1" applyBorder="1" applyAlignment="1">
      <alignment horizontal="center"/>
    </xf>
    <xf numFmtId="0" fontId="5" fillId="0" borderId="9" xfId="0" applyFont="1" applyBorder="1" applyAlignment="1">
      <alignment horizontal="center"/>
    </xf>
    <xf numFmtId="0" fontId="5" fillId="0" borderId="12" xfId="0" applyFont="1" applyBorder="1" applyAlignment="1">
      <alignment horizontal="center"/>
    </xf>
    <xf numFmtId="0" fontId="0" fillId="0" borderId="5" xfId="0" applyFill="1" applyBorder="1" applyAlignment="1">
      <alignment horizontal="center"/>
    </xf>
    <xf numFmtId="0" fontId="0" fillId="0" borderId="0" xfId="0" applyFill="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xf numFmtId="0" fontId="0" fillId="0" borderId="8"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5" fillId="0" borderId="6" xfId="0" applyFont="1" applyBorder="1" applyAlignment="1">
      <alignment horizontal="center" wrapText="1"/>
    </xf>
    <xf numFmtId="0" fontId="5" fillId="0" borderId="12" xfId="0" applyFont="1" applyBorder="1" applyAlignment="1">
      <alignment horizontal="center" wrapText="1"/>
    </xf>
    <xf numFmtId="0" fontId="0" fillId="0" borderId="4" xfId="0" applyBorder="1" applyAlignment="1">
      <alignment horizontal="center" wrapText="1"/>
    </xf>
    <xf numFmtId="0" fontId="0" fillId="0" borderId="5" xfId="0" applyBorder="1" applyAlignment="1">
      <alignment horizontal="center" wrapText="1"/>
    </xf>
    <xf numFmtId="0" fontId="0" fillId="0" borderId="4" xfId="0" applyBorder="1" applyAlignment="1">
      <alignment horizontal="center" vertical="center" wrapText="1"/>
    </xf>
    <xf numFmtId="0" fontId="0" fillId="0" borderId="5" xfId="0" applyBorder="1"/>
  </cellXfs>
  <cellStyles count="4">
    <cellStyle name="Input" xfId="2" builtinId="20"/>
    <cellStyle name="Normal" xfId="0" builtinId="0"/>
    <cellStyle name="Normal 2" xfId="1" xr:uid="{00000000-0005-0000-0000-000002000000}"/>
    <cellStyle name="Percent" xfId="3" builtinId="5"/>
  </cellStyles>
  <dxfs count="112">
    <dxf>
      <numFmt numFmtId="19" formatCode="m/d/yyyy"/>
    </dxf>
    <dxf>
      <numFmt numFmtId="19" formatCode="m/d/yyyy"/>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numFmt numFmtId="19" formatCode="m/d/yyyy"/>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1"/>
        <name val="Arial"/>
        <scheme val="none"/>
      </font>
      <numFmt numFmtId="19" formatCode="m/d/yyyy"/>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vertical/>
        <horizontal/>
      </border>
    </dxf>
    <dxf>
      <font>
        <b val="0"/>
        <i val="0"/>
        <strike val="0"/>
        <condense val="0"/>
        <extend val="0"/>
        <outline val="0"/>
        <shadow val="0"/>
        <u val="none"/>
        <vertAlign val="baseline"/>
        <sz val="10"/>
        <color theme="1"/>
        <name val="Arial"/>
        <scheme val="none"/>
      </font>
      <numFmt numFmtId="19" formatCode="m/d/yyyy"/>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vertical/>
        <horizontal/>
      </border>
    </dxf>
    <dxf>
      <font>
        <b val="0"/>
        <i val="0"/>
        <strike val="0"/>
        <condense val="0"/>
        <extend val="0"/>
        <outline val="0"/>
        <shadow val="0"/>
        <u val="none"/>
        <vertAlign val="baseline"/>
        <sz val="10"/>
        <color theme="5" tint="-0.249977111117893"/>
        <name val="Arial"/>
        <scheme val="none"/>
      </font>
      <numFmt numFmtId="19" formatCode="m/d/yyyy"/>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general" vertical="bottom" textRotation="0" wrapText="1"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numFmt numFmtId="19" formatCode="m/d/yyyy"/>
      <fill>
        <patternFill patternType="solid">
          <fgColor theme="5" tint="0.79998168889431442"/>
          <bgColor theme="5" tint="0.79998168889431442"/>
        </patternFill>
      </fill>
      <alignment horizontal="center" vertical="bottom" textRotation="0" wrapText="0" indent="0" justifyLastLine="0" shrinkToFit="0" readingOrder="0"/>
      <border diagonalUp="0" diagonalDown="0">
        <left/>
        <right/>
        <top style="thin">
          <color indexed="64"/>
        </top>
        <bottom/>
        <vertical/>
        <horizontal/>
      </border>
    </dxf>
    <dxf>
      <font>
        <b val="0"/>
        <i val="0"/>
        <strike val="0"/>
        <condense val="0"/>
        <extend val="0"/>
        <outline val="0"/>
        <shadow val="0"/>
        <u val="none"/>
        <vertAlign val="baseline"/>
        <sz val="10"/>
        <color theme="5" tint="-0.249977111117893"/>
        <name val="Arial"/>
        <scheme val="none"/>
      </font>
      <fill>
        <patternFill patternType="solid">
          <fgColor theme="5" tint="0.79998168889431442"/>
          <bgColor theme="5" tint="0.79998168889431442"/>
        </patternFill>
      </fill>
      <alignment horizontal="left" vertical="bottom" textRotation="0" wrapText="0" indent="0" justifyLastLine="0" shrinkToFit="0" readingOrder="0"/>
      <border diagonalUp="0" diagonalDown="0">
        <left/>
        <right/>
        <top style="thin">
          <color indexed="64"/>
        </top>
        <bottom/>
        <vertical/>
        <horizontal/>
      </border>
    </dxf>
    <dxf>
      <font>
        <b/>
        <i val="0"/>
        <strike val="0"/>
        <condense val="0"/>
        <extend val="0"/>
        <outline val="0"/>
        <shadow val="0"/>
        <u val="none"/>
        <vertAlign val="baseline"/>
        <sz val="10"/>
        <color theme="5" tint="-0.249977111117893"/>
        <name val="Century Gothic"/>
        <scheme val="none"/>
      </font>
      <fill>
        <patternFill patternType="solid">
          <fgColor indexed="64"/>
          <bgColor theme="9" tint="0.5999938962981048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numFmt numFmtId="0" formatCode="General"/>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numFmt numFmtId="19" formatCode="m/d/yyyy"/>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numFmt numFmtId="19" formatCode="m/d/yyyy"/>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numFmt numFmtId="19" formatCode="m/d/yyyy"/>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numFmt numFmtId="19" formatCode="m/d/yyyy"/>
      <fill>
        <patternFill patternType="solid">
          <fgColor theme="5" tint="0.79998168889431442"/>
          <bgColor theme="5" tint="0.79998168889431442"/>
        </patternFill>
      </fill>
      <alignment horizontal="center" vertical="center" textRotation="0" wrapText="0" indent="0" justifyLastLine="0" shrinkToFit="0" readingOrder="0"/>
      <border diagonalUp="0" diagonalDown="0" outline="0">
        <left/>
        <right/>
        <top style="thin">
          <color theme="5" tint="0.39997558519241921"/>
        </top>
        <bottom style="thin">
          <color theme="5" tint="0.39997558519241921"/>
        </bottom>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left" vertical="center" textRotation="0" wrapText="1"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left" vertical="center" textRotation="0" wrapText="1"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numFmt numFmtId="19" formatCode="m/d/yyyy"/>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0"/>
        <color theme="1"/>
        <name val="Arial"/>
        <scheme val="none"/>
      </font>
      <fill>
        <patternFill patternType="solid">
          <fgColor theme="5" tint="0.79998168889431442"/>
          <bgColor theme="5" tint="0.79998168889431442"/>
        </patternFill>
      </fill>
      <alignment horizontal="center" vertical="center" textRotation="0" wrapText="0" indent="0" justifyLastLine="0" shrinkToFit="0" readingOrder="0"/>
      <border diagonalUp="0" diagonalDown="0">
        <left style="thin">
          <color theme="5" tint="0.39997558519241921"/>
        </left>
        <right/>
        <top style="thin">
          <color theme="5" tint="0.39997558519241921"/>
        </top>
        <bottom style="thin">
          <color theme="5" tint="0.39997558519241921"/>
        </bottom>
        <vertical/>
        <horizontal/>
      </border>
    </dxf>
    <dxf>
      <border outline="0">
        <top style="thin">
          <color theme="5" tint="0.39997558519241921"/>
        </top>
      </border>
    </dxf>
    <dxf>
      <border outline="0">
        <top style="thin">
          <color indexed="64"/>
        </top>
        <bottom style="thin">
          <color theme="5" tint="0.39997558519241921"/>
        </bottom>
      </border>
    </dxf>
    <dxf>
      <border outline="0">
        <bottom style="thin">
          <color indexed="64"/>
        </bottom>
      </border>
    </dxf>
    <dxf>
      <numFmt numFmtId="0" formatCode="General"/>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164" formatCode="m/d/yyyy;@"/>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numFmt numFmtId="19" formatCode="m/d/yyyy"/>
      <alignment horizontal="center" vertical="center" textRotation="0" indent="0" justifyLastLine="0" shrinkToFit="0" readingOrder="0"/>
    </dxf>
    <dxf>
      <alignment horizontal="center" vertical="center" textRotation="0" indent="0" justifyLastLine="0" shrinkToFit="0" readingOrder="0"/>
    </dxf>
    <dxf>
      <border outline="0">
        <top style="thin">
          <color indexed="64"/>
        </top>
      </border>
    </dxf>
    <dxf>
      <alignment horizontal="center" vertical="center" textRotation="0" indent="0" justifyLastLine="0" shrinkToFit="0" readingOrder="0"/>
    </dxf>
    <dxf>
      <border outline="0">
        <bottom style="thin">
          <color indexed="64"/>
        </bottom>
      </border>
    </dxf>
    <dxf>
      <font>
        <b val="0"/>
        <i val="0"/>
        <strike val="0"/>
        <condense val="0"/>
        <extend val="0"/>
        <outline val="0"/>
        <shadow val="0"/>
        <u val="none"/>
        <vertAlign val="baseline"/>
        <sz val="10"/>
        <color auto="1"/>
        <name val="Century Gothic"/>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164" formatCode="m/d/yyyy;@"/>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numFmt numFmtId="19" formatCode="m/d/yyyy"/>
      <alignment horizontal="center" vertical="center" textRotation="0" indent="0" justifyLastLine="0" shrinkToFit="0" readingOrder="0"/>
    </dxf>
    <dxf>
      <alignment horizontal="center" vertical="center" textRotation="0" indent="0" justifyLastLine="0" shrinkToFit="0" readingOrder="0"/>
    </dxf>
    <dxf>
      <border outline="0">
        <top style="thin">
          <color rgb="FF000000"/>
        </top>
      </border>
    </dxf>
    <dxf>
      <alignment horizontal="center" vertical="center" textRotation="0" indent="0" justifyLastLine="0" shrinkToFit="0" readingOrder="0"/>
    </dxf>
    <dxf>
      <border outline="0">
        <bottom style="thin">
          <color rgb="FF000000"/>
        </bottom>
      </border>
    </dxf>
    <dxf>
      <font>
        <b val="0"/>
        <i val="0"/>
        <strike val="0"/>
        <condense val="0"/>
        <extend val="0"/>
        <outline val="0"/>
        <shadow val="0"/>
        <u val="none"/>
        <vertAlign val="baseline"/>
        <sz val="10"/>
        <color auto="1"/>
        <name val="Century Gothic"/>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164" formatCode="m/d/yyyy;@"/>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numFmt numFmtId="19" formatCode="m/d/yyyy"/>
      <alignment horizontal="center" vertical="center" textRotation="0" indent="0" justifyLastLine="0" shrinkToFit="0" readingOrder="0"/>
    </dxf>
    <dxf>
      <alignment horizontal="center" vertical="center" textRotation="0" indent="0" justifyLastLine="0" shrinkToFit="0" readingOrder="0"/>
    </dxf>
    <dxf>
      <border outline="0">
        <top style="thin">
          <color rgb="FF000000"/>
        </top>
      </border>
    </dxf>
    <dxf>
      <alignment horizontal="center" vertical="center" textRotation="0" indent="0" justifyLastLine="0" shrinkToFit="0" readingOrder="0"/>
    </dxf>
    <dxf>
      <border outline="0">
        <bottom style="thin">
          <color rgb="FF000000"/>
        </bottom>
      </border>
    </dxf>
    <dxf>
      <font>
        <b val="0"/>
        <i val="0"/>
        <strike val="0"/>
        <condense val="0"/>
        <extend val="0"/>
        <outline val="0"/>
        <shadow val="0"/>
        <u val="none"/>
        <vertAlign val="baseline"/>
        <sz val="10"/>
        <color auto="1"/>
        <name val="Century Gothic"/>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 Opened: 2018-2021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'Yearly Metrics'!$C$4</c:f>
              <c:strCache>
                <c:ptCount val="1"/>
                <c:pt idx="0">
                  <c:v>Number</c:v>
                </c:pt>
              </c:strCache>
            </c:strRef>
          </c:tx>
          <c:spPr>
            <a:solidFill>
              <a:schemeClr val="accent1"/>
            </a:solidFill>
            <a:ln>
              <a:noFill/>
            </a:ln>
            <a:effectLst/>
          </c:spPr>
          <c:invertIfNegative val="0"/>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1-20DD-4336-B340-6CC459F4275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'Yearly Metrics'!$B$7:$B$10</c:f>
              <c:numCache>
                <c:formatCode>General</c:formatCode>
                <c:ptCount val="4"/>
                <c:pt idx="0">
                  <c:v>2018</c:v>
                </c:pt>
                <c:pt idx="1">
                  <c:v>2019</c:v>
                </c:pt>
                <c:pt idx="2">
                  <c:v>2020</c:v>
                </c:pt>
                <c:pt idx="3">
                  <c:v>2021</c:v>
                </c:pt>
              </c:numCache>
            </c:numRef>
          </c:cat>
          <c:val>
            <c:numRef>
              <c:f>'Yearly Metrics'!$C$7:$C$10</c:f>
              <c:numCache>
                <c:formatCode>General</c:formatCode>
                <c:ptCount val="4"/>
                <c:pt idx="0">
                  <c:v>203</c:v>
                </c:pt>
                <c:pt idx="1">
                  <c:v>195</c:v>
                </c:pt>
                <c:pt idx="2">
                  <c:v>227</c:v>
                </c:pt>
                <c:pt idx="3">
                  <c:v>172</c:v>
                </c:pt>
              </c:numCache>
            </c:numRef>
          </c:val>
          <c:extLst>
            <c:ext xmlns:c16="http://schemas.microsoft.com/office/drawing/2014/chart" uri="{C3380CC4-5D6E-409C-BE32-E72D297353CC}">
              <c16:uniqueId val="{00000000-91FF-4284-8CE0-FA01FB3756C5}"/>
            </c:ext>
          </c:extLst>
        </c:ser>
        <c:dLbls>
          <c:showLegendKey val="0"/>
          <c:showVal val="0"/>
          <c:showCatName val="0"/>
          <c:showSerName val="0"/>
          <c:showPercent val="0"/>
          <c:showBubbleSize val="0"/>
        </c:dLbls>
        <c:gapWidth val="219"/>
        <c:overlap val="-27"/>
        <c:axId val="2123083759"/>
        <c:axId val="2123104975"/>
      </c:barChart>
      <c:catAx>
        <c:axId val="2123083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104975"/>
        <c:crosses val="autoZero"/>
        <c:auto val="1"/>
        <c:lblAlgn val="ctr"/>
        <c:lblOffset val="100"/>
        <c:noMultiLvlLbl val="0"/>
      </c:catAx>
      <c:valAx>
        <c:axId val="2123104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083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 Cycle Time: 2018-2021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'Yearly Metrics'!$C$4</c:f>
              <c:strCache>
                <c:ptCount val="1"/>
                <c:pt idx="0">
                  <c:v>Number</c:v>
                </c:pt>
              </c:strCache>
            </c:strRef>
          </c:tx>
          <c:spPr>
            <a:solidFill>
              <a:schemeClr val="accent1"/>
            </a:solidFill>
            <a:ln>
              <a:noFill/>
            </a:ln>
            <a:effectLst/>
          </c:spPr>
          <c:invertIfNegative val="0"/>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1-E801-4C5C-A7A9-DF5B8DD72A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'Yearly Metrics'!$B$7:$B$10</c:f>
              <c:numCache>
                <c:formatCode>General</c:formatCode>
                <c:ptCount val="4"/>
                <c:pt idx="0">
                  <c:v>2018</c:v>
                </c:pt>
                <c:pt idx="1">
                  <c:v>2019</c:v>
                </c:pt>
                <c:pt idx="2">
                  <c:v>2020</c:v>
                </c:pt>
                <c:pt idx="3">
                  <c:v>2021</c:v>
                </c:pt>
              </c:numCache>
            </c:numRef>
          </c:cat>
          <c:val>
            <c:numRef>
              <c:f>'Yearly Metrics'!$H$7:$H$10</c:f>
              <c:numCache>
                <c:formatCode>0</c:formatCode>
                <c:ptCount val="4"/>
                <c:pt idx="0">
                  <c:v>49.758793969849243</c:v>
                </c:pt>
                <c:pt idx="1">
                  <c:v>43.550264550264551</c:v>
                </c:pt>
                <c:pt idx="2">
                  <c:v>28.585253456221199</c:v>
                </c:pt>
                <c:pt idx="3">
                  <c:v>15.948905109489051</c:v>
                </c:pt>
              </c:numCache>
            </c:numRef>
          </c:val>
          <c:extLst>
            <c:ext xmlns:c16="http://schemas.microsoft.com/office/drawing/2014/chart" uri="{C3380CC4-5D6E-409C-BE32-E72D297353CC}">
              <c16:uniqueId val="{00000000-3540-4E1E-ADA9-0ED1341E0DDD}"/>
            </c:ext>
          </c:extLst>
        </c:ser>
        <c:dLbls>
          <c:showLegendKey val="0"/>
          <c:showVal val="0"/>
          <c:showCatName val="0"/>
          <c:showSerName val="0"/>
          <c:showPercent val="0"/>
          <c:showBubbleSize val="0"/>
        </c:dLbls>
        <c:gapWidth val="219"/>
        <c:overlap val="-27"/>
        <c:axId val="2123083759"/>
        <c:axId val="2123104975"/>
      </c:barChart>
      <c:catAx>
        <c:axId val="2123083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104975"/>
        <c:crosses val="autoZero"/>
        <c:auto val="1"/>
        <c:lblAlgn val="ctr"/>
        <c:lblOffset val="100"/>
        <c:noMultiLvlLbl val="0"/>
      </c:catAx>
      <c:valAx>
        <c:axId val="21231049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083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 Closed: 2018-2021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'Yearly Metrics'!$C$4</c:f>
              <c:strCache>
                <c:ptCount val="1"/>
                <c:pt idx="0">
                  <c:v>Number</c:v>
                </c:pt>
              </c:strCache>
            </c:strRef>
          </c:tx>
          <c:spPr>
            <a:solidFill>
              <a:schemeClr val="accent1"/>
            </a:solidFill>
            <a:ln>
              <a:noFill/>
            </a:ln>
            <a:effectLst/>
          </c:spPr>
          <c:invertIfNegative val="0"/>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1-679F-44A8-9C5E-E2D491875B4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'Yearly Metrics'!$B$7:$B$10</c:f>
              <c:numCache>
                <c:formatCode>General</c:formatCode>
                <c:ptCount val="4"/>
                <c:pt idx="0">
                  <c:v>2018</c:v>
                </c:pt>
                <c:pt idx="1">
                  <c:v>2019</c:v>
                </c:pt>
                <c:pt idx="2">
                  <c:v>2020</c:v>
                </c:pt>
                <c:pt idx="3">
                  <c:v>2021</c:v>
                </c:pt>
              </c:numCache>
            </c:numRef>
          </c:cat>
          <c:val>
            <c:numRef>
              <c:f>'Yearly Metrics'!$G$7:$G$10</c:f>
              <c:numCache>
                <c:formatCode>General</c:formatCode>
                <c:ptCount val="4"/>
                <c:pt idx="0">
                  <c:v>199</c:v>
                </c:pt>
                <c:pt idx="1">
                  <c:v>189</c:v>
                </c:pt>
                <c:pt idx="2">
                  <c:v>216</c:v>
                </c:pt>
                <c:pt idx="3">
                  <c:v>126</c:v>
                </c:pt>
              </c:numCache>
            </c:numRef>
          </c:val>
          <c:extLst>
            <c:ext xmlns:c16="http://schemas.microsoft.com/office/drawing/2014/chart" uri="{C3380CC4-5D6E-409C-BE32-E72D297353CC}">
              <c16:uniqueId val="{00000000-1E61-4DC2-941F-4FBF0355E7EE}"/>
            </c:ext>
          </c:extLst>
        </c:ser>
        <c:dLbls>
          <c:showLegendKey val="0"/>
          <c:showVal val="0"/>
          <c:showCatName val="0"/>
          <c:showSerName val="0"/>
          <c:showPercent val="0"/>
          <c:showBubbleSize val="0"/>
        </c:dLbls>
        <c:gapWidth val="219"/>
        <c:overlap val="-27"/>
        <c:axId val="2123083759"/>
        <c:axId val="2123104975"/>
      </c:barChart>
      <c:catAx>
        <c:axId val="2123083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104975"/>
        <c:crosses val="autoZero"/>
        <c:auto val="1"/>
        <c:lblAlgn val="ctr"/>
        <c:lblOffset val="100"/>
        <c:noMultiLvlLbl val="0"/>
      </c:catAx>
      <c:valAx>
        <c:axId val="2123104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083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 % On Time: 2018-2021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'Yearly Metrics'!$C$4</c:f>
              <c:strCache>
                <c:ptCount val="1"/>
                <c:pt idx="0">
                  <c:v>Number</c:v>
                </c:pt>
              </c:strCache>
            </c:strRef>
          </c:tx>
          <c:spPr>
            <a:solidFill>
              <a:schemeClr val="accent1"/>
            </a:solidFill>
            <a:ln>
              <a:noFill/>
            </a:ln>
            <a:effectLst/>
          </c:spPr>
          <c:invertIfNegative val="0"/>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1-C273-4D1C-981E-EAF2826EEB2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'Yearly Metrics'!$B$7:$B$10</c:f>
              <c:numCache>
                <c:formatCode>General</c:formatCode>
                <c:ptCount val="4"/>
                <c:pt idx="0">
                  <c:v>2018</c:v>
                </c:pt>
                <c:pt idx="1">
                  <c:v>2019</c:v>
                </c:pt>
                <c:pt idx="2">
                  <c:v>2020</c:v>
                </c:pt>
                <c:pt idx="3">
                  <c:v>2021</c:v>
                </c:pt>
              </c:numCache>
            </c:numRef>
          </c:cat>
          <c:val>
            <c:numRef>
              <c:f>'Yearly Metrics'!$I$7:$I$10</c:f>
              <c:numCache>
                <c:formatCode>0%</c:formatCode>
                <c:ptCount val="4"/>
                <c:pt idx="0">
                  <c:v>0.77386934673366836</c:v>
                </c:pt>
                <c:pt idx="1">
                  <c:v>0.8835978835978836</c:v>
                </c:pt>
                <c:pt idx="2">
                  <c:v>0.93518518518518523</c:v>
                </c:pt>
                <c:pt idx="3">
                  <c:v>0.96031746031746035</c:v>
                </c:pt>
              </c:numCache>
            </c:numRef>
          </c:val>
          <c:extLst>
            <c:ext xmlns:c16="http://schemas.microsoft.com/office/drawing/2014/chart" uri="{C3380CC4-5D6E-409C-BE32-E72D297353CC}">
              <c16:uniqueId val="{00000000-F113-40C1-976D-5C6DF1EC010C}"/>
            </c:ext>
          </c:extLst>
        </c:ser>
        <c:dLbls>
          <c:showLegendKey val="0"/>
          <c:showVal val="0"/>
          <c:showCatName val="0"/>
          <c:showSerName val="0"/>
          <c:showPercent val="0"/>
          <c:showBubbleSize val="0"/>
        </c:dLbls>
        <c:gapWidth val="219"/>
        <c:overlap val="-27"/>
        <c:axId val="2123083759"/>
        <c:axId val="2123104975"/>
      </c:barChart>
      <c:catAx>
        <c:axId val="2123083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104975"/>
        <c:crosses val="autoZero"/>
        <c:auto val="1"/>
        <c:lblAlgn val="ctr"/>
        <c:lblOffset val="100"/>
        <c:noMultiLvlLbl val="0"/>
      </c:catAx>
      <c:valAx>
        <c:axId val="21231049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083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 by System: 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55-4B3A-8AD5-650AADA7B2F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B55-4B3A-8AD5-650AADA7B2F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B55-4B3A-8AD5-650AADA7B2F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B55-4B3A-8AD5-650AADA7B2F2}"/>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B55-4B3A-8AD5-650AADA7B2F2}"/>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B55-4B3A-8AD5-650AADA7B2F2}"/>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B55-4B3A-8AD5-650AADA7B2F2}"/>
              </c:ext>
            </c:extLst>
          </c:dPt>
          <c:cat>
            <c:strRef>
              <c:f>'Yearly Metrics'!$R$7:$R$13</c:f>
              <c:strCache>
                <c:ptCount val="7"/>
                <c:pt idx="0">
                  <c:v>Analytical Document (A)</c:v>
                </c:pt>
                <c:pt idx="1">
                  <c:v>SE/CS Batch Record (BR)</c:v>
                </c:pt>
                <c:pt idx="2">
                  <c:v>SE Document Other (SE)</c:v>
                </c:pt>
                <c:pt idx="3">
                  <c:v>Equipment (E)</c:v>
                </c:pt>
                <c:pt idx="4">
                  <c:v>Facility (F)</c:v>
                </c:pt>
                <c:pt idx="5">
                  <c:v>Document Other (D)</c:v>
                </c:pt>
                <c:pt idx="6">
                  <c:v>SOP (SOP)</c:v>
                </c:pt>
              </c:strCache>
            </c:strRef>
          </c:cat>
          <c:val>
            <c:numRef>
              <c:f>'Yearly Metrics'!$V$7:$V$13</c:f>
              <c:numCache>
                <c:formatCode>General</c:formatCode>
                <c:ptCount val="7"/>
                <c:pt idx="0">
                  <c:v>63</c:v>
                </c:pt>
                <c:pt idx="1">
                  <c:v>2</c:v>
                </c:pt>
                <c:pt idx="2">
                  <c:v>6</c:v>
                </c:pt>
                <c:pt idx="3">
                  <c:v>27</c:v>
                </c:pt>
                <c:pt idx="4">
                  <c:v>17</c:v>
                </c:pt>
                <c:pt idx="5">
                  <c:v>13</c:v>
                </c:pt>
                <c:pt idx="6">
                  <c:v>44</c:v>
                </c:pt>
              </c:numCache>
            </c:numRef>
          </c:val>
          <c:extLst>
            <c:ext xmlns:c16="http://schemas.microsoft.com/office/drawing/2014/chart" uri="{C3380CC4-5D6E-409C-BE32-E72D297353CC}">
              <c16:uniqueId val="{00000000-0345-4ADF-8DBE-BEAD49D8FAF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a:t>
            </a:r>
            <a:r>
              <a:rPr lang="en-US" baseline="0"/>
              <a:t> Controls Initiated - 2021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'Quarterly Metrics'!$B$5:$B$6</c:f>
              <c:strCache>
                <c:ptCount val="2"/>
                <c:pt idx="0">
                  <c:v>Q1</c:v>
                </c:pt>
                <c:pt idx="1">
                  <c:v>Q2</c:v>
                </c:pt>
              </c:strCache>
            </c:strRef>
          </c:cat>
          <c:val>
            <c:numRef>
              <c:f>'Quarterly Metrics'!$E$5:$E$6</c:f>
              <c:numCache>
                <c:formatCode>General</c:formatCode>
                <c:ptCount val="2"/>
                <c:pt idx="0">
                  <c:v>58</c:v>
                </c:pt>
                <c:pt idx="1">
                  <c:v>62</c:v>
                </c:pt>
              </c:numCache>
            </c:numRef>
          </c:val>
          <c:extLst>
            <c:ext xmlns:c16="http://schemas.microsoft.com/office/drawing/2014/chart" uri="{C3380CC4-5D6E-409C-BE32-E72D297353CC}">
              <c16:uniqueId val="{00000000-7E6A-4A35-BD84-7880570B6E18}"/>
            </c:ext>
          </c:extLst>
        </c:ser>
        <c:dLbls>
          <c:showLegendKey val="0"/>
          <c:showVal val="0"/>
          <c:showCatName val="0"/>
          <c:showSerName val="0"/>
          <c:showPercent val="0"/>
          <c:showBubbleSize val="0"/>
        </c:dLbls>
        <c:gapWidth val="219"/>
        <c:overlap val="-27"/>
        <c:axId val="1722579215"/>
        <c:axId val="1722591279"/>
      </c:barChart>
      <c:catAx>
        <c:axId val="1722579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91279"/>
        <c:crosses val="autoZero"/>
        <c:auto val="1"/>
        <c:lblAlgn val="ctr"/>
        <c:lblOffset val="100"/>
        <c:noMultiLvlLbl val="0"/>
      </c:catAx>
      <c:valAx>
        <c:axId val="17225912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79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a:t>
            </a:r>
            <a:r>
              <a:rPr lang="en-US" baseline="0"/>
              <a:t> Controls Opened by Level - 2021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Level 1</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'Quarterly Metrics'!$B$5:$B$6</c:f>
              <c:strCache>
                <c:ptCount val="2"/>
                <c:pt idx="0">
                  <c:v>Q1</c:v>
                </c:pt>
                <c:pt idx="1">
                  <c:v>Q2</c:v>
                </c:pt>
              </c:strCache>
            </c:strRef>
          </c:cat>
          <c:val>
            <c:numRef>
              <c:f>'Quarterly Metrics'!$F$5:$F$6</c:f>
              <c:numCache>
                <c:formatCode>General</c:formatCode>
                <c:ptCount val="2"/>
                <c:pt idx="0">
                  <c:v>58</c:v>
                </c:pt>
                <c:pt idx="1">
                  <c:v>61</c:v>
                </c:pt>
              </c:numCache>
            </c:numRef>
          </c:val>
          <c:extLst>
            <c:ext xmlns:c16="http://schemas.microsoft.com/office/drawing/2014/chart" uri="{C3380CC4-5D6E-409C-BE32-E72D297353CC}">
              <c16:uniqueId val="{00000000-250C-46AD-876A-A237E0E6F8E4}"/>
            </c:ext>
          </c:extLst>
        </c:ser>
        <c:ser>
          <c:idx val="1"/>
          <c:order val="1"/>
          <c:tx>
            <c:v>Level 2</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'Quarterly Metrics'!$B$5:$B$6</c:f>
              <c:strCache>
                <c:ptCount val="2"/>
                <c:pt idx="0">
                  <c:v>Q1</c:v>
                </c:pt>
                <c:pt idx="1">
                  <c:v>Q2</c:v>
                </c:pt>
              </c:strCache>
            </c:strRef>
          </c:cat>
          <c:val>
            <c:numRef>
              <c:f>'Quarterly Metrics'!$G$5:$G$6</c:f>
              <c:numCache>
                <c:formatCode>General</c:formatCode>
                <c:ptCount val="2"/>
                <c:pt idx="0">
                  <c:v>0</c:v>
                </c:pt>
                <c:pt idx="1">
                  <c:v>1</c:v>
                </c:pt>
              </c:numCache>
            </c:numRef>
          </c:val>
          <c:extLst>
            <c:ext xmlns:c16="http://schemas.microsoft.com/office/drawing/2014/chart" uri="{C3380CC4-5D6E-409C-BE32-E72D297353CC}">
              <c16:uniqueId val="{00000002-250C-46AD-876A-A237E0E6F8E4}"/>
            </c:ext>
          </c:extLst>
        </c:ser>
        <c:dLbls>
          <c:showLegendKey val="0"/>
          <c:showVal val="0"/>
          <c:showCatName val="0"/>
          <c:showSerName val="0"/>
          <c:showPercent val="0"/>
          <c:showBubbleSize val="0"/>
        </c:dLbls>
        <c:gapWidth val="219"/>
        <c:overlap val="-27"/>
        <c:axId val="1722579215"/>
        <c:axId val="1722591279"/>
      </c:barChart>
      <c:catAx>
        <c:axId val="1722579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91279"/>
        <c:crosses val="autoZero"/>
        <c:auto val="1"/>
        <c:lblAlgn val="ctr"/>
        <c:lblOffset val="100"/>
        <c:noMultiLvlLbl val="0"/>
      </c:catAx>
      <c:valAx>
        <c:axId val="17225912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79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a:t>
            </a:r>
            <a:r>
              <a:rPr lang="en-US" baseline="0"/>
              <a:t> Controls Status by Quarter - 2021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v>Closed</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'Quarterly Metrics'!$B$5:$B$6</c:f>
              <c:strCache>
                <c:ptCount val="2"/>
                <c:pt idx="0">
                  <c:v>Q1</c:v>
                </c:pt>
                <c:pt idx="1">
                  <c:v>Q2</c:v>
                </c:pt>
              </c:strCache>
            </c:strRef>
          </c:cat>
          <c:val>
            <c:numRef>
              <c:f>'Quarterly Metrics'!$I$5:$I$6</c:f>
              <c:numCache>
                <c:formatCode>General</c:formatCode>
                <c:ptCount val="2"/>
                <c:pt idx="0">
                  <c:v>55</c:v>
                </c:pt>
                <c:pt idx="1">
                  <c:v>47</c:v>
                </c:pt>
              </c:numCache>
            </c:numRef>
          </c:val>
          <c:extLst>
            <c:ext xmlns:c16="http://schemas.microsoft.com/office/drawing/2014/chart" uri="{C3380CC4-5D6E-409C-BE32-E72D297353CC}">
              <c16:uniqueId val="{00000002-2AE6-46E1-BCC3-EF427EF16173}"/>
            </c:ext>
          </c:extLst>
        </c:ser>
        <c:ser>
          <c:idx val="0"/>
          <c:order val="1"/>
          <c:tx>
            <c:v>Open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'Quarterly Metrics'!$B$5:$B$6</c:f>
              <c:strCache>
                <c:ptCount val="2"/>
                <c:pt idx="0">
                  <c:v>Q1</c:v>
                </c:pt>
                <c:pt idx="1">
                  <c:v>Q2</c:v>
                </c:pt>
              </c:strCache>
            </c:strRef>
          </c:cat>
          <c:val>
            <c:numRef>
              <c:f>'Quarterly Metrics'!$H$5:$H$6</c:f>
              <c:numCache>
                <c:formatCode>General</c:formatCode>
                <c:ptCount val="2"/>
                <c:pt idx="0">
                  <c:v>3</c:v>
                </c:pt>
                <c:pt idx="1">
                  <c:v>15</c:v>
                </c:pt>
              </c:numCache>
            </c:numRef>
          </c:val>
          <c:extLst>
            <c:ext xmlns:c16="http://schemas.microsoft.com/office/drawing/2014/chart" uri="{C3380CC4-5D6E-409C-BE32-E72D297353CC}">
              <c16:uniqueId val="{00000000-2AE6-46E1-BCC3-EF427EF16173}"/>
            </c:ext>
          </c:extLst>
        </c:ser>
        <c:dLbls>
          <c:showLegendKey val="0"/>
          <c:showVal val="0"/>
          <c:showCatName val="0"/>
          <c:showSerName val="0"/>
          <c:showPercent val="0"/>
          <c:showBubbleSize val="0"/>
        </c:dLbls>
        <c:gapWidth val="219"/>
        <c:overlap val="100"/>
        <c:axId val="1722579215"/>
        <c:axId val="1722591279"/>
      </c:barChart>
      <c:catAx>
        <c:axId val="1722579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91279"/>
        <c:crosses val="autoZero"/>
        <c:auto val="1"/>
        <c:lblAlgn val="ctr"/>
        <c:lblOffset val="100"/>
        <c:noMultiLvlLbl val="0"/>
      </c:catAx>
      <c:valAx>
        <c:axId val="17225912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79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a:t>
            </a:r>
            <a:r>
              <a:rPr lang="en-US" baseline="0"/>
              <a:t> Controls Cycle Time - 2021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'Quarterly Metrics'!$B$5:$B$6</c:f>
              <c:strCache>
                <c:ptCount val="2"/>
                <c:pt idx="0">
                  <c:v>Q1</c:v>
                </c:pt>
                <c:pt idx="1">
                  <c:v>Q2</c:v>
                </c:pt>
              </c:strCache>
            </c:strRef>
          </c:cat>
          <c:val>
            <c:numRef>
              <c:f>'Quarterly Metrics'!$J$5:$J$6</c:f>
              <c:numCache>
                <c:formatCode>0</c:formatCode>
                <c:ptCount val="2"/>
                <c:pt idx="0">
                  <c:v>18.09090909090909</c:v>
                </c:pt>
                <c:pt idx="1">
                  <c:v>16.957446808510639</c:v>
                </c:pt>
              </c:numCache>
            </c:numRef>
          </c:val>
          <c:extLst>
            <c:ext xmlns:c16="http://schemas.microsoft.com/office/drawing/2014/chart" uri="{C3380CC4-5D6E-409C-BE32-E72D297353CC}">
              <c16:uniqueId val="{00000000-A2EB-4C27-B9A5-60363DCF4D96}"/>
            </c:ext>
          </c:extLst>
        </c:ser>
        <c:dLbls>
          <c:showLegendKey val="0"/>
          <c:showVal val="0"/>
          <c:showCatName val="0"/>
          <c:showSerName val="0"/>
          <c:showPercent val="0"/>
          <c:showBubbleSize val="0"/>
        </c:dLbls>
        <c:gapWidth val="219"/>
        <c:overlap val="-27"/>
        <c:axId val="1722579215"/>
        <c:axId val="1722591279"/>
      </c:barChart>
      <c:catAx>
        <c:axId val="1722579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91279"/>
        <c:crosses val="autoZero"/>
        <c:auto val="1"/>
        <c:lblAlgn val="ctr"/>
        <c:lblOffset val="100"/>
        <c:noMultiLvlLbl val="0"/>
      </c:catAx>
      <c:valAx>
        <c:axId val="17225912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79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a:t>
            </a:r>
            <a:r>
              <a:rPr lang="en-US" baseline="0"/>
              <a:t> Controls % On-Time - 2021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'Quarterly Metrics'!$B$5:$B$6</c:f>
              <c:strCache>
                <c:ptCount val="2"/>
                <c:pt idx="0">
                  <c:v>Q1</c:v>
                </c:pt>
                <c:pt idx="1">
                  <c:v>Q2</c:v>
                </c:pt>
              </c:strCache>
            </c:strRef>
          </c:cat>
          <c:val>
            <c:numRef>
              <c:f>'Quarterly Metrics'!$K$5:$K$6</c:f>
              <c:numCache>
                <c:formatCode>0%</c:formatCode>
                <c:ptCount val="2"/>
                <c:pt idx="0">
                  <c:v>0.96363636363636362</c:v>
                </c:pt>
                <c:pt idx="1">
                  <c:v>0.97872340425531912</c:v>
                </c:pt>
              </c:numCache>
            </c:numRef>
          </c:val>
          <c:extLst>
            <c:ext xmlns:c16="http://schemas.microsoft.com/office/drawing/2014/chart" uri="{C3380CC4-5D6E-409C-BE32-E72D297353CC}">
              <c16:uniqueId val="{00000000-6499-48B8-BD5E-DB76925BB056}"/>
            </c:ext>
          </c:extLst>
        </c:ser>
        <c:dLbls>
          <c:showLegendKey val="0"/>
          <c:showVal val="0"/>
          <c:showCatName val="0"/>
          <c:showSerName val="0"/>
          <c:showPercent val="0"/>
          <c:showBubbleSize val="0"/>
        </c:dLbls>
        <c:gapWidth val="219"/>
        <c:overlap val="-27"/>
        <c:axId val="1722579215"/>
        <c:axId val="1722591279"/>
      </c:barChart>
      <c:catAx>
        <c:axId val="1722579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91279"/>
        <c:crosses val="autoZero"/>
        <c:auto val="1"/>
        <c:lblAlgn val="ctr"/>
        <c:lblOffset val="100"/>
        <c:noMultiLvlLbl val="0"/>
      </c:catAx>
      <c:valAx>
        <c:axId val="1722591279"/>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79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a:t>
            </a:r>
            <a:r>
              <a:rPr lang="en-US" baseline="0"/>
              <a:t> Controls Extensions- 2021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First Extension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'Quarterly Metrics'!$B$5:$B$6</c:f>
              <c:strCache>
                <c:ptCount val="2"/>
                <c:pt idx="0">
                  <c:v>Q1</c:v>
                </c:pt>
                <c:pt idx="1">
                  <c:v>Q2</c:v>
                </c:pt>
              </c:strCache>
            </c:strRef>
          </c:cat>
          <c:val>
            <c:numRef>
              <c:f>'Quarterly Metrics'!$L$5:$L$6</c:f>
              <c:numCache>
                <c:formatCode>0%</c:formatCode>
                <c:ptCount val="2"/>
                <c:pt idx="0">
                  <c:v>1.8181818181818181E-2</c:v>
                </c:pt>
                <c:pt idx="1">
                  <c:v>0.10638297872340426</c:v>
                </c:pt>
              </c:numCache>
            </c:numRef>
          </c:val>
          <c:extLst>
            <c:ext xmlns:c16="http://schemas.microsoft.com/office/drawing/2014/chart" uri="{C3380CC4-5D6E-409C-BE32-E72D297353CC}">
              <c16:uniqueId val="{00000000-5617-421D-BFC2-96FFDDF5A592}"/>
            </c:ext>
          </c:extLst>
        </c:ser>
        <c:ser>
          <c:idx val="1"/>
          <c:order val="1"/>
          <c:tx>
            <c:v>Final Extension</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'Quarterly Metrics'!$B$5:$B$6</c:f>
              <c:strCache>
                <c:ptCount val="2"/>
                <c:pt idx="0">
                  <c:v>Q1</c:v>
                </c:pt>
                <c:pt idx="1">
                  <c:v>Q2</c:v>
                </c:pt>
              </c:strCache>
            </c:strRef>
          </c:cat>
          <c:val>
            <c:numRef>
              <c:f>'Quarterly Metrics'!$M$5:$M$6</c:f>
              <c:numCache>
                <c:formatCode>0%</c:formatCode>
                <c:ptCount val="2"/>
                <c:pt idx="0">
                  <c:v>0</c:v>
                </c:pt>
                <c:pt idx="1">
                  <c:v>0</c:v>
                </c:pt>
              </c:numCache>
            </c:numRef>
          </c:val>
          <c:extLst>
            <c:ext xmlns:c16="http://schemas.microsoft.com/office/drawing/2014/chart" uri="{C3380CC4-5D6E-409C-BE32-E72D297353CC}">
              <c16:uniqueId val="{00000001-5617-421D-BFC2-96FFDDF5A592}"/>
            </c:ext>
          </c:extLst>
        </c:ser>
        <c:dLbls>
          <c:showLegendKey val="0"/>
          <c:showVal val="0"/>
          <c:showCatName val="0"/>
          <c:showSerName val="0"/>
          <c:showPercent val="0"/>
          <c:showBubbleSize val="0"/>
        </c:dLbls>
        <c:gapWidth val="219"/>
        <c:overlap val="-27"/>
        <c:axId val="1722579215"/>
        <c:axId val="1722591279"/>
      </c:barChart>
      <c:catAx>
        <c:axId val="1722579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91279"/>
        <c:crosses val="autoZero"/>
        <c:auto val="1"/>
        <c:lblAlgn val="ctr"/>
        <c:lblOffset val="100"/>
        <c:noMultiLvlLbl val="0"/>
      </c:catAx>
      <c:valAx>
        <c:axId val="17225912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79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a:t>
            </a:r>
            <a:r>
              <a:rPr lang="en-US" baseline="0"/>
              <a:t> by System - 2021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5"/>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1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977-4B42-9717-F497AC6ECAF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977-4B42-9717-F497AC6ECAF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977-4B42-9717-F497AC6ECAF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977-4B42-9717-F497AC6ECAF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977-4B42-9717-F497AC6ECAF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977-4B42-9717-F497AC6ECAF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977-4B42-9717-F497AC6ECAF7}"/>
              </c:ext>
            </c:extLst>
          </c:dPt>
          <c:dLbls>
            <c:spPr>
              <a:solidFill>
                <a:schemeClr val="bg1">
                  <a:lumMod val="50000"/>
                  <a:alpha val="3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'Quarterly Metrics'!$B$11:$B$17</c:f>
              <c:strCache>
                <c:ptCount val="7"/>
                <c:pt idx="0">
                  <c:v>Analytical Document (A)</c:v>
                </c:pt>
                <c:pt idx="1">
                  <c:v>SE/CS Batch Record (BR)</c:v>
                </c:pt>
                <c:pt idx="2">
                  <c:v>SE Document Other (SE)</c:v>
                </c:pt>
                <c:pt idx="3">
                  <c:v>Equipment (E)</c:v>
                </c:pt>
                <c:pt idx="4">
                  <c:v>Facility (F)</c:v>
                </c:pt>
                <c:pt idx="5">
                  <c:v>Document Other (D)</c:v>
                </c:pt>
                <c:pt idx="6">
                  <c:v>SOP (SOP)</c:v>
                </c:pt>
              </c:strCache>
            </c:strRef>
          </c:cat>
          <c:val>
            <c:numRef>
              <c:f>'Quarterly Metrics'!$C$11:$C$17</c:f>
              <c:numCache>
                <c:formatCode>General</c:formatCode>
                <c:ptCount val="7"/>
                <c:pt idx="0">
                  <c:v>63</c:v>
                </c:pt>
                <c:pt idx="1">
                  <c:v>2</c:v>
                </c:pt>
                <c:pt idx="2">
                  <c:v>6</c:v>
                </c:pt>
                <c:pt idx="3">
                  <c:v>27</c:v>
                </c:pt>
                <c:pt idx="4">
                  <c:v>17</c:v>
                </c:pt>
                <c:pt idx="5">
                  <c:v>13</c:v>
                </c:pt>
                <c:pt idx="6">
                  <c:v>44</c:v>
                </c:pt>
              </c:numCache>
            </c:numRef>
          </c:val>
          <c:extLst>
            <c:ext xmlns:c16="http://schemas.microsoft.com/office/drawing/2014/chart" uri="{C3380CC4-5D6E-409C-BE32-E72D297353CC}">
              <c16:uniqueId val="{00000000-D4EC-4FD1-8B35-7BE16BF8449E}"/>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a:t>
            </a:r>
            <a:r>
              <a:rPr lang="en-US" baseline="0"/>
              <a:t> by System - 2021 Q1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5"/>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1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1AE-4FE7-AB09-1E9B2F10B57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1AE-4FE7-AB09-1E9B2F10B57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1AE-4FE7-AB09-1E9B2F10B57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1AE-4FE7-AB09-1E9B2F10B57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1AE-4FE7-AB09-1E9B2F10B57D}"/>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1AE-4FE7-AB09-1E9B2F10B57D}"/>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1AE-4FE7-AB09-1E9B2F10B57D}"/>
              </c:ext>
            </c:extLst>
          </c:dPt>
          <c:dLbls>
            <c:spPr>
              <a:solidFill>
                <a:schemeClr val="bg1">
                  <a:lumMod val="50000"/>
                  <a:alpha val="3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'Quarterly Metrics'!$B$11:$B$17</c:f>
              <c:strCache>
                <c:ptCount val="7"/>
                <c:pt idx="0">
                  <c:v>Analytical Document (A)</c:v>
                </c:pt>
                <c:pt idx="1">
                  <c:v>SE/CS Batch Record (BR)</c:v>
                </c:pt>
                <c:pt idx="2">
                  <c:v>SE Document Other (SE)</c:v>
                </c:pt>
                <c:pt idx="3">
                  <c:v>Equipment (E)</c:v>
                </c:pt>
                <c:pt idx="4">
                  <c:v>Facility (F)</c:v>
                </c:pt>
                <c:pt idx="5">
                  <c:v>Document Other (D)</c:v>
                </c:pt>
                <c:pt idx="6">
                  <c:v>SOP (SOP)</c:v>
                </c:pt>
              </c:strCache>
            </c:strRef>
          </c:cat>
          <c:val>
            <c:numRef>
              <c:f>'Quarterly Metrics'!$D$11:$D$17</c:f>
              <c:numCache>
                <c:formatCode>General</c:formatCode>
                <c:ptCount val="7"/>
                <c:pt idx="0">
                  <c:v>18</c:v>
                </c:pt>
                <c:pt idx="1">
                  <c:v>2</c:v>
                </c:pt>
                <c:pt idx="2">
                  <c:v>2</c:v>
                </c:pt>
                <c:pt idx="3">
                  <c:v>17</c:v>
                </c:pt>
                <c:pt idx="4">
                  <c:v>1</c:v>
                </c:pt>
                <c:pt idx="5">
                  <c:v>8</c:v>
                </c:pt>
                <c:pt idx="6">
                  <c:v>10</c:v>
                </c:pt>
              </c:numCache>
            </c:numRef>
          </c:val>
          <c:extLst>
            <c:ext xmlns:c16="http://schemas.microsoft.com/office/drawing/2014/chart" uri="{C3380CC4-5D6E-409C-BE32-E72D297353CC}">
              <c16:uniqueId val="{0000000E-61AE-4FE7-AB09-1E9B2F10B57D}"/>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a:t>
            </a:r>
            <a:r>
              <a:rPr lang="en-US" baseline="0"/>
              <a:t> by System - 2021 Q2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5"/>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11"/>
          <c:dPt>
            <c:idx val="0"/>
            <c:bubble3D val="0"/>
            <c:spPr>
              <a:solidFill>
                <a:schemeClr val="accent1"/>
              </a:solidFill>
              <a:ln w="0">
                <a:solidFill>
                  <a:schemeClr val="lt1"/>
                </a:solidFill>
              </a:ln>
              <a:effectLst/>
              <a:sp3d>
                <a:contourClr>
                  <a:schemeClr val="lt1"/>
                </a:contourClr>
              </a:sp3d>
            </c:spPr>
            <c:extLst>
              <c:ext xmlns:c16="http://schemas.microsoft.com/office/drawing/2014/chart" uri="{C3380CC4-5D6E-409C-BE32-E72D297353CC}">
                <c16:uniqueId val="{00000001-B3F9-4B42-BA3F-1967C401F6E4}"/>
              </c:ext>
            </c:extLst>
          </c:dPt>
          <c:dPt>
            <c:idx val="1"/>
            <c:bubble3D val="0"/>
            <c:spPr>
              <a:solidFill>
                <a:schemeClr val="accent2"/>
              </a:solidFill>
              <a:ln w="0">
                <a:solidFill>
                  <a:schemeClr val="lt1"/>
                </a:solidFill>
              </a:ln>
              <a:effectLst/>
              <a:sp3d>
                <a:contourClr>
                  <a:schemeClr val="lt1"/>
                </a:contourClr>
              </a:sp3d>
            </c:spPr>
            <c:extLst>
              <c:ext xmlns:c16="http://schemas.microsoft.com/office/drawing/2014/chart" uri="{C3380CC4-5D6E-409C-BE32-E72D297353CC}">
                <c16:uniqueId val="{00000003-B3F9-4B42-BA3F-1967C401F6E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3F9-4B42-BA3F-1967C401F6E4}"/>
              </c:ext>
            </c:extLst>
          </c:dPt>
          <c:dPt>
            <c:idx val="3"/>
            <c:bubble3D val="0"/>
            <c:spPr>
              <a:solidFill>
                <a:schemeClr val="accent4"/>
              </a:solidFill>
              <a:ln w="0">
                <a:solidFill>
                  <a:schemeClr val="lt1"/>
                </a:solidFill>
              </a:ln>
              <a:effectLst/>
              <a:sp3d>
                <a:contourClr>
                  <a:schemeClr val="lt1"/>
                </a:contourClr>
              </a:sp3d>
            </c:spPr>
            <c:extLst>
              <c:ext xmlns:c16="http://schemas.microsoft.com/office/drawing/2014/chart" uri="{C3380CC4-5D6E-409C-BE32-E72D297353CC}">
                <c16:uniqueId val="{00000007-B3F9-4B42-BA3F-1967C401F6E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3F9-4B42-BA3F-1967C401F6E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B3F9-4B42-BA3F-1967C401F6E4}"/>
              </c:ext>
            </c:extLst>
          </c:dPt>
          <c:dPt>
            <c:idx val="6"/>
            <c:bubble3D val="0"/>
            <c:spPr>
              <a:solidFill>
                <a:schemeClr val="accent1">
                  <a:lumMod val="60000"/>
                </a:schemeClr>
              </a:solidFill>
              <a:ln w="0">
                <a:solidFill>
                  <a:schemeClr val="lt1"/>
                </a:solidFill>
              </a:ln>
              <a:effectLst/>
              <a:sp3d>
                <a:contourClr>
                  <a:schemeClr val="lt1"/>
                </a:contourClr>
              </a:sp3d>
            </c:spPr>
            <c:extLst>
              <c:ext xmlns:c16="http://schemas.microsoft.com/office/drawing/2014/chart" uri="{C3380CC4-5D6E-409C-BE32-E72D297353CC}">
                <c16:uniqueId val="{0000000D-B3F9-4B42-BA3F-1967C401F6E4}"/>
              </c:ext>
            </c:extLst>
          </c:dPt>
          <c:dLbls>
            <c:spPr>
              <a:solidFill>
                <a:schemeClr val="bg1">
                  <a:lumMod val="50000"/>
                  <a:alpha val="3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'Quarterly Metrics'!$B$11:$B$17</c:f>
              <c:strCache>
                <c:ptCount val="7"/>
                <c:pt idx="0">
                  <c:v>Analytical Document (A)</c:v>
                </c:pt>
                <c:pt idx="1">
                  <c:v>SE/CS Batch Record (BR)</c:v>
                </c:pt>
                <c:pt idx="2">
                  <c:v>SE Document Other (SE)</c:v>
                </c:pt>
                <c:pt idx="3">
                  <c:v>Equipment (E)</c:v>
                </c:pt>
                <c:pt idx="4">
                  <c:v>Facility (F)</c:v>
                </c:pt>
                <c:pt idx="5">
                  <c:v>Document Other (D)</c:v>
                </c:pt>
                <c:pt idx="6">
                  <c:v>SOP (SOP)</c:v>
                </c:pt>
              </c:strCache>
            </c:strRef>
          </c:cat>
          <c:val>
            <c:numRef>
              <c:f>'Quarterly Metrics'!$E$11:$E$17</c:f>
              <c:numCache>
                <c:formatCode>General</c:formatCode>
                <c:ptCount val="7"/>
                <c:pt idx="0">
                  <c:v>19</c:v>
                </c:pt>
                <c:pt idx="1">
                  <c:v>0</c:v>
                </c:pt>
                <c:pt idx="2">
                  <c:v>4</c:v>
                </c:pt>
                <c:pt idx="3">
                  <c:v>5</c:v>
                </c:pt>
                <c:pt idx="4">
                  <c:v>10</c:v>
                </c:pt>
                <c:pt idx="5">
                  <c:v>3</c:v>
                </c:pt>
                <c:pt idx="6">
                  <c:v>21</c:v>
                </c:pt>
              </c:numCache>
            </c:numRef>
          </c:val>
          <c:extLst>
            <c:ext xmlns:c16="http://schemas.microsoft.com/office/drawing/2014/chart" uri="{C3380CC4-5D6E-409C-BE32-E72D297353CC}">
              <c16:uniqueId val="{0000000E-B3F9-4B42-BA3F-1967C401F6E4}"/>
            </c:ext>
          </c:extLst>
        </c:ser>
        <c:dLbls>
          <c:showLegendKey val="0"/>
          <c:showVal val="0"/>
          <c:showCatName val="0"/>
          <c:showSerName val="0"/>
          <c:showPercent val="0"/>
          <c:showBubbleSize val="0"/>
          <c:showLeaderLines val="1"/>
        </c:dLbls>
      </c:pie3DChart>
      <c:spPr>
        <a:noFill/>
        <a:ln>
          <a:noFill/>
        </a:ln>
        <a:effectLst/>
      </c:spPr>
    </c:plotArea>
    <c:legend>
      <c:legendPos val="b"/>
      <c:legendEntry>
        <c:idx val="0"/>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Entry>
      <c:legendEntry>
        <c:idx val="3"/>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Entry>
      <c:legendEntry>
        <c:idx val="4"/>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Entry>
      <c:overlay val="0"/>
      <c:spPr>
        <a:noFill/>
        <a:ln w="0">
          <a:solidFill>
            <a:schemeClr val="lt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a:t>
            </a:r>
            <a:r>
              <a:rPr lang="en-US" baseline="0"/>
              <a:t> by System - 2021 Q3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5"/>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1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DB4-4C70-BFB8-8398BC98B37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DB4-4C70-BFB8-8398BC98B37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DB4-4C70-BFB8-8398BC98B37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DB4-4C70-BFB8-8398BC98B37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DB4-4C70-BFB8-8398BC98B37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DB4-4C70-BFB8-8398BC98B37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DB4-4C70-BFB8-8398BC98B37B}"/>
              </c:ext>
            </c:extLst>
          </c:dPt>
          <c:dLbls>
            <c:spPr>
              <a:solidFill>
                <a:schemeClr val="bg1">
                  <a:lumMod val="50000"/>
                  <a:alpha val="3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'Quarterly Metrics'!$B$11:$B$17</c:f>
              <c:strCache>
                <c:ptCount val="7"/>
                <c:pt idx="0">
                  <c:v>Analytical Document (A)</c:v>
                </c:pt>
                <c:pt idx="1">
                  <c:v>SE/CS Batch Record (BR)</c:v>
                </c:pt>
                <c:pt idx="2">
                  <c:v>SE Document Other (SE)</c:v>
                </c:pt>
                <c:pt idx="3">
                  <c:v>Equipment (E)</c:v>
                </c:pt>
                <c:pt idx="4">
                  <c:v>Facility (F)</c:v>
                </c:pt>
                <c:pt idx="5">
                  <c:v>Document Other (D)</c:v>
                </c:pt>
                <c:pt idx="6">
                  <c:v>SOP (SOP)</c:v>
                </c:pt>
              </c:strCache>
            </c:strRef>
          </c:cat>
          <c:val>
            <c:numRef>
              <c:f>'Quarterly Metrics'!$F$11:$F$17</c:f>
              <c:numCache>
                <c:formatCode>General</c:formatCode>
                <c:ptCount val="7"/>
                <c:pt idx="0">
                  <c:v>24</c:v>
                </c:pt>
                <c:pt idx="1">
                  <c:v>0</c:v>
                </c:pt>
                <c:pt idx="2">
                  <c:v>0</c:v>
                </c:pt>
                <c:pt idx="3">
                  <c:v>5</c:v>
                </c:pt>
                <c:pt idx="4">
                  <c:v>6</c:v>
                </c:pt>
                <c:pt idx="5">
                  <c:v>2</c:v>
                </c:pt>
                <c:pt idx="6">
                  <c:v>13</c:v>
                </c:pt>
              </c:numCache>
            </c:numRef>
          </c:val>
          <c:extLst>
            <c:ext xmlns:c16="http://schemas.microsoft.com/office/drawing/2014/chart" uri="{C3380CC4-5D6E-409C-BE32-E72D297353CC}">
              <c16:uniqueId val="{0000000E-8DB4-4C70-BFB8-8398BC98B37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Controls</a:t>
            </a:r>
            <a:r>
              <a:rPr lang="en-US" baseline="0"/>
              <a:t> by System - 2021 Q4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5"/>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1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F962-48D7-B034-99DDFE96226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F962-48D7-B034-99DDFE96226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F962-48D7-B034-99DDFE96226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F962-48D7-B034-99DDFE96226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F962-48D7-B034-99DDFE96226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F962-48D7-B034-99DDFE96226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F962-48D7-B034-99DDFE962267}"/>
              </c:ext>
            </c:extLst>
          </c:dPt>
          <c:dLbls>
            <c:spPr>
              <a:solidFill>
                <a:schemeClr val="bg1">
                  <a:lumMod val="50000"/>
                  <a:alpha val="3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'Quarterly Metrics'!$B$11:$B$17</c:f>
              <c:strCache>
                <c:ptCount val="7"/>
                <c:pt idx="0">
                  <c:v>Analytical Document (A)</c:v>
                </c:pt>
                <c:pt idx="1">
                  <c:v>SE/CS Batch Record (BR)</c:v>
                </c:pt>
                <c:pt idx="2">
                  <c:v>SE Document Other (SE)</c:v>
                </c:pt>
                <c:pt idx="3">
                  <c:v>Equipment (E)</c:v>
                </c:pt>
                <c:pt idx="4">
                  <c:v>Facility (F)</c:v>
                </c:pt>
                <c:pt idx="5">
                  <c:v>Document Other (D)</c:v>
                </c:pt>
                <c:pt idx="6">
                  <c:v>SOP (SOP)</c:v>
                </c:pt>
              </c:strCache>
            </c:strRef>
          </c:cat>
          <c:val>
            <c:numRef>
              <c:f>'Quarterly Metrics'!$G$11:$G$17</c:f>
              <c:numCache>
                <c:formatCode>0</c:formatCode>
                <c:ptCount val="7"/>
                <c:pt idx="0">
                  <c:v>2</c:v>
                </c:pt>
                <c:pt idx="1">
                  <c:v>0</c:v>
                </c:pt>
                <c:pt idx="2">
                  <c:v>0</c:v>
                </c:pt>
                <c:pt idx="3">
                  <c:v>0</c:v>
                </c:pt>
                <c:pt idx="4">
                  <c:v>0</c:v>
                </c:pt>
                <c:pt idx="5">
                  <c:v>0</c:v>
                </c:pt>
                <c:pt idx="6">
                  <c:v>0</c:v>
                </c:pt>
              </c:numCache>
            </c:numRef>
          </c:val>
          <c:extLst>
            <c:ext xmlns:c16="http://schemas.microsoft.com/office/drawing/2014/chart" uri="{C3380CC4-5D6E-409C-BE32-E72D297353CC}">
              <c16:uniqueId val="{0000000E-F962-48D7-B034-99DDFE96226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webextension" Target="../webextensions/webextension2.xm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2414587</xdr:colOff>
      <xdr:row>206</xdr:row>
      <xdr:rowOff>85725</xdr:rowOff>
    </xdr:from>
    <xdr:to>
      <xdr:col>5</xdr:col>
      <xdr:colOff>138112</xdr:colOff>
      <xdr:row>212</xdr:row>
      <xdr:rowOff>295275</xdr:rowOff>
    </xdr:to>
    <mc:AlternateContent xmlns:mc="http://schemas.openxmlformats.org/markup-compatibility/2006">
      <mc:Choice xmlns:we="http://schemas.microsoft.com/office/webextensions/webextension/2010/11" Requires="we">
        <xdr:graphicFrame macro="">
          <xdr:nvGraphicFramePr>
            <xdr:cNvPr id="2" name="Add-in 1" title="Mini Calendar and Date Picker">
              <a:extLst>
                <a:ext uri="{FF2B5EF4-FFF2-40B4-BE49-F238E27FC236}">
                  <a16:creationId xmlns:a16="http://schemas.microsoft.com/office/drawing/2014/main" id="{3E671D68-D741-488C-A907-EBBBB8093BAC}"/>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title="Mini Calendar and Date Picker">
              <a:extLst>
                <a:ext uri="{FF2B5EF4-FFF2-40B4-BE49-F238E27FC236}">
                  <a16:creationId xmlns:a16="http://schemas.microsoft.com/office/drawing/2014/main" id="{3E671D68-D741-488C-A907-EBBBB8093BAC}"/>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590550</xdr:colOff>
      <xdr:row>13</xdr:row>
      <xdr:rowOff>85725</xdr:rowOff>
    </xdr:from>
    <xdr:to>
      <xdr:col>8</xdr:col>
      <xdr:colOff>9525</xdr:colOff>
      <xdr:row>30</xdr:row>
      <xdr:rowOff>76200</xdr:rowOff>
    </xdr:to>
    <xdr:graphicFrame macro="">
      <xdr:nvGraphicFramePr>
        <xdr:cNvPr id="2" name="Chart 1">
          <a:extLst>
            <a:ext uri="{FF2B5EF4-FFF2-40B4-BE49-F238E27FC236}">
              <a16:creationId xmlns:a16="http://schemas.microsoft.com/office/drawing/2014/main" id="{6551FF3C-818C-49C3-AE96-96E24F66EE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14</xdr:row>
      <xdr:rowOff>28575</xdr:rowOff>
    </xdr:from>
    <xdr:to>
      <xdr:col>16</xdr:col>
      <xdr:colOff>304800</xdr:colOff>
      <xdr:row>31</xdr:row>
      <xdr:rowOff>19050</xdr:rowOff>
    </xdr:to>
    <xdr:graphicFrame macro="">
      <xdr:nvGraphicFramePr>
        <xdr:cNvPr id="3" name="Chart 2">
          <a:extLst>
            <a:ext uri="{FF2B5EF4-FFF2-40B4-BE49-F238E27FC236}">
              <a16:creationId xmlns:a16="http://schemas.microsoft.com/office/drawing/2014/main" id="{A0B9756D-B336-4C95-9D8F-3D33F41279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32</xdr:row>
      <xdr:rowOff>0</xdr:rowOff>
    </xdr:from>
    <xdr:to>
      <xdr:col>8</xdr:col>
      <xdr:colOff>28575</xdr:colOff>
      <xdr:row>48</xdr:row>
      <xdr:rowOff>152400</xdr:rowOff>
    </xdr:to>
    <xdr:graphicFrame macro="">
      <xdr:nvGraphicFramePr>
        <xdr:cNvPr id="4" name="Chart 3">
          <a:extLst>
            <a:ext uri="{FF2B5EF4-FFF2-40B4-BE49-F238E27FC236}">
              <a16:creationId xmlns:a16="http://schemas.microsoft.com/office/drawing/2014/main" id="{7FD4DAB2-02A4-4C21-BC58-1F61597C69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32</xdr:row>
      <xdr:rowOff>0</xdr:rowOff>
    </xdr:from>
    <xdr:to>
      <xdr:col>16</xdr:col>
      <xdr:colOff>304800</xdr:colOff>
      <xdr:row>48</xdr:row>
      <xdr:rowOff>152400</xdr:rowOff>
    </xdr:to>
    <xdr:graphicFrame macro="">
      <xdr:nvGraphicFramePr>
        <xdr:cNvPr id="5" name="Chart 4">
          <a:extLst>
            <a:ext uri="{FF2B5EF4-FFF2-40B4-BE49-F238E27FC236}">
              <a16:creationId xmlns:a16="http://schemas.microsoft.com/office/drawing/2014/main" id="{8EC8E513-526A-4247-9CAC-F5464FC6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47625</xdr:colOff>
      <xdr:row>15</xdr:row>
      <xdr:rowOff>66675</xdr:rowOff>
    </xdr:from>
    <xdr:to>
      <xdr:col>24</xdr:col>
      <xdr:colOff>352425</xdr:colOff>
      <xdr:row>32</xdr:row>
      <xdr:rowOff>57150</xdr:rowOff>
    </xdr:to>
    <xdr:graphicFrame macro="">
      <xdr:nvGraphicFramePr>
        <xdr:cNvPr id="6" name="Chart 5">
          <a:extLst>
            <a:ext uri="{FF2B5EF4-FFF2-40B4-BE49-F238E27FC236}">
              <a16:creationId xmlns:a16="http://schemas.microsoft.com/office/drawing/2014/main" id="{15DE8F64-202C-480D-B318-C7E9022897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24</xdr:row>
      <xdr:rowOff>152400</xdr:rowOff>
    </xdr:from>
    <xdr:to>
      <xdr:col>8</xdr:col>
      <xdr:colOff>247650</xdr:colOff>
      <xdr:row>41</xdr:row>
      <xdr:rowOff>142875</xdr:rowOff>
    </xdr:to>
    <xdr:graphicFrame macro="">
      <xdr:nvGraphicFramePr>
        <xdr:cNvPr id="2" name="Chart 1">
          <a:extLst>
            <a:ext uri="{FF2B5EF4-FFF2-40B4-BE49-F238E27FC236}">
              <a16:creationId xmlns:a16="http://schemas.microsoft.com/office/drawing/2014/main" id="{7CF51AD5-408B-4E8E-A548-F599F26BCC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25</xdr:row>
      <xdr:rowOff>0</xdr:rowOff>
    </xdr:from>
    <xdr:to>
      <xdr:col>16</xdr:col>
      <xdr:colOff>304800</xdr:colOff>
      <xdr:row>41</xdr:row>
      <xdr:rowOff>152400</xdr:rowOff>
    </xdr:to>
    <xdr:graphicFrame macro="">
      <xdr:nvGraphicFramePr>
        <xdr:cNvPr id="3" name="Chart 2">
          <a:extLst>
            <a:ext uri="{FF2B5EF4-FFF2-40B4-BE49-F238E27FC236}">
              <a16:creationId xmlns:a16="http://schemas.microsoft.com/office/drawing/2014/main" id="{8B1DB014-880B-4BF4-AC6B-96009B8B7E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43</xdr:row>
      <xdr:rowOff>0</xdr:rowOff>
    </xdr:from>
    <xdr:to>
      <xdr:col>8</xdr:col>
      <xdr:colOff>228600</xdr:colOff>
      <xdr:row>59</xdr:row>
      <xdr:rowOff>152400</xdr:rowOff>
    </xdr:to>
    <xdr:graphicFrame macro="">
      <xdr:nvGraphicFramePr>
        <xdr:cNvPr id="4" name="Chart 3">
          <a:extLst>
            <a:ext uri="{FF2B5EF4-FFF2-40B4-BE49-F238E27FC236}">
              <a16:creationId xmlns:a16="http://schemas.microsoft.com/office/drawing/2014/main" id="{65B5F08F-6B88-49F9-BFCD-99E548F223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43</xdr:row>
      <xdr:rowOff>0</xdr:rowOff>
    </xdr:from>
    <xdr:to>
      <xdr:col>16</xdr:col>
      <xdr:colOff>304800</xdr:colOff>
      <xdr:row>59</xdr:row>
      <xdr:rowOff>152400</xdr:rowOff>
    </xdr:to>
    <xdr:graphicFrame macro="">
      <xdr:nvGraphicFramePr>
        <xdr:cNvPr id="5" name="Chart 4">
          <a:extLst>
            <a:ext uri="{FF2B5EF4-FFF2-40B4-BE49-F238E27FC236}">
              <a16:creationId xmlns:a16="http://schemas.microsoft.com/office/drawing/2014/main" id="{99B5EB25-845F-489A-BA90-87E24E245F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61</xdr:row>
      <xdr:rowOff>0</xdr:rowOff>
    </xdr:from>
    <xdr:to>
      <xdr:col>8</xdr:col>
      <xdr:colOff>228600</xdr:colOff>
      <xdr:row>77</xdr:row>
      <xdr:rowOff>152400</xdr:rowOff>
    </xdr:to>
    <xdr:graphicFrame macro="">
      <xdr:nvGraphicFramePr>
        <xdr:cNvPr id="6" name="Chart 5">
          <a:extLst>
            <a:ext uri="{FF2B5EF4-FFF2-40B4-BE49-F238E27FC236}">
              <a16:creationId xmlns:a16="http://schemas.microsoft.com/office/drawing/2014/main" id="{1CBAABA0-B01B-4139-9A9E-9B2780F170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61</xdr:row>
      <xdr:rowOff>0</xdr:rowOff>
    </xdr:from>
    <xdr:to>
      <xdr:col>16</xdr:col>
      <xdr:colOff>304800</xdr:colOff>
      <xdr:row>77</xdr:row>
      <xdr:rowOff>152400</xdr:rowOff>
    </xdr:to>
    <xdr:graphicFrame macro="">
      <xdr:nvGraphicFramePr>
        <xdr:cNvPr id="7" name="Chart 6">
          <a:extLst>
            <a:ext uri="{FF2B5EF4-FFF2-40B4-BE49-F238E27FC236}">
              <a16:creationId xmlns:a16="http://schemas.microsoft.com/office/drawing/2014/main" id="{37419488-72B8-401E-8350-4D3C306B2A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42862</xdr:colOff>
      <xdr:row>79</xdr:row>
      <xdr:rowOff>28575</xdr:rowOff>
    </xdr:from>
    <xdr:to>
      <xdr:col>8</xdr:col>
      <xdr:colOff>271462</xdr:colOff>
      <xdr:row>96</xdr:row>
      <xdr:rowOff>19050</xdr:rowOff>
    </xdr:to>
    <xdr:graphicFrame macro="">
      <xdr:nvGraphicFramePr>
        <xdr:cNvPr id="8" name="Chart 7">
          <a:extLst>
            <a:ext uri="{FF2B5EF4-FFF2-40B4-BE49-F238E27FC236}">
              <a16:creationId xmlns:a16="http://schemas.microsoft.com/office/drawing/2014/main" id="{FC7A90AA-45E2-4EEA-8C5D-159CC40C87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97</xdr:row>
      <xdr:rowOff>0</xdr:rowOff>
    </xdr:from>
    <xdr:to>
      <xdr:col>8</xdr:col>
      <xdr:colOff>228600</xdr:colOff>
      <xdr:row>113</xdr:row>
      <xdr:rowOff>152400</xdr:rowOff>
    </xdr:to>
    <xdr:graphicFrame macro="">
      <xdr:nvGraphicFramePr>
        <xdr:cNvPr id="9" name="Chart 8">
          <a:extLst>
            <a:ext uri="{FF2B5EF4-FFF2-40B4-BE49-F238E27FC236}">
              <a16:creationId xmlns:a16="http://schemas.microsoft.com/office/drawing/2014/main" id="{BEE3AD99-0193-4C14-A96A-7F6D925E0B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115</xdr:row>
      <xdr:rowOff>0</xdr:rowOff>
    </xdr:from>
    <xdr:to>
      <xdr:col>8</xdr:col>
      <xdr:colOff>228600</xdr:colOff>
      <xdr:row>131</xdr:row>
      <xdr:rowOff>152400</xdr:rowOff>
    </xdr:to>
    <xdr:graphicFrame macro="">
      <xdr:nvGraphicFramePr>
        <xdr:cNvPr id="10" name="Chart 9">
          <a:extLst>
            <a:ext uri="{FF2B5EF4-FFF2-40B4-BE49-F238E27FC236}">
              <a16:creationId xmlns:a16="http://schemas.microsoft.com/office/drawing/2014/main" id="{84BF620C-B63B-4CFF-AAD7-67D52D3CAF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0</xdr:colOff>
      <xdr:row>79</xdr:row>
      <xdr:rowOff>0</xdr:rowOff>
    </xdr:from>
    <xdr:to>
      <xdr:col>16</xdr:col>
      <xdr:colOff>304800</xdr:colOff>
      <xdr:row>95</xdr:row>
      <xdr:rowOff>152400</xdr:rowOff>
    </xdr:to>
    <xdr:graphicFrame macro="">
      <xdr:nvGraphicFramePr>
        <xdr:cNvPr id="11" name="Chart 10">
          <a:extLst>
            <a:ext uri="{FF2B5EF4-FFF2-40B4-BE49-F238E27FC236}">
              <a16:creationId xmlns:a16="http://schemas.microsoft.com/office/drawing/2014/main" id="{CC6D3168-FCB1-4946-968A-9D0DFE4BD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0</xdr:colOff>
      <xdr:row>97</xdr:row>
      <xdr:rowOff>0</xdr:rowOff>
    </xdr:from>
    <xdr:to>
      <xdr:col>16</xdr:col>
      <xdr:colOff>304800</xdr:colOff>
      <xdr:row>113</xdr:row>
      <xdr:rowOff>152400</xdr:rowOff>
    </xdr:to>
    <xdr:graphicFrame macro="">
      <xdr:nvGraphicFramePr>
        <xdr:cNvPr id="12" name="Chart 11">
          <a:extLst>
            <a:ext uri="{FF2B5EF4-FFF2-40B4-BE49-F238E27FC236}">
              <a16:creationId xmlns:a16="http://schemas.microsoft.com/office/drawing/2014/main" id="{A43F5846-70AD-4819-9F9C-250EB0D45A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1726406</xdr:colOff>
      <xdr:row>0</xdr:row>
      <xdr:rowOff>71437</xdr:rowOff>
    </xdr:from>
    <xdr:to>
      <xdr:col>6</xdr:col>
      <xdr:colOff>116968</xdr:colOff>
      <xdr:row>0</xdr:row>
      <xdr:rowOff>261962</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155281" y="71437"/>
          <a:ext cx="2057687" cy="181000"/>
        </a:xfrm>
        <a:prstGeom prst="rect">
          <a:avLst/>
        </a:prstGeom>
      </xdr:spPr>
    </xdr:pic>
    <xdr:clientData/>
  </xdr:twoCellAnchor>
  <xdr:twoCellAnchor>
    <xdr:from>
      <xdr:col>3</xdr:col>
      <xdr:colOff>2414587</xdr:colOff>
      <xdr:row>854</xdr:row>
      <xdr:rowOff>85725</xdr:rowOff>
    </xdr:from>
    <xdr:to>
      <xdr:col>5</xdr:col>
      <xdr:colOff>138112</xdr:colOff>
      <xdr:row>860</xdr:row>
      <xdr:rowOff>295275</xdr:rowOff>
    </xdr:to>
    <mc:AlternateContent xmlns:mc="http://schemas.openxmlformats.org/markup-compatibility/2006">
      <mc:Choice xmlns:we="http://schemas.microsoft.com/office/webextensions/webextension/2010/11" Requires="we">
        <xdr:graphicFrame macro="">
          <xdr:nvGraphicFramePr>
            <xdr:cNvPr id="5" name="Add-in 4" title="Mini Calendar and Date Picker">
              <a:extLst>
                <a:ext uri="{FF2B5EF4-FFF2-40B4-BE49-F238E27FC236}">
                  <a16:creationId xmlns:a16="http://schemas.microsoft.com/office/drawing/2014/main" id="{9115D1AC-A9CA-4143-8AFC-D557166AB934}"/>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5" name="Add-in 4" title="Mini Calendar and Date Picker">
              <a:extLst>
                <a:ext uri="{FF2B5EF4-FFF2-40B4-BE49-F238E27FC236}">
                  <a16:creationId xmlns:a16="http://schemas.microsoft.com/office/drawing/2014/main" id="{9115D1AC-A9CA-4143-8AFC-D557166AB934}"/>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723" displayName="Table13723" ref="A1:S184" totalsRowShown="0" headerRowDxfId="111" dataDxfId="109" headerRowBorderDxfId="110" tableBorderDxfId="108">
  <autoFilter ref="A1:S184" xr:uid="{00000000-0009-0000-0100-000002000000}"/>
  <tableColumns count="19">
    <tableColumn id="1" xr3:uid="{00000000-0010-0000-0000-000001000000}" name="RFC #" dataDxfId="107"/>
    <tableColumn id="2" xr3:uid="{00000000-0010-0000-0000-000002000000}" name="INITIATION DATE" dataDxfId="106"/>
    <tableColumn id="3" xr3:uid="{00000000-0010-0000-0000-000003000000}" name="PRODUCT/SOP/DOCUMENT ETC_x000a_IMPACTED" dataDxfId="105"/>
    <tableColumn id="4" xr3:uid="{00000000-0010-0000-0000-000004000000}" name="RATIONALE/DESCRIPTION" dataDxfId="104"/>
    <tableColumn id="5" xr3:uid="{00000000-0010-0000-0000-000005000000}" name="CUSTOMER NAME" dataDxfId="103"/>
    <tableColumn id="6" xr3:uid="{00000000-0010-0000-0000-000006000000}" name="Level" dataDxfId="102"/>
    <tableColumn id="7" xr3:uid="{00000000-0010-0000-0000-000007000000}" name="SYSTEM" dataDxfId="101"/>
    <tableColumn id="8" xr3:uid="{00000000-0010-0000-0000-000008000000}" name="REQUESTER" dataDxfId="100"/>
    <tableColumn id="9" xr3:uid="{00000000-0010-0000-0000-000009000000}" name="QA CONTACT" dataDxfId="99"/>
    <tableColumn id="10" xr3:uid="{00000000-0010-0000-0000-00000A000000}" name="TARGET DATE" dataDxfId="98"/>
    <tableColumn id="18" xr3:uid="{00000000-0010-0000-0000-000012000000}" name="FIRST EXTENSION" dataDxfId="97"/>
    <tableColumn id="17" xr3:uid="{00000000-0010-0000-0000-000011000000}" name="FINAL EXTENSION" dataDxfId="96"/>
    <tableColumn id="11" xr3:uid="{00000000-0010-0000-0000-00000B000000}" name="CURRENT STATUS" dataDxfId="95"/>
    <tableColumn id="12" xr3:uid="{00000000-0010-0000-0000-00000C000000}" name="RFE SUBMITTED" dataDxfId="94"/>
    <tableColumn id="13" xr3:uid="{00000000-0010-0000-0000-00000D000000}" name="DATE  CLOSED" dataDxfId="93"/>
    <tableColumn id="14" xr3:uid="{00000000-0010-0000-0000-00000E000000}" name="TARGET DATE MET?" dataDxfId="92"/>
    <tableColumn id="15" xr3:uid="{00000000-0010-0000-0000-00000F000000}" name="CLOSEOUT TIMEFRAME" dataDxfId="91"/>
    <tableColumn id="16" xr3:uid="{00000000-0010-0000-0000-000010000000}" name="COMMENTS" dataDxfId="90"/>
    <tableColumn id="19" xr3:uid="{00000000-0010-0000-0000-000013000000}" name="TTC" dataDxfId="89">
      <calculatedColumnFormula>Table13723[[#This Row],[DATE  CLOSED]]-Table13723[[#This Row],[INITIATION DATE]]</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372" displayName="Table1372" ref="A1:S230" totalsRowShown="0" headerRowDxfId="88" dataDxfId="86" headerRowBorderDxfId="87" tableBorderDxfId="85">
  <autoFilter ref="A1:S230" xr:uid="{00000000-0009-0000-0100-000001000000}"/>
  <tableColumns count="19">
    <tableColumn id="1" xr3:uid="{00000000-0010-0000-0100-000001000000}" name="RFC #" dataDxfId="84"/>
    <tableColumn id="2" xr3:uid="{00000000-0010-0000-0100-000002000000}" name="INITIATION DATE" dataDxfId="83"/>
    <tableColumn id="3" xr3:uid="{00000000-0010-0000-0100-000003000000}" name="PRODUCT/SOP/DOCUMENT ETC_x000a_IMPACTED" dataDxfId="82"/>
    <tableColumn id="4" xr3:uid="{00000000-0010-0000-0100-000004000000}" name="RATIONALE/DESCRIPTION" dataDxfId="81"/>
    <tableColumn id="5" xr3:uid="{00000000-0010-0000-0100-000005000000}" name="CUSTOMER NAME" dataDxfId="80"/>
    <tableColumn id="6" xr3:uid="{00000000-0010-0000-0100-000006000000}" name="Level" dataDxfId="79"/>
    <tableColumn id="7" xr3:uid="{00000000-0010-0000-0100-000007000000}" name="SYSTEM" dataDxfId="78"/>
    <tableColumn id="8" xr3:uid="{00000000-0010-0000-0100-000008000000}" name="REQUESTER" dataDxfId="77"/>
    <tableColumn id="9" xr3:uid="{00000000-0010-0000-0100-000009000000}" name="QA CONTACT" dataDxfId="76"/>
    <tableColumn id="10" xr3:uid="{00000000-0010-0000-0100-00000A000000}" name="TARGET DATE" dataDxfId="75"/>
    <tableColumn id="18" xr3:uid="{00000000-0010-0000-0100-000012000000}" name="FIRST EXTENSION" dataDxfId="74"/>
    <tableColumn id="17" xr3:uid="{00000000-0010-0000-0100-000011000000}" name="FINAL EXTENSION" dataDxfId="73"/>
    <tableColumn id="11" xr3:uid="{00000000-0010-0000-0100-00000B000000}" name="CURRENT STATUS" dataDxfId="72"/>
    <tableColumn id="12" xr3:uid="{00000000-0010-0000-0100-00000C000000}" name="RFE SUBMITTED" dataDxfId="71"/>
    <tableColumn id="13" xr3:uid="{00000000-0010-0000-0100-00000D000000}" name="DATE  CLOSED" dataDxfId="70"/>
    <tableColumn id="14" xr3:uid="{00000000-0010-0000-0100-00000E000000}" name="TARGET DATE MET?" dataDxfId="69"/>
    <tableColumn id="15" xr3:uid="{00000000-0010-0000-0100-00000F000000}" name="CLOSEOUT TIMEFRAME" dataDxfId="68"/>
    <tableColumn id="16" xr3:uid="{00000000-0010-0000-0100-000010000000}" name="COMMENTS" dataDxfId="67"/>
    <tableColumn id="19" xr3:uid="{00000000-0010-0000-0100-000013000000}" name="TTC" dataDxfId="66">
      <calculatedColumnFormula>Table1372[[#This Row],[DATE  CLOSED]]-Table1372[[#This Row],[INITIATION DATE]]</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37" displayName="Table137" ref="A1:S198" totalsRowShown="0" headerRowDxfId="65" dataDxfId="63" headerRowBorderDxfId="64" tableBorderDxfId="62">
  <autoFilter ref="A1:S198" xr:uid="{00000000-0009-0000-0100-000006000000}"/>
  <tableColumns count="19">
    <tableColumn id="1" xr3:uid="{00000000-0010-0000-0200-000001000000}" name="RFC #" dataDxfId="61"/>
    <tableColumn id="2" xr3:uid="{00000000-0010-0000-0200-000002000000}" name="INITIATION DATE" dataDxfId="60"/>
    <tableColumn id="3" xr3:uid="{00000000-0010-0000-0200-000003000000}" name="PRODUCT/SOP/DOCUMENT ETC_x000a_IMPACTED" dataDxfId="59"/>
    <tableColumn id="4" xr3:uid="{00000000-0010-0000-0200-000004000000}" name="RATIONALE/DESCRIPTION" dataDxfId="58"/>
    <tableColumn id="5" xr3:uid="{00000000-0010-0000-0200-000005000000}" name="CUSTOMER NAME" dataDxfId="57"/>
    <tableColumn id="6" xr3:uid="{00000000-0010-0000-0200-000006000000}" name="Level" dataDxfId="56"/>
    <tableColumn id="7" xr3:uid="{00000000-0010-0000-0200-000007000000}" name="SYSTEM" dataDxfId="55"/>
    <tableColumn id="8" xr3:uid="{00000000-0010-0000-0200-000008000000}" name="RESPONSIBLE PERSON" dataDxfId="54"/>
    <tableColumn id="9" xr3:uid="{00000000-0010-0000-0200-000009000000}" name="QA CONTACT" dataDxfId="53"/>
    <tableColumn id="10" xr3:uid="{00000000-0010-0000-0200-00000A000000}" name="TARGET DATE" dataDxfId="52"/>
    <tableColumn id="18" xr3:uid="{00000000-0010-0000-0200-000012000000}" name="FIRST EXTENSION" dataDxfId="51"/>
    <tableColumn id="17" xr3:uid="{00000000-0010-0000-0200-000011000000}" name="FINAL EXTENSION" dataDxfId="50"/>
    <tableColumn id="11" xr3:uid="{00000000-0010-0000-0200-00000B000000}" name="CURRENT STATUS" dataDxfId="49"/>
    <tableColumn id="12" xr3:uid="{00000000-0010-0000-0200-00000C000000}" name="RFE SUBMITTED" dataDxfId="48"/>
    <tableColumn id="13" xr3:uid="{00000000-0010-0000-0200-00000D000000}" name="DATE  CLOSED" dataDxfId="47"/>
    <tableColumn id="14" xr3:uid="{00000000-0010-0000-0200-00000E000000}" name="TARGET DATE MET?" dataDxfId="46"/>
    <tableColumn id="15" xr3:uid="{00000000-0010-0000-0200-00000F000000}" name="CLOSEOUT TIMEFRAME" dataDxfId="45"/>
    <tableColumn id="16" xr3:uid="{00000000-0010-0000-0200-000010000000}" name="COMMENTS" dataDxfId="44"/>
    <tableColumn id="19" xr3:uid="{00000000-0010-0000-0200-000013000000}" name="TTC" dataDxfId="43">
      <calculatedColumnFormula>Table137[[#This Row],[DATE  CLOSED]]-Table137[[#This Row],[INITIATION DATE]]</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1:S206" totalsRowShown="0" headerRowBorderDxfId="42" tableBorderDxfId="41" totalsRowBorderDxfId="40">
  <autoFilter ref="A1:S206" xr:uid="{00000000-0009-0000-0100-000007000000}"/>
  <tableColumns count="19">
    <tableColumn id="1" xr3:uid="{00000000-0010-0000-0300-000001000000}" name="RFC #" dataDxfId="39"/>
    <tableColumn id="2" xr3:uid="{00000000-0010-0000-0300-000002000000}" name="INITIATION DATE" dataDxfId="38"/>
    <tableColumn id="3" xr3:uid="{00000000-0010-0000-0300-000003000000}" name="PRODUCT/SOP/DOCUMENT ETC_x000a_IMPACTED" dataDxfId="37"/>
    <tableColumn id="4" xr3:uid="{00000000-0010-0000-0300-000004000000}" name="RATIONALE/DESCRIPTION" dataDxfId="36"/>
    <tableColumn id="5" xr3:uid="{00000000-0010-0000-0300-000005000000}" name="CUSTOMER NAME" dataDxfId="35"/>
    <tableColumn id="6" xr3:uid="{00000000-0010-0000-0300-000006000000}" name="Level" dataDxfId="34"/>
    <tableColumn id="7" xr3:uid="{00000000-0010-0000-0300-000007000000}" name="SYSTEM" dataDxfId="33"/>
    <tableColumn id="8" xr3:uid="{00000000-0010-0000-0300-000008000000}" name="RESPONSIBLE PERSON" dataDxfId="32"/>
    <tableColumn id="9" xr3:uid="{00000000-0010-0000-0300-000009000000}" name="QA CONTACT" dataDxfId="31"/>
    <tableColumn id="10" xr3:uid="{00000000-0010-0000-0300-00000A000000}" name="TARGET DATE" dataDxfId="30"/>
    <tableColumn id="11" xr3:uid="{00000000-0010-0000-0300-00000B000000}" name="FIRST EXTENSION" dataDxfId="29"/>
    <tableColumn id="12" xr3:uid="{00000000-0010-0000-0300-00000C000000}" name="FINAL EXTENSION" dataDxfId="28"/>
    <tableColumn id="13" xr3:uid="{00000000-0010-0000-0300-00000D000000}" name="CURRENT STATUS" dataDxfId="27"/>
    <tableColumn id="14" xr3:uid="{00000000-0010-0000-0300-00000E000000}" name="RFE SUBMITTED" dataDxfId="26"/>
    <tableColumn id="15" xr3:uid="{00000000-0010-0000-0300-00000F000000}" name="DATE  CLOSED" dataDxfId="25"/>
    <tableColumn id="16" xr3:uid="{00000000-0010-0000-0300-000010000000}" name="TARGET DATE MET?" dataDxfId="24"/>
    <tableColumn id="17" xr3:uid="{00000000-0010-0000-0300-000011000000}" name="CLOSEOUT TIMEFRAME" dataDxfId="23"/>
    <tableColumn id="18" xr3:uid="{00000000-0010-0000-0300-000012000000}" name="COMMENTS" dataDxfId="22"/>
    <tableColumn id="19" xr3:uid="{00000000-0010-0000-0300-000013000000}" name="TTC" dataDxfId="21">
      <calculatedColumnFormula>O2-B2</calculatedColumnFormula>
    </tableColumn>
  </tableColumns>
  <tableStyleInfo name="TableStyleLight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1:S148" totalsRowShown="0" headerRowDxfId="20">
  <autoFilter ref="A1:S148" xr:uid="{00000000-0009-0000-0100-000005000000}"/>
  <tableColumns count="19">
    <tableColumn id="1" xr3:uid="{00000000-0010-0000-0400-000001000000}" name="RFC #" dataDxfId="19"/>
    <tableColumn id="2" xr3:uid="{00000000-0010-0000-0400-000002000000}" name="INITIATION DATE" dataDxfId="18"/>
    <tableColumn id="3" xr3:uid="{00000000-0010-0000-0400-000003000000}" name="PRODUCT/SOP/DOCUMENT ETC_x000a_IMPACTED" dataDxfId="17"/>
    <tableColumn id="4" xr3:uid="{00000000-0010-0000-0400-000004000000}" name="RATIONALE/DESCRIPTION"/>
    <tableColumn id="5" xr3:uid="{00000000-0010-0000-0400-000005000000}" name="CUSTOMER NAME" dataDxfId="16"/>
    <tableColumn id="6" xr3:uid="{00000000-0010-0000-0400-000006000000}" name="Level" dataDxfId="15"/>
    <tableColumn id="7" xr3:uid="{00000000-0010-0000-0400-000007000000}" name="SYSTEM" dataDxfId="14"/>
    <tableColumn id="8" xr3:uid="{00000000-0010-0000-0400-000008000000}" name="RESPONSIBLE PERSON" dataDxfId="13"/>
    <tableColumn id="9" xr3:uid="{00000000-0010-0000-0400-000009000000}" name="QA CONTACT" dataDxfId="12"/>
    <tableColumn id="10" xr3:uid="{00000000-0010-0000-0400-00000A000000}" name="TARGET DATE" dataDxfId="11"/>
    <tableColumn id="11" xr3:uid="{00000000-0010-0000-0400-00000B000000}" name="FIRST EXTENSION" dataDxfId="10"/>
    <tableColumn id="12" xr3:uid="{00000000-0010-0000-0400-00000C000000}" name="FINAL EXTENSION" dataDxfId="9"/>
    <tableColumn id="13" xr3:uid="{00000000-0010-0000-0400-00000D000000}" name="CURRENT STATUS" dataDxfId="8"/>
    <tableColumn id="14" xr3:uid="{00000000-0010-0000-0400-00000E000000}" name="RFE SUBMITTED" dataDxfId="7"/>
    <tableColumn id="15" xr3:uid="{00000000-0010-0000-0400-00000F000000}" name="DATE  CLOSED" dataDxfId="6"/>
    <tableColumn id="16" xr3:uid="{00000000-0010-0000-0400-000010000000}" name="TARGET DATE MET?" dataDxfId="5"/>
    <tableColumn id="17" xr3:uid="{00000000-0010-0000-0400-000011000000}" name="CLOSEOUT TIMEFRAME" dataDxfId="4"/>
    <tableColumn id="18" xr3:uid="{00000000-0010-0000-0400-000012000000}" name="COMMENTS" dataDxfId="3"/>
    <tableColumn id="19" xr3:uid="{00000000-0010-0000-0400-000013000000}" name="TTC" dataDxfId="2">
      <calculatedColumnFormula>O2-B2</calculatedColumnFormula>
    </tableColumn>
  </tableColumns>
  <tableStyleInfo name="TableStyleLight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A1:S100" totalsRowShown="0">
  <autoFilter ref="A1:S100" xr:uid="{00000000-0009-0000-0100-000004000000}"/>
  <tableColumns count="19">
    <tableColumn id="1" xr3:uid="{00000000-0010-0000-0500-000001000000}" name="RFC #"/>
    <tableColumn id="2" xr3:uid="{00000000-0010-0000-0500-000002000000}" name="INITIATION DATE" dataDxfId="1"/>
    <tableColumn id="3" xr3:uid="{00000000-0010-0000-0500-000003000000}" name="PRODUCT/SOP/DOCUMENT ETC_x000a_IMPACTED"/>
    <tableColumn id="4" xr3:uid="{00000000-0010-0000-0500-000004000000}" name="RATIONALE/DESCRIPTION"/>
    <tableColumn id="5" xr3:uid="{00000000-0010-0000-0500-000005000000}" name="CUSTOMER NAME"/>
    <tableColumn id="6" xr3:uid="{00000000-0010-0000-0500-000006000000}" name="Level"/>
    <tableColumn id="7" xr3:uid="{00000000-0010-0000-0500-000007000000}" name="SYSTEM"/>
    <tableColumn id="8" xr3:uid="{00000000-0010-0000-0500-000008000000}" name="RESPONSIBLE PERSON"/>
    <tableColumn id="9" xr3:uid="{00000000-0010-0000-0500-000009000000}" name="QA CONTACT"/>
    <tableColumn id="10" xr3:uid="{00000000-0010-0000-0500-00000A000000}" name="TARGET DATE"/>
    <tableColumn id="20" xr3:uid="{00000000-0010-0000-0500-000014000000}" name="FIRST EXTENSION"/>
    <tableColumn id="21" xr3:uid="{00000000-0010-0000-0500-000015000000}" name="FINAL EXTENSION"/>
    <tableColumn id="11" xr3:uid="{00000000-0010-0000-0500-00000B000000}" name="CURRENT STATUS"/>
    <tableColumn id="12" xr3:uid="{00000000-0010-0000-0500-00000C000000}" name="RFE SUBMITTED"/>
    <tableColumn id="13" xr3:uid="{00000000-0010-0000-0500-00000D000000}" name="DATE  CLOSED" dataDxfId="0"/>
    <tableColumn id="14" xr3:uid="{00000000-0010-0000-0500-00000E000000}" name="TARGET DATE MET?"/>
    <tableColumn id="15" xr3:uid="{00000000-0010-0000-0500-00000F000000}" name="CLOSEOUT TIMEFRAME"/>
    <tableColumn id="16" xr3:uid="{00000000-0010-0000-0500-000010000000}" name="COMMENTS"/>
    <tableColumn id="17" xr3:uid="{00000000-0010-0000-0500-000011000000}" name="TTC">
      <calculatedColumnFormula>J2-B2</calculatedColumnFormula>
    </tableColumn>
  </tableColumns>
  <tableStyleInfo name="TableStyleLight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1.png"/></Relationships>
</file>

<file path=xl/webextensions/webextension1.xml><?xml version="1.0" encoding="utf-8"?>
<we:webextension xmlns:we="http://schemas.microsoft.com/office/webextensions/webextension/2010/11" id="{3E671D68-D741-488C-A907-EBBBB8093BAC}">
  <we:reference id="wa102957665" version="1.3.0.0" store="en-US" storeType="OMEX"/>
  <we:alternateReferences>
    <we:reference id="wa102957665" version="1.3.0.0" store="wa102957665" storeType="OMEX"/>
  </we:alternateReferences>
  <we:properties>
    <we:property name="opt_month" value="&quot;2021-04-01&quot;"/>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9115D1AC-A9CA-4143-8AFC-D557166AB934}">
  <we:reference id="wa102957665" version="1.3.0.0" store="en-US" storeType="OMEX"/>
  <we:alternateReferences>
    <we:reference id="wa102957665" version="1.3.0.0" store="wa102957665" storeType="OMEX"/>
  </we:alternateReferences>
  <we:properties>
    <we:property name="opt_month" value="&quot;2021-04-01&quot;"/>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
  <sheetViews>
    <sheetView workbookViewId="0">
      <selection activeCell="C37" sqref="C37"/>
    </sheetView>
  </sheetViews>
  <sheetFormatPr defaultRowHeight="12.75" x14ac:dyDescent="0.2"/>
  <cols>
    <col min="1" max="1" width="20.5703125" customWidth="1"/>
    <col min="2" max="2" width="35.42578125" customWidth="1"/>
    <col min="3" max="6" width="20.5703125" customWidth="1"/>
    <col min="7" max="7" width="16.42578125" customWidth="1"/>
  </cols>
  <sheetData>
    <row r="1" spans="1:6" x14ac:dyDescent="0.2">
      <c r="A1" s="331" t="s">
        <v>3408</v>
      </c>
      <c r="B1" s="331" t="s">
        <v>4738</v>
      </c>
      <c r="C1" s="331" t="s">
        <v>4739</v>
      </c>
      <c r="D1" s="331" t="s">
        <v>4735</v>
      </c>
      <c r="E1" s="331" t="s">
        <v>4736</v>
      </c>
      <c r="F1" s="331" t="s">
        <v>4737</v>
      </c>
    </row>
    <row r="2" spans="1:6" x14ac:dyDescent="0.2">
      <c r="A2" s="332">
        <v>1</v>
      </c>
      <c r="B2" s="70" t="s">
        <v>2828</v>
      </c>
      <c r="C2" s="70" t="s">
        <v>2847</v>
      </c>
      <c r="D2" s="70" t="s">
        <v>3061</v>
      </c>
      <c r="E2" s="70" t="s">
        <v>3061</v>
      </c>
      <c r="F2" t="s">
        <v>2829</v>
      </c>
    </row>
    <row r="3" spans="1:6" x14ac:dyDescent="0.2">
      <c r="A3" s="332">
        <v>2</v>
      </c>
      <c r="B3" s="70" t="s">
        <v>2831</v>
      </c>
      <c r="C3" s="70" t="s">
        <v>2853</v>
      </c>
      <c r="D3" s="70" t="s">
        <v>3022</v>
      </c>
      <c r="E3" s="70" t="s">
        <v>3022</v>
      </c>
      <c r="F3" t="s">
        <v>2832</v>
      </c>
    </row>
    <row r="4" spans="1:6" x14ac:dyDescent="0.2">
      <c r="B4" s="70" t="s">
        <v>2834</v>
      </c>
      <c r="C4" t="s">
        <v>1056</v>
      </c>
      <c r="D4" s="70" t="s">
        <v>2088</v>
      </c>
      <c r="E4" t="s">
        <v>2088</v>
      </c>
      <c r="F4" t="s">
        <v>2835</v>
      </c>
    </row>
    <row r="5" spans="1:6" x14ac:dyDescent="0.2">
      <c r="B5" s="70" t="s">
        <v>2836</v>
      </c>
      <c r="F5" t="s">
        <v>2837</v>
      </c>
    </row>
    <row r="6" spans="1:6" x14ac:dyDescent="0.2">
      <c r="B6" s="70" t="s">
        <v>2838</v>
      </c>
      <c r="F6" t="s">
        <v>2839</v>
      </c>
    </row>
    <row r="7" spans="1:6" x14ac:dyDescent="0.2">
      <c r="B7" s="70" t="s">
        <v>2840</v>
      </c>
      <c r="F7" t="s">
        <v>2088</v>
      </c>
    </row>
    <row r="8" spans="1:6" x14ac:dyDescent="0.2">
      <c r="B8" t="s">
        <v>2841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S184"/>
  <sheetViews>
    <sheetView tabSelected="1" topLeftCell="A157" zoomScale="106" zoomScaleNormal="106" workbookViewId="0">
      <pane xSplit="1" topLeftCell="B1" activePane="topRight" state="frozen"/>
      <selection pane="topRight" activeCell="C173" sqref="C173"/>
    </sheetView>
  </sheetViews>
  <sheetFormatPr defaultRowHeight="25.35" customHeight="1" x14ac:dyDescent="0.2"/>
  <cols>
    <col min="1" max="1" width="10.5703125" bestFit="1" customWidth="1"/>
    <col min="2" max="2" width="18.5703125" style="15" customWidth="1"/>
    <col min="3" max="3" width="63.28515625" customWidth="1"/>
    <col min="4" max="4" width="46.5703125" customWidth="1"/>
    <col min="5" max="5" width="21.5703125" customWidth="1"/>
    <col min="6" max="6" width="10.42578125" bestFit="1" customWidth="1"/>
    <col min="7" max="7" width="24.5703125" customWidth="1"/>
    <col min="8" max="9" width="13.5703125" bestFit="1" customWidth="1"/>
    <col min="10" max="10" width="15.42578125" customWidth="1"/>
    <col min="11" max="12" width="12.5703125" bestFit="1" customWidth="1"/>
    <col min="13" max="13" width="13.5703125" bestFit="1" customWidth="1"/>
    <col min="14" max="15" width="12.5703125" bestFit="1" customWidth="1"/>
    <col min="16" max="16" width="14.42578125" customWidth="1"/>
    <col min="17" max="17" width="13.42578125" bestFit="1" customWidth="1"/>
    <col min="18" max="18" width="17.5703125" customWidth="1"/>
  </cols>
  <sheetData>
    <row r="1" spans="1:19" ht="25.35" customHeight="1" x14ac:dyDescent="0.2">
      <c r="A1" s="351" t="s">
        <v>2808</v>
      </c>
      <c r="B1" s="320" t="s">
        <v>2809</v>
      </c>
      <c r="C1" s="319" t="s">
        <v>2810</v>
      </c>
      <c r="D1" s="319" t="s">
        <v>2811</v>
      </c>
      <c r="E1" s="319" t="s">
        <v>2812</v>
      </c>
      <c r="F1" s="319" t="s">
        <v>3408</v>
      </c>
      <c r="G1" s="319" t="s">
        <v>2814</v>
      </c>
      <c r="H1" s="319" t="s">
        <v>5528</v>
      </c>
      <c r="I1" s="319" t="s">
        <v>2816</v>
      </c>
      <c r="J1" s="320" t="s">
        <v>2817</v>
      </c>
      <c r="K1" s="320" t="s">
        <v>5011</v>
      </c>
      <c r="L1" s="320" t="s">
        <v>5012</v>
      </c>
      <c r="M1" s="319" t="s">
        <v>2818</v>
      </c>
      <c r="N1" s="321" t="s">
        <v>2819</v>
      </c>
      <c r="O1" s="322" t="s">
        <v>2820</v>
      </c>
      <c r="P1" s="321" t="s">
        <v>2821</v>
      </c>
      <c r="Q1" s="321" t="s">
        <v>2822</v>
      </c>
      <c r="R1" s="201" t="s">
        <v>2823</v>
      </c>
      <c r="S1" s="380" t="s">
        <v>4213</v>
      </c>
    </row>
    <row r="2" spans="1:19" ht="25.35" customHeight="1" x14ac:dyDescent="0.2">
      <c r="A2" s="346" t="s">
        <v>5912</v>
      </c>
      <c r="B2" s="325">
        <v>44200</v>
      </c>
      <c r="C2" s="328" t="s">
        <v>5913</v>
      </c>
      <c r="D2" s="329" t="s">
        <v>5914</v>
      </c>
      <c r="E2" s="323" t="s">
        <v>5746</v>
      </c>
      <c r="F2" s="323">
        <v>1</v>
      </c>
      <c r="G2" s="323" t="s">
        <v>2828</v>
      </c>
      <c r="H2" s="323" t="s">
        <v>5915</v>
      </c>
      <c r="I2" s="323" t="s">
        <v>3211</v>
      </c>
      <c r="J2" s="325">
        <v>44227</v>
      </c>
      <c r="K2" s="325" t="s">
        <v>2088</v>
      </c>
      <c r="L2" s="325" t="s">
        <v>2088</v>
      </c>
      <c r="M2" s="323" t="s">
        <v>2853</v>
      </c>
      <c r="N2" s="323" t="s">
        <v>2088</v>
      </c>
      <c r="O2" s="359">
        <v>44224</v>
      </c>
      <c r="P2" s="323" t="s">
        <v>4224</v>
      </c>
      <c r="Q2" s="323" t="s">
        <v>2829</v>
      </c>
      <c r="R2" s="386" t="s">
        <v>5080</v>
      </c>
      <c r="S2" s="323">
        <f>Table13723[[#This Row],[DATE  CLOSED]]-Table13723[[#This Row],[INITIATION DATE]]</f>
        <v>24</v>
      </c>
    </row>
    <row r="3" spans="1:19" ht="25.35" customHeight="1" x14ac:dyDescent="0.2">
      <c r="A3" s="346" t="s">
        <v>5916</v>
      </c>
      <c r="B3" s="325">
        <v>44202</v>
      </c>
      <c r="C3" s="328" t="s">
        <v>5917</v>
      </c>
      <c r="D3" s="328" t="s">
        <v>5918</v>
      </c>
      <c r="E3" s="323" t="s">
        <v>2971</v>
      </c>
      <c r="F3" s="323">
        <v>1</v>
      </c>
      <c r="G3" s="323" t="s">
        <v>2836</v>
      </c>
      <c r="H3" s="323" t="s">
        <v>229</v>
      </c>
      <c r="I3" s="323" t="s">
        <v>4261</v>
      </c>
      <c r="J3" s="325">
        <v>44227</v>
      </c>
      <c r="K3" s="325"/>
      <c r="L3" s="325"/>
      <c r="M3" s="326" t="s">
        <v>2853</v>
      </c>
      <c r="N3" s="326"/>
      <c r="O3" s="359">
        <v>44209</v>
      </c>
      <c r="P3" s="326" t="s">
        <v>4224</v>
      </c>
      <c r="Q3" s="326" t="s">
        <v>4987</v>
      </c>
      <c r="R3" s="386"/>
      <c r="S3" s="323">
        <f>Table13723[[#This Row],[DATE  CLOSED]]-Table13723[[#This Row],[INITIATION DATE]]</f>
        <v>7</v>
      </c>
    </row>
    <row r="4" spans="1:19" ht="25.35" customHeight="1" x14ac:dyDescent="0.2">
      <c r="A4" s="349" t="s">
        <v>5928</v>
      </c>
      <c r="B4" s="325">
        <v>44204</v>
      </c>
      <c r="C4" s="328" t="s">
        <v>5929</v>
      </c>
      <c r="D4" s="328" t="s">
        <v>5930</v>
      </c>
      <c r="E4" s="323" t="s">
        <v>5606</v>
      </c>
      <c r="F4" s="323">
        <v>1</v>
      </c>
      <c r="G4" s="323" t="s">
        <v>2828</v>
      </c>
      <c r="H4" s="323" t="s">
        <v>1351</v>
      </c>
      <c r="I4" s="323" t="s">
        <v>3211</v>
      </c>
      <c r="J4" s="325">
        <v>44255</v>
      </c>
      <c r="K4" s="325" t="s">
        <v>2088</v>
      </c>
      <c r="L4" s="325" t="s">
        <v>2088</v>
      </c>
      <c r="M4" s="323" t="s">
        <v>2853</v>
      </c>
      <c r="N4" s="323" t="s">
        <v>2088</v>
      </c>
      <c r="O4" s="359">
        <v>44235</v>
      </c>
      <c r="P4" s="323" t="s">
        <v>4224</v>
      </c>
      <c r="Q4" s="323" t="s">
        <v>2829</v>
      </c>
      <c r="R4" s="386" t="s">
        <v>5080</v>
      </c>
      <c r="S4" s="323">
        <f>Table13723[[#This Row],[DATE  CLOSED]]-Table13723[[#This Row],[INITIATION DATE]]</f>
        <v>31</v>
      </c>
    </row>
    <row r="5" spans="1:19" ht="25.35" customHeight="1" x14ac:dyDescent="0.2">
      <c r="A5" s="323" t="s">
        <v>5931</v>
      </c>
      <c r="B5" s="325">
        <v>44208</v>
      </c>
      <c r="C5" s="329" t="s">
        <v>5933</v>
      </c>
      <c r="D5" s="329" t="s">
        <v>5932</v>
      </c>
      <c r="E5" s="326" t="s">
        <v>2971</v>
      </c>
      <c r="F5" s="323">
        <v>1</v>
      </c>
      <c r="G5" s="323" t="s">
        <v>2838</v>
      </c>
      <c r="H5" s="326" t="s">
        <v>685</v>
      </c>
      <c r="I5" s="326" t="s">
        <v>229</v>
      </c>
      <c r="J5" s="327" t="s">
        <v>2088</v>
      </c>
      <c r="K5" s="327" t="s">
        <v>2088</v>
      </c>
      <c r="L5" s="327" t="s">
        <v>2088</v>
      </c>
      <c r="M5" s="323" t="s">
        <v>2853</v>
      </c>
      <c r="N5" s="323" t="s">
        <v>2088</v>
      </c>
      <c r="O5" s="359">
        <v>44208</v>
      </c>
      <c r="P5" s="323" t="s">
        <v>2088</v>
      </c>
      <c r="Q5" s="323" t="s">
        <v>2088</v>
      </c>
      <c r="R5" s="335" t="s">
        <v>5934</v>
      </c>
      <c r="S5" s="382">
        <f>Table13723[[#This Row],[DATE  CLOSED]]-Table13723[[#This Row],[INITIATION DATE]]</f>
        <v>0</v>
      </c>
    </row>
    <row r="6" spans="1:19" ht="25.35" customHeight="1" x14ac:dyDescent="0.2">
      <c r="A6" s="323" t="s">
        <v>5935</v>
      </c>
      <c r="B6" s="325">
        <v>44209</v>
      </c>
      <c r="C6" s="328" t="s">
        <v>5422</v>
      </c>
      <c r="D6" s="328" t="s">
        <v>5936</v>
      </c>
      <c r="E6" s="323" t="s">
        <v>2971</v>
      </c>
      <c r="F6" s="323">
        <v>1</v>
      </c>
      <c r="G6" s="323" t="s">
        <v>2836</v>
      </c>
      <c r="H6" s="323" t="s">
        <v>685</v>
      </c>
      <c r="I6" s="323" t="s">
        <v>229</v>
      </c>
      <c r="J6" s="325">
        <v>44227</v>
      </c>
      <c r="K6" s="325"/>
      <c r="L6" s="325"/>
      <c r="M6" s="323" t="s">
        <v>2853</v>
      </c>
      <c r="N6" s="323"/>
      <c r="O6" s="359">
        <v>44211</v>
      </c>
      <c r="P6" s="323" t="s">
        <v>3061</v>
      </c>
      <c r="Q6" s="323" t="s">
        <v>2829</v>
      </c>
      <c r="R6" s="442"/>
      <c r="S6" s="382">
        <f>Table13723[[#This Row],[DATE  CLOSED]]-Table13723[[#This Row],[INITIATION DATE]]</f>
        <v>2</v>
      </c>
    </row>
    <row r="7" spans="1:19" ht="25.35" customHeight="1" x14ac:dyDescent="0.2">
      <c r="A7" s="323" t="s">
        <v>5937</v>
      </c>
      <c r="B7" s="325">
        <v>44211</v>
      </c>
      <c r="C7" s="328" t="s">
        <v>5938</v>
      </c>
      <c r="D7" s="328" t="s">
        <v>5939</v>
      </c>
      <c r="E7" s="323" t="s">
        <v>2971</v>
      </c>
      <c r="F7" s="323">
        <v>1</v>
      </c>
      <c r="G7" s="323" t="s">
        <v>2836</v>
      </c>
      <c r="H7" s="323" t="s">
        <v>3842</v>
      </c>
      <c r="I7" s="323" t="s">
        <v>3211</v>
      </c>
      <c r="J7" s="325">
        <v>44286</v>
      </c>
      <c r="K7" s="325" t="s">
        <v>2088</v>
      </c>
      <c r="L7" s="325" t="s">
        <v>2088</v>
      </c>
      <c r="M7" s="323" t="s">
        <v>2853</v>
      </c>
      <c r="N7" s="323" t="s">
        <v>2088</v>
      </c>
      <c r="O7" s="359">
        <v>44252</v>
      </c>
      <c r="P7" s="323" t="s">
        <v>4224</v>
      </c>
      <c r="Q7" s="323" t="s">
        <v>2832</v>
      </c>
      <c r="R7" s="442" t="s">
        <v>5080</v>
      </c>
      <c r="S7" s="382">
        <f>Table13723[[#This Row],[DATE  CLOSED]]-Table13723[[#This Row],[INITIATION DATE]]</f>
        <v>41</v>
      </c>
    </row>
    <row r="8" spans="1:19" ht="25.35" customHeight="1" x14ac:dyDescent="0.2">
      <c r="A8" s="323" t="s">
        <v>5940</v>
      </c>
      <c r="B8" s="325">
        <v>44211</v>
      </c>
      <c r="C8" s="328" t="s">
        <v>5941</v>
      </c>
      <c r="D8" s="328" t="s">
        <v>5942</v>
      </c>
      <c r="E8" s="323" t="s">
        <v>2971</v>
      </c>
      <c r="F8" s="323">
        <v>1</v>
      </c>
      <c r="G8" s="323" t="s">
        <v>2836</v>
      </c>
      <c r="H8" s="323" t="s">
        <v>3842</v>
      </c>
      <c r="I8" s="323" t="s">
        <v>3211</v>
      </c>
      <c r="J8" s="325">
        <v>44286</v>
      </c>
      <c r="K8" s="325" t="s">
        <v>2088</v>
      </c>
      <c r="L8" s="325" t="s">
        <v>2088</v>
      </c>
      <c r="M8" s="323" t="s">
        <v>2853</v>
      </c>
      <c r="N8" s="323" t="s">
        <v>2088</v>
      </c>
      <c r="O8" s="359">
        <v>44229</v>
      </c>
      <c r="P8" s="323" t="s">
        <v>4224</v>
      </c>
      <c r="Q8" s="323" t="s">
        <v>2829</v>
      </c>
      <c r="R8" s="442" t="s">
        <v>5080</v>
      </c>
      <c r="S8" s="382">
        <f>Table13723[[#This Row],[DATE  CLOSED]]-Table13723[[#This Row],[INITIATION DATE]]</f>
        <v>18</v>
      </c>
    </row>
    <row r="9" spans="1:19" ht="25.35" customHeight="1" x14ac:dyDescent="0.2">
      <c r="A9" s="323" t="s">
        <v>5943</v>
      </c>
      <c r="B9" s="325">
        <v>44214</v>
      </c>
      <c r="C9" s="329" t="s">
        <v>6036</v>
      </c>
      <c r="D9" s="329" t="s">
        <v>5944</v>
      </c>
      <c r="E9" s="326" t="s">
        <v>2971</v>
      </c>
      <c r="F9" s="323">
        <v>1</v>
      </c>
      <c r="G9" s="323" t="s">
        <v>2840</v>
      </c>
      <c r="H9" s="326" t="s">
        <v>4021</v>
      </c>
      <c r="I9" s="326" t="s">
        <v>229</v>
      </c>
      <c r="J9" s="325">
        <v>44227</v>
      </c>
      <c r="K9" s="325"/>
      <c r="L9" s="325"/>
      <c r="M9" s="326" t="s">
        <v>2853</v>
      </c>
      <c r="N9" s="323"/>
      <c r="O9" s="359">
        <v>44217</v>
      </c>
      <c r="P9" s="323" t="s">
        <v>4224</v>
      </c>
      <c r="Q9" s="323" t="s">
        <v>4987</v>
      </c>
      <c r="R9" s="442"/>
      <c r="S9" s="382">
        <f>Table13723[[#This Row],[DATE  CLOSED]]-Table13723[[#This Row],[INITIATION DATE]]</f>
        <v>3</v>
      </c>
    </row>
    <row r="10" spans="1:19" ht="25.35" customHeight="1" x14ac:dyDescent="0.2">
      <c r="A10" s="323" t="s">
        <v>5945</v>
      </c>
      <c r="B10" s="325">
        <v>44214</v>
      </c>
      <c r="C10" s="328" t="s">
        <v>5946</v>
      </c>
      <c r="D10" s="328" t="s">
        <v>5947</v>
      </c>
      <c r="E10" s="323" t="s">
        <v>2971</v>
      </c>
      <c r="F10" s="323">
        <v>1</v>
      </c>
      <c r="G10" s="323" t="s">
        <v>2836</v>
      </c>
      <c r="H10" s="323" t="s">
        <v>3842</v>
      </c>
      <c r="I10" s="323" t="s">
        <v>3211</v>
      </c>
      <c r="J10" s="325">
        <v>44246</v>
      </c>
      <c r="K10" s="325" t="s">
        <v>2088</v>
      </c>
      <c r="L10" s="325" t="s">
        <v>2088</v>
      </c>
      <c r="M10" s="323" t="s">
        <v>2853</v>
      </c>
      <c r="N10" s="323" t="s">
        <v>2088</v>
      </c>
      <c r="O10" s="359">
        <v>44244</v>
      </c>
      <c r="P10" s="323" t="s">
        <v>3061</v>
      </c>
      <c r="Q10" s="323" t="s">
        <v>2829</v>
      </c>
      <c r="R10" s="442" t="s">
        <v>5080</v>
      </c>
      <c r="S10" s="382">
        <f>Table13723[[#This Row],[DATE  CLOSED]]-Table13723[[#This Row],[INITIATION DATE]]</f>
        <v>30</v>
      </c>
    </row>
    <row r="11" spans="1:19" ht="25.35" customHeight="1" x14ac:dyDescent="0.2">
      <c r="A11" s="323" t="s">
        <v>5948</v>
      </c>
      <c r="B11" s="325">
        <v>44215</v>
      </c>
      <c r="C11" s="328" t="s">
        <v>5949</v>
      </c>
      <c r="D11" s="328" t="s">
        <v>5950</v>
      </c>
      <c r="E11" s="323" t="s">
        <v>2971</v>
      </c>
      <c r="F11" s="323">
        <v>1</v>
      </c>
      <c r="G11" s="323" t="s">
        <v>2841</v>
      </c>
      <c r="H11" s="323" t="s">
        <v>3645</v>
      </c>
      <c r="I11" s="323" t="s">
        <v>229</v>
      </c>
      <c r="J11" s="325">
        <v>44255</v>
      </c>
      <c r="K11" s="325"/>
      <c r="L11" s="325"/>
      <c r="M11" s="323" t="s">
        <v>2853</v>
      </c>
      <c r="N11" s="323"/>
      <c r="O11" s="359">
        <v>44232</v>
      </c>
      <c r="P11" s="323" t="s">
        <v>4224</v>
      </c>
      <c r="Q11" s="323" t="s">
        <v>2829</v>
      </c>
      <c r="R11" s="442"/>
      <c r="S11" s="382">
        <f>Table13723[[#This Row],[DATE  CLOSED]]-Table13723[[#This Row],[INITIATION DATE]]</f>
        <v>17</v>
      </c>
    </row>
    <row r="12" spans="1:19" ht="25.35" customHeight="1" x14ac:dyDescent="0.2">
      <c r="A12" s="323" t="s">
        <v>5951</v>
      </c>
      <c r="B12" s="325">
        <v>44215</v>
      </c>
      <c r="C12" s="328" t="s">
        <v>5952</v>
      </c>
      <c r="D12" s="328" t="s">
        <v>5953</v>
      </c>
      <c r="E12" s="323" t="s">
        <v>2971</v>
      </c>
      <c r="F12" s="323">
        <v>1</v>
      </c>
      <c r="G12" s="323" t="s">
        <v>2841</v>
      </c>
      <c r="H12" s="323" t="s">
        <v>229</v>
      </c>
      <c r="I12" s="323" t="s">
        <v>4261</v>
      </c>
      <c r="J12" s="325">
        <v>44255</v>
      </c>
      <c r="K12" s="325"/>
      <c r="L12" s="325"/>
      <c r="M12" s="326" t="s">
        <v>2853</v>
      </c>
      <c r="N12" s="323"/>
      <c r="O12" s="359">
        <v>44236</v>
      </c>
      <c r="P12" s="323" t="s">
        <v>4224</v>
      </c>
      <c r="Q12" s="323" t="s">
        <v>2829</v>
      </c>
      <c r="R12" s="442"/>
      <c r="S12" s="382">
        <f>Table13723[[#This Row],[DATE  CLOSED]]-Table13723[[#This Row],[INITIATION DATE]]</f>
        <v>21</v>
      </c>
    </row>
    <row r="13" spans="1:19" ht="25.35" customHeight="1" x14ac:dyDescent="0.2">
      <c r="A13" s="323" t="s">
        <v>5954</v>
      </c>
      <c r="B13" s="325">
        <v>44216</v>
      </c>
      <c r="C13" s="328" t="s">
        <v>5955</v>
      </c>
      <c r="D13" s="328" t="s">
        <v>5956</v>
      </c>
      <c r="E13" s="323" t="s">
        <v>2971</v>
      </c>
      <c r="F13" s="323">
        <v>1</v>
      </c>
      <c r="G13" s="323" t="s">
        <v>2840</v>
      </c>
      <c r="H13" s="323" t="s">
        <v>229</v>
      </c>
      <c r="I13" s="323" t="s">
        <v>4261</v>
      </c>
      <c r="J13" s="325">
        <v>44227</v>
      </c>
      <c r="K13" s="325">
        <v>44286</v>
      </c>
      <c r="L13" s="325"/>
      <c r="M13" s="323" t="s">
        <v>2853</v>
      </c>
      <c r="N13" s="323" t="s">
        <v>4224</v>
      </c>
      <c r="O13" s="359">
        <v>44256</v>
      </c>
      <c r="P13" s="323" t="s">
        <v>4224</v>
      </c>
      <c r="Q13" s="323" t="s">
        <v>5991</v>
      </c>
      <c r="R13" s="442"/>
      <c r="S13" s="382">
        <f>Table13723[[#This Row],[DATE  CLOSED]]-Table13723[[#This Row],[INITIATION DATE]]</f>
        <v>40</v>
      </c>
    </row>
    <row r="14" spans="1:19" ht="25.35" customHeight="1" x14ac:dyDescent="0.2">
      <c r="A14" s="323" t="s">
        <v>5957</v>
      </c>
      <c r="B14" s="325">
        <v>44253</v>
      </c>
      <c r="C14" s="328" t="s">
        <v>5958</v>
      </c>
      <c r="D14" s="328" t="s">
        <v>5959</v>
      </c>
      <c r="E14" s="323" t="s">
        <v>2971</v>
      </c>
      <c r="F14" s="323">
        <v>1</v>
      </c>
      <c r="G14" s="323" t="s">
        <v>2841</v>
      </c>
      <c r="H14" s="323" t="s">
        <v>4021</v>
      </c>
      <c r="I14" s="323" t="s">
        <v>229</v>
      </c>
      <c r="J14" s="325">
        <v>44286</v>
      </c>
      <c r="K14" s="325"/>
      <c r="L14" s="325"/>
      <c r="M14" s="323" t="s">
        <v>2853</v>
      </c>
      <c r="N14" s="323"/>
      <c r="O14" s="359">
        <v>44256</v>
      </c>
      <c r="P14" s="323" t="s">
        <v>4224</v>
      </c>
      <c r="Q14" s="323" t="s">
        <v>4987</v>
      </c>
      <c r="R14" s="442"/>
      <c r="S14" s="382">
        <f>Table13723[[#This Row],[DATE  CLOSED]]-Table13723[[#This Row],[INITIATION DATE]]</f>
        <v>3</v>
      </c>
    </row>
    <row r="15" spans="1:19" ht="25.35" customHeight="1" x14ac:dyDescent="0.2">
      <c r="A15" s="323" t="s">
        <v>5960</v>
      </c>
      <c r="B15" s="325">
        <v>44218</v>
      </c>
      <c r="C15" s="329" t="s">
        <v>5961</v>
      </c>
      <c r="D15" s="329" t="s">
        <v>5962</v>
      </c>
      <c r="E15" s="326" t="s">
        <v>5606</v>
      </c>
      <c r="F15" s="323">
        <v>1</v>
      </c>
      <c r="G15" s="326" t="s">
        <v>2828</v>
      </c>
      <c r="H15" s="326" t="s">
        <v>3975</v>
      </c>
      <c r="I15" s="326" t="s">
        <v>3926</v>
      </c>
      <c r="J15" s="325">
        <v>44227</v>
      </c>
      <c r="K15" s="327" t="s">
        <v>2088</v>
      </c>
      <c r="L15" s="327" t="s">
        <v>2088</v>
      </c>
      <c r="M15" s="326" t="s">
        <v>2853</v>
      </c>
      <c r="N15" s="326" t="s">
        <v>2088</v>
      </c>
      <c r="O15" s="359">
        <v>44221</v>
      </c>
      <c r="P15" s="326" t="s">
        <v>4224</v>
      </c>
      <c r="Q15" s="323" t="s">
        <v>2829</v>
      </c>
      <c r="R15" s="335" t="s">
        <v>5080</v>
      </c>
      <c r="S15" s="382">
        <f>Table13723[[#This Row],[DATE  CLOSED]]-Table13723[[#This Row],[INITIATION DATE]]</f>
        <v>3</v>
      </c>
    </row>
    <row r="16" spans="1:19" ht="25.35" customHeight="1" x14ac:dyDescent="0.2">
      <c r="A16" s="323" t="s">
        <v>5963</v>
      </c>
      <c r="B16" s="325">
        <v>44218</v>
      </c>
      <c r="C16" s="328" t="s">
        <v>5965</v>
      </c>
      <c r="D16" s="328" t="s">
        <v>5964</v>
      </c>
      <c r="E16" s="323" t="s">
        <v>4610</v>
      </c>
      <c r="F16" s="323">
        <v>1</v>
      </c>
      <c r="G16" s="323" t="s">
        <v>2828</v>
      </c>
      <c r="H16" s="323" t="s">
        <v>4021</v>
      </c>
      <c r="I16" s="323" t="s">
        <v>3211</v>
      </c>
      <c r="J16" s="325">
        <v>44227</v>
      </c>
      <c r="K16" s="325" t="s">
        <v>2088</v>
      </c>
      <c r="L16" s="325" t="s">
        <v>2088</v>
      </c>
      <c r="M16" s="323" t="s">
        <v>2853</v>
      </c>
      <c r="N16" s="323" t="s">
        <v>2088</v>
      </c>
      <c r="O16" s="359">
        <v>44224</v>
      </c>
      <c r="P16" s="323" t="s">
        <v>4224</v>
      </c>
      <c r="Q16" s="323" t="s">
        <v>2829</v>
      </c>
      <c r="R16" s="442" t="s">
        <v>5080</v>
      </c>
      <c r="S16" s="382">
        <f>Table13723[[#This Row],[DATE  CLOSED]]-Table13723[[#This Row],[INITIATION DATE]]</f>
        <v>6</v>
      </c>
    </row>
    <row r="17" spans="1:19" ht="25.35" customHeight="1" x14ac:dyDescent="0.2">
      <c r="A17" s="323" t="s">
        <v>5966</v>
      </c>
      <c r="B17" s="325">
        <v>44221</v>
      </c>
      <c r="C17" s="328" t="s">
        <v>5967</v>
      </c>
      <c r="D17" s="328" t="s">
        <v>5968</v>
      </c>
      <c r="E17" s="323" t="s">
        <v>4675</v>
      </c>
      <c r="F17" s="323">
        <v>1</v>
      </c>
      <c r="G17" s="323" t="s">
        <v>2828</v>
      </c>
      <c r="H17" s="323" t="s">
        <v>3975</v>
      </c>
      <c r="I17" s="323" t="s">
        <v>3211</v>
      </c>
      <c r="J17" s="325">
        <v>44255</v>
      </c>
      <c r="K17" s="325" t="s">
        <v>2088</v>
      </c>
      <c r="L17" s="325" t="s">
        <v>2088</v>
      </c>
      <c r="M17" s="323" t="s">
        <v>2853</v>
      </c>
      <c r="N17" s="323" t="s">
        <v>2088</v>
      </c>
      <c r="O17" s="359">
        <v>44224</v>
      </c>
      <c r="P17" s="323" t="s">
        <v>4224</v>
      </c>
      <c r="Q17" s="323" t="s">
        <v>2829</v>
      </c>
      <c r="R17" s="444" t="s">
        <v>5080</v>
      </c>
      <c r="S17" s="382">
        <f>Table13723[[#This Row],[DATE  CLOSED]]-Table13723[[#This Row],[INITIATION DATE]]</f>
        <v>3</v>
      </c>
    </row>
    <row r="18" spans="1:19" ht="25.35" customHeight="1" x14ac:dyDescent="0.2">
      <c r="A18" s="323" t="s">
        <v>5971</v>
      </c>
      <c r="B18" s="325">
        <v>44223</v>
      </c>
      <c r="C18" s="329" t="s">
        <v>5974</v>
      </c>
      <c r="D18" s="329" t="s">
        <v>5972</v>
      </c>
      <c r="E18" s="326" t="s">
        <v>5973</v>
      </c>
      <c r="F18" s="323">
        <v>1</v>
      </c>
      <c r="G18" s="326" t="s">
        <v>2828</v>
      </c>
      <c r="H18" s="323" t="s">
        <v>3975</v>
      </c>
      <c r="I18" s="326" t="s">
        <v>3926</v>
      </c>
      <c r="J18" s="327">
        <v>44255</v>
      </c>
      <c r="K18" s="325" t="s">
        <v>2088</v>
      </c>
      <c r="L18" s="325" t="s">
        <v>2088</v>
      </c>
      <c r="M18" s="326" t="s">
        <v>2853</v>
      </c>
      <c r="N18" s="323" t="s">
        <v>2088</v>
      </c>
      <c r="O18" s="359">
        <v>44232</v>
      </c>
      <c r="P18" s="323" t="s">
        <v>4224</v>
      </c>
      <c r="Q18" s="323" t="s">
        <v>2829</v>
      </c>
      <c r="R18" s="444" t="s">
        <v>5080</v>
      </c>
      <c r="S18" s="382">
        <f>Table13723[[#This Row],[DATE  CLOSED]]-Table13723[[#This Row],[INITIATION DATE]]</f>
        <v>9</v>
      </c>
    </row>
    <row r="19" spans="1:19" ht="25.35" customHeight="1" x14ac:dyDescent="0.2">
      <c r="A19" s="323" t="s">
        <v>5975</v>
      </c>
      <c r="B19" s="325">
        <v>44223</v>
      </c>
      <c r="C19" s="328" t="s">
        <v>5976</v>
      </c>
      <c r="D19" s="445" t="s">
        <v>5979</v>
      </c>
      <c r="E19" s="326" t="s">
        <v>5743</v>
      </c>
      <c r="F19" s="323">
        <v>1</v>
      </c>
      <c r="G19" s="326" t="s">
        <v>2828</v>
      </c>
      <c r="H19" s="326" t="s">
        <v>615</v>
      </c>
      <c r="I19" s="326" t="s">
        <v>3211</v>
      </c>
      <c r="J19" s="325">
        <v>44377</v>
      </c>
      <c r="K19" s="325" t="s">
        <v>2088</v>
      </c>
      <c r="L19" s="325" t="s">
        <v>2088</v>
      </c>
      <c r="M19" s="326" t="s">
        <v>2853</v>
      </c>
      <c r="N19" s="323" t="s">
        <v>2088</v>
      </c>
      <c r="O19" s="359">
        <v>44239</v>
      </c>
      <c r="P19" s="323" t="s">
        <v>4224</v>
      </c>
      <c r="Q19" s="323" t="s">
        <v>2829</v>
      </c>
      <c r="R19" s="444" t="s">
        <v>5080</v>
      </c>
      <c r="S19" s="382">
        <f>Table13723[[#This Row],[DATE  CLOSED]]-Table13723[[#This Row],[INITIATION DATE]]</f>
        <v>16</v>
      </c>
    </row>
    <row r="20" spans="1:19" ht="25.35" customHeight="1" x14ac:dyDescent="0.2">
      <c r="A20" s="323" t="s">
        <v>5977</v>
      </c>
      <c r="B20" s="325">
        <v>44223</v>
      </c>
      <c r="C20" s="329" t="s">
        <v>5978</v>
      </c>
      <c r="D20" s="329" t="s">
        <v>5697</v>
      </c>
      <c r="E20" s="326" t="s">
        <v>5743</v>
      </c>
      <c r="F20" s="323">
        <v>1</v>
      </c>
      <c r="G20" s="326" t="s">
        <v>2828</v>
      </c>
      <c r="H20" s="326" t="s">
        <v>1351</v>
      </c>
      <c r="I20" s="326" t="s">
        <v>3926</v>
      </c>
      <c r="J20" s="325">
        <v>44255</v>
      </c>
      <c r="K20" s="325" t="s">
        <v>2088</v>
      </c>
      <c r="L20" s="325" t="s">
        <v>2088</v>
      </c>
      <c r="M20" s="326" t="s">
        <v>2853</v>
      </c>
      <c r="N20" s="323" t="s">
        <v>2088</v>
      </c>
      <c r="O20" s="359">
        <v>44253</v>
      </c>
      <c r="P20" s="323" t="s">
        <v>4224</v>
      </c>
      <c r="Q20" s="323" t="s">
        <v>2829</v>
      </c>
      <c r="R20" s="444" t="s">
        <v>5080</v>
      </c>
      <c r="S20" s="382">
        <f>Table13723[[#This Row],[DATE  CLOSED]]-Table13723[[#This Row],[INITIATION DATE]]</f>
        <v>30</v>
      </c>
    </row>
    <row r="21" spans="1:19" ht="25.35" customHeight="1" x14ac:dyDescent="0.2">
      <c r="A21" s="323" t="s">
        <v>5980</v>
      </c>
      <c r="B21" s="325">
        <v>44225</v>
      </c>
      <c r="C21" s="328" t="s">
        <v>5981</v>
      </c>
      <c r="D21" s="328" t="s">
        <v>5982</v>
      </c>
      <c r="E21" s="323" t="s">
        <v>2971</v>
      </c>
      <c r="F21" s="323">
        <v>1</v>
      </c>
      <c r="G21" s="323" t="s">
        <v>2836</v>
      </c>
      <c r="H21" s="323" t="s">
        <v>3423</v>
      </c>
      <c r="I21" s="323" t="s">
        <v>3211</v>
      </c>
      <c r="J21" s="325">
        <v>44286</v>
      </c>
      <c r="K21" s="325" t="s">
        <v>2088</v>
      </c>
      <c r="L21" s="325" t="s">
        <v>2088</v>
      </c>
      <c r="M21" s="323" t="s">
        <v>2853</v>
      </c>
      <c r="N21" s="323" t="s">
        <v>2088</v>
      </c>
      <c r="O21" s="359">
        <v>44259</v>
      </c>
      <c r="P21" s="323" t="s">
        <v>4224</v>
      </c>
      <c r="Q21" s="323" t="s">
        <v>2829</v>
      </c>
      <c r="R21" s="444" t="s">
        <v>5080</v>
      </c>
      <c r="S21" s="382">
        <f>Table13723[[#This Row],[DATE  CLOSED]]-Table13723[[#This Row],[INITIATION DATE]]</f>
        <v>34</v>
      </c>
    </row>
    <row r="22" spans="1:19" ht="25.35" customHeight="1" x14ac:dyDescent="0.2">
      <c r="A22" s="323" t="s">
        <v>5983</v>
      </c>
      <c r="B22" s="325">
        <v>44228</v>
      </c>
      <c r="C22" s="328" t="s">
        <v>5984</v>
      </c>
      <c r="D22" s="328" t="s">
        <v>5985</v>
      </c>
      <c r="E22" s="323" t="s">
        <v>3532</v>
      </c>
      <c r="F22" s="323">
        <v>1</v>
      </c>
      <c r="G22" s="323" t="s">
        <v>2828</v>
      </c>
      <c r="H22" s="323" t="s">
        <v>3975</v>
      </c>
      <c r="I22" s="323" t="s">
        <v>3211</v>
      </c>
      <c r="J22" s="325">
        <v>44316</v>
      </c>
      <c r="K22" s="325" t="s">
        <v>2088</v>
      </c>
      <c r="L22" s="325" t="s">
        <v>2088</v>
      </c>
      <c r="M22" s="323" t="s">
        <v>2853</v>
      </c>
      <c r="N22" s="323" t="s">
        <v>2088</v>
      </c>
      <c r="O22" s="359">
        <v>44302</v>
      </c>
      <c r="P22" s="323" t="s">
        <v>4224</v>
      </c>
      <c r="Q22" s="323" t="s">
        <v>2832</v>
      </c>
      <c r="R22" s="446" t="s">
        <v>5080</v>
      </c>
      <c r="S22" s="382">
        <f>Table13723[[#This Row],[DATE  CLOSED]]-Table13723[[#This Row],[INITIATION DATE]]</f>
        <v>74</v>
      </c>
    </row>
    <row r="23" spans="1:19" ht="25.35" customHeight="1" x14ac:dyDescent="0.2">
      <c r="A23" s="323" t="s">
        <v>5992</v>
      </c>
      <c r="B23" s="325">
        <v>44232</v>
      </c>
      <c r="C23" s="328" t="s">
        <v>5993</v>
      </c>
      <c r="D23" s="328" t="s">
        <v>5994</v>
      </c>
      <c r="E23" s="323" t="s">
        <v>2971</v>
      </c>
      <c r="F23" s="323">
        <v>1</v>
      </c>
      <c r="G23" s="323" t="s">
        <v>2836</v>
      </c>
      <c r="H23" s="323" t="s">
        <v>481</v>
      </c>
      <c r="I23" s="323" t="s">
        <v>229</v>
      </c>
      <c r="J23" s="325">
        <v>44239</v>
      </c>
      <c r="K23" s="325"/>
      <c r="L23" s="325"/>
      <c r="M23" s="323" t="s">
        <v>2847</v>
      </c>
      <c r="N23" s="323"/>
      <c r="O23" s="359"/>
      <c r="P23" s="323"/>
      <c r="Q23" s="323"/>
      <c r="R23" s="447"/>
      <c r="S23" s="382">
        <f>Table13723[[#This Row],[DATE  CLOSED]]-Table13723[[#This Row],[INITIATION DATE]]</f>
        <v>-44232</v>
      </c>
    </row>
    <row r="24" spans="1:19" ht="25.35" customHeight="1" x14ac:dyDescent="0.2">
      <c r="A24" s="323" t="s">
        <v>5995</v>
      </c>
      <c r="B24" s="325">
        <v>44232</v>
      </c>
      <c r="C24" s="329" t="s">
        <v>5997</v>
      </c>
      <c r="D24" s="329" t="s">
        <v>5996</v>
      </c>
      <c r="E24" s="326" t="s">
        <v>2971</v>
      </c>
      <c r="F24" s="323">
        <v>1</v>
      </c>
      <c r="G24" s="326" t="s">
        <v>2841</v>
      </c>
      <c r="H24" s="326" t="s">
        <v>229</v>
      </c>
      <c r="I24" s="326" t="s">
        <v>4261</v>
      </c>
      <c r="J24" s="325">
        <v>44286</v>
      </c>
      <c r="K24" s="325"/>
      <c r="L24" s="325"/>
      <c r="M24" s="326" t="s">
        <v>2853</v>
      </c>
      <c r="N24" s="323"/>
      <c r="O24" s="359">
        <v>44274</v>
      </c>
      <c r="P24" s="326" t="s">
        <v>4224</v>
      </c>
      <c r="Q24" s="326" t="s">
        <v>5991</v>
      </c>
      <c r="R24" s="447"/>
      <c r="S24" s="382">
        <f>Table13723[[#This Row],[DATE  CLOSED]]-Table13723[[#This Row],[INITIATION DATE]]</f>
        <v>42</v>
      </c>
    </row>
    <row r="25" spans="1:19" ht="25.35" customHeight="1" x14ac:dyDescent="0.2">
      <c r="A25" s="323" t="s">
        <v>6003</v>
      </c>
      <c r="B25" s="325">
        <v>44237</v>
      </c>
      <c r="C25" s="328" t="s">
        <v>5422</v>
      </c>
      <c r="D25" s="328" t="s">
        <v>6005</v>
      </c>
      <c r="E25" s="323" t="s">
        <v>2971</v>
      </c>
      <c r="F25" s="323">
        <v>1</v>
      </c>
      <c r="G25" s="323" t="s">
        <v>2836</v>
      </c>
      <c r="H25" s="323" t="s">
        <v>685</v>
      </c>
      <c r="I25" s="323" t="s">
        <v>229</v>
      </c>
      <c r="J25" s="325">
        <v>44286</v>
      </c>
      <c r="K25" s="325"/>
      <c r="L25" s="325"/>
      <c r="M25" s="323" t="s">
        <v>2853</v>
      </c>
      <c r="N25" s="323"/>
      <c r="O25" s="359">
        <v>44271</v>
      </c>
      <c r="P25" s="323" t="s">
        <v>3061</v>
      </c>
      <c r="Q25" s="323" t="s">
        <v>2832</v>
      </c>
      <c r="R25" s="447"/>
      <c r="S25" s="382">
        <f>Table13723[[#This Row],[DATE  CLOSED]]-Table13723[[#This Row],[INITIATION DATE]]</f>
        <v>34</v>
      </c>
    </row>
    <row r="26" spans="1:19" ht="25.35" customHeight="1" x14ac:dyDescent="0.2">
      <c r="A26" s="323" t="s">
        <v>6004</v>
      </c>
      <c r="B26" s="325">
        <v>44237</v>
      </c>
      <c r="C26" s="328" t="s">
        <v>6006</v>
      </c>
      <c r="D26" s="328" t="s">
        <v>6007</v>
      </c>
      <c r="E26" s="323" t="s">
        <v>2971</v>
      </c>
      <c r="F26" s="323">
        <v>1</v>
      </c>
      <c r="G26" s="323" t="s">
        <v>2836</v>
      </c>
      <c r="H26" s="323" t="s">
        <v>685</v>
      </c>
      <c r="I26" s="323" t="s">
        <v>229</v>
      </c>
      <c r="J26" s="325">
        <v>44286</v>
      </c>
      <c r="K26" s="325"/>
      <c r="L26" s="325"/>
      <c r="M26" s="323" t="s">
        <v>2853</v>
      </c>
      <c r="N26" s="323"/>
      <c r="O26" s="359">
        <v>44238</v>
      </c>
      <c r="P26" s="323" t="s">
        <v>4224</v>
      </c>
      <c r="Q26" s="323" t="s">
        <v>4987</v>
      </c>
      <c r="R26" s="447" t="s">
        <v>5080</v>
      </c>
      <c r="S26" s="382">
        <f>Table13723[[#This Row],[DATE  CLOSED]]-Table13723[[#This Row],[INITIATION DATE]]</f>
        <v>1</v>
      </c>
    </row>
    <row r="27" spans="1:19" ht="25.35" customHeight="1" x14ac:dyDescent="0.2">
      <c r="A27" s="323" t="s">
        <v>6008</v>
      </c>
      <c r="B27" s="325">
        <v>44237</v>
      </c>
      <c r="C27" s="329" t="s">
        <v>6009</v>
      </c>
      <c r="D27" s="329" t="s">
        <v>6010</v>
      </c>
      <c r="E27" s="326" t="s">
        <v>2971</v>
      </c>
      <c r="F27" s="323">
        <v>1</v>
      </c>
      <c r="G27" s="326" t="s">
        <v>2836</v>
      </c>
      <c r="H27" s="326" t="s">
        <v>441</v>
      </c>
      <c r="I27" s="326" t="s">
        <v>3926</v>
      </c>
      <c r="J27" s="325">
        <v>44439</v>
      </c>
      <c r="K27" s="325"/>
      <c r="L27" s="325"/>
      <c r="M27" s="326" t="s">
        <v>2847</v>
      </c>
      <c r="N27" s="323"/>
      <c r="O27" s="359"/>
      <c r="P27" s="323"/>
      <c r="Q27" s="323"/>
      <c r="R27" s="447"/>
      <c r="S27" s="382">
        <f>Table13723[[#This Row],[DATE  CLOSED]]-Table13723[[#This Row],[INITIATION DATE]]</f>
        <v>-44237</v>
      </c>
    </row>
    <row r="28" spans="1:19" ht="25.35" customHeight="1" x14ac:dyDescent="0.2">
      <c r="A28" s="323" t="s">
        <v>6011</v>
      </c>
      <c r="B28" s="325">
        <v>44238</v>
      </c>
      <c r="C28" s="328" t="s">
        <v>6012</v>
      </c>
      <c r="D28" s="328" t="s">
        <v>6013</v>
      </c>
      <c r="E28" s="323" t="s">
        <v>5973</v>
      </c>
      <c r="F28" s="323">
        <v>1</v>
      </c>
      <c r="G28" s="323" t="s">
        <v>2828</v>
      </c>
      <c r="H28" s="323" t="s">
        <v>3975</v>
      </c>
      <c r="I28" s="323" t="s">
        <v>3926</v>
      </c>
      <c r="J28" s="325">
        <v>43921</v>
      </c>
      <c r="K28" s="325" t="s">
        <v>2088</v>
      </c>
      <c r="L28" s="325" t="s">
        <v>2088</v>
      </c>
      <c r="M28" s="323" t="s">
        <v>2853</v>
      </c>
      <c r="N28" s="323" t="s">
        <v>2912</v>
      </c>
      <c r="O28" s="359">
        <v>44272</v>
      </c>
      <c r="P28" s="323" t="s">
        <v>3061</v>
      </c>
      <c r="Q28" s="323" t="s">
        <v>2832</v>
      </c>
      <c r="R28" s="447" t="s">
        <v>5080</v>
      </c>
      <c r="S28" s="382">
        <f>Table13723[[#This Row],[DATE  CLOSED]]-Table13723[[#This Row],[INITIATION DATE]]</f>
        <v>34</v>
      </c>
    </row>
    <row r="29" spans="1:19" ht="25.35" customHeight="1" x14ac:dyDescent="0.2">
      <c r="A29" s="323" t="s">
        <v>6015</v>
      </c>
      <c r="B29" s="325">
        <v>44243</v>
      </c>
      <c r="C29" s="328" t="s">
        <v>6017</v>
      </c>
      <c r="D29" s="328" t="s">
        <v>6018</v>
      </c>
      <c r="E29" s="323" t="s">
        <v>2971</v>
      </c>
      <c r="F29" s="323">
        <v>1</v>
      </c>
      <c r="G29" s="323" t="s">
        <v>2831</v>
      </c>
      <c r="H29" s="323" t="s">
        <v>685</v>
      </c>
      <c r="I29" s="323" t="s">
        <v>229</v>
      </c>
      <c r="J29" s="325">
        <v>44286</v>
      </c>
      <c r="K29" s="325"/>
      <c r="L29" s="325"/>
      <c r="M29" s="323" t="s">
        <v>2853</v>
      </c>
      <c r="N29" s="323" t="s">
        <v>2088</v>
      </c>
      <c r="O29" s="359">
        <v>44286</v>
      </c>
      <c r="P29" s="323" t="s">
        <v>3061</v>
      </c>
      <c r="Q29" s="323"/>
      <c r="R29" s="449"/>
      <c r="S29" s="382">
        <f>Table13723[[#This Row],[DATE  CLOSED]]-Table13723[[#This Row],[INITIATION DATE]]</f>
        <v>43</v>
      </c>
    </row>
    <row r="30" spans="1:19" ht="25.35" customHeight="1" x14ac:dyDescent="0.2">
      <c r="A30" s="323" t="s">
        <v>6016</v>
      </c>
      <c r="B30" s="325">
        <v>44243</v>
      </c>
      <c r="C30" s="328" t="s">
        <v>6020</v>
      </c>
      <c r="D30" s="328" t="s">
        <v>6019</v>
      </c>
      <c r="E30" s="323" t="s">
        <v>2971</v>
      </c>
      <c r="F30" s="323">
        <v>1</v>
      </c>
      <c r="G30" s="323" t="s">
        <v>2831</v>
      </c>
      <c r="H30" s="323" t="s">
        <v>685</v>
      </c>
      <c r="I30" s="323" t="s">
        <v>229</v>
      </c>
      <c r="J30" s="325">
        <v>44286</v>
      </c>
      <c r="K30" s="325"/>
      <c r="L30" s="325"/>
      <c r="M30" s="323" t="s">
        <v>2853</v>
      </c>
      <c r="N30" s="323" t="s">
        <v>2088</v>
      </c>
      <c r="O30" s="359">
        <v>44286</v>
      </c>
      <c r="P30" s="323" t="s">
        <v>3061</v>
      </c>
      <c r="Q30" s="323"/>
      <c r="R30" s="449"/>
      <c r="S30" s="382">
        <f>Table13723[[#This Row],[DATE  CLOSED]]-Table13723[[#This Row],[INITIATION DATE]]</f>
        <v>43</v>
      </c>
    </row>
    <row r="31" spans="1:19" ht="25.35" customHeight="1" x14ac:dyDescent="0.2">
      <c r="A31" s="323" t="s">
        <v>6021</v>
      </c>
      <c r="B31" s="325">
        <v>44243</v>
      </c>
      <c r="C31" s="328" t="s">
        <v>4662</v>
      </c>
      <c r="D31" s="328" t="s">
        <v>6022</v>
      </c>
      <c r="E31" s="323" t="s">
        <v>2971</v>
      </c>
      <c r="F31" s="323">
        <v>1</v>
      </c>
      <c r="G31" s="323" t="s">
        <v>2840</v>
      </c>
      <c r="H31" s="323" t="s">
        <v>229</v>
      </c>
      <c r="I31" s="323" t="s">
        <v>4261</v>
      </c>
      <c r="J31" s="325">
        <v>44255</v>
      </c>
      <c r="K31" s="325"/>
      <c r="L31" s="325"/>
      <c r="M31" s="326" t="s">
        <v>2853</v>
      </c>
      <c r="N31" s="323"/>
      <c r="O31" s="359">
        <v>44252</v>
      </c>
      <c r="P31" s="326" t="s">
        <v>4224</v>
      </c>
      <c r="Q31" s="326" t="s">
        <v>4987</v>
      </c>
      <c r="R31" s="335" t="s">
        <v>5080</v>
      </c>
      <c r="S31" s="382">
        <f>Table13723[[#This Row],[DATE  CLOSED]]-Table13723[[#This Row],[INITIATION DATE]]</f>
        <v>9</v>
      </c>
    </row>
    <row r="32" spans="1:19" ht="25.35" customHeight="1" x14ac:dyDescent="0.2">
      <c r="A32" s="323" t="s">
        <v>6023</v>
      </c>
      <c r="B32" s="325">
        <v>44244</v>
      </c>
      <c r="C32" s="328" t="s">
        <v>6024</v>
      </c>
      <c r="D32" s="328" t="s">
        <v>6025</v>
      </c>
      <c r="E32" s="323" t="s">
        <v>2971</v>
      </c>
      <c r="F32" s="323">
        <v>1</v>
      </c>
      <c r="G32" s="323" t="s">
        <v>2834</v>
      </c>
      <c r="H32" s="323" t="s">
        <v>3645</v>
      </c>
      <c r="I32" s="323" t="s">
        <v>229</v>
      </c>
      <c r="J32" s="325">
        <v>44286</v>
      </c>
      <c r="K32" s="325" t="s">
        <v>2088</v>
      </c>
      <c r="L32" s="325" t="s">
        <v>2088</v>
      </c>
      <c r="M32" s="323" t="s">
        <v>2853</v>
      </c>
      <c r="N32" s="323" t="s">
        <v>2088</v>
      </c>
      <c r="O32" s="359">
        <v>44253</v>
      </c>
      <c r="P32" s="323" t="s">
        <v>4224</v>
      </c>
      <c r="Q32" s="323" t="s">
        <v>2829</v>
      </c>
      <c r="R32" s="455" t="s">
        <v>5080</v>
      </c>
      <c r="S32" s="382">
        <f>Table13723[[#This Row],[DATE  CLOSED]]-Table13723[[#This Row],[INITIATION DATE]]</f>
        <v>9</v>
      </c>
    </row>
    <row r="33" spans="1:19" ht="25.35" customHeight="1" x14ac:dyDescent="0.2">
      <c r="A33" s="323" t="s">
        <v>6026</v>
      </c>
      <c r="B33" s="325">
        <v>44244</v>
      </c>
      <c r="C33" s="328" t="s">
        <v>6027</v>
      </c>
      <c r="D33" s="328" t="s">
        <v>6028</v>
      </c>
      <c r="E33" s="323" t="s">
        <v>2971</v>
      </c>
      <c r="F33" s="323">
        <v>1</v>
      </c>
      <c r="G33" s="323" t="s">
        <v>2841</v>
      </c>
      <c r="H33" s="323" t="s">
        <v>4021</v>
      </c>
      <c r="I33" s="323" t="s">
        <v>229</v>
      </c>
      <c r="J33" s="325">
        <v>44286</v>
      </c>
      <c r="K33" s="325"/>
      <c r="L33" s="325"/>
      <c r="M33" s="323" t="s">
        <v>2853</v>
      </c>
      <c r="N33" s="323"/>
      <c r="O33" s="359">
        <v>44256</v>
      </c>
      <c r="P33" s="323" t="s">
        <v>4224</v>
      </c>
      <c r="Q33" s="323" t="s">
        <v>4987</v>
      </c>
      <c r="R33" s="455"/>
      <c r="S33" s="382">
        <f>Table13723[[#This Row],[DATE  CLOSED]]-Table13723[[#This Row],[INITIATION DATE]]</f>
        <v>12</v>
      </c>
    </row>
    <row r="34" spans="1:19" ht="25.35" customHeight="1" x14ac:dyDescent="0.2">
      <c r="A34" s="323" t="s">
        <v>6030</v>
      </c>
      <c r="B34" s="325">
        <v>44246</v>
      </c>
      <c r="C34" s="328" t="s">
        <v>6031</v>
      </c>
      <c r="D34" s="328" t="s">
        <v>6032</v>
      </c>
      <c r="E34" s="323" t="s">
        <v>2971</v>
      </c>
      <c r="F34" s="323">
        <v>1</v>
      </c>
      <c r="G34" s="323" t="s">
        <v>2840</v>
      </c>
      <c r="H34" s="323" t="s">
        <v>229</v>
      </c>
      <c r="I34" s="323" t="s">
        <v>4261</v>
      </c>
      <c r="J34" s="325">
        <v>44286</v>
      </c>
      <c r="K34" s="325"/>
      <c r="L34" s="325"/>
      <c r="M34" s="323" t="s">
        <v>2853</v>
      </c>
      <c r="N34" s="323"/>
      <c r="O34" s="359">
        <v>44246</v>
      </c>
      <c r="P34" s="323" t="s">
        <v>4224</v>
      </c>
      <c r="Q34" s="323" t="s">
        <v>4987</v>
      </c>
      <c r="R34" s="455"/>
      <c r="S34" s="382">
        <f>Table13723[[#This Row],[DATE  CLOSED]]-Table13723[[#This Row],[INITIATION DATE]]</f>
        <v>0</v>
      </c>
    </row>
    <row r="35" spans="1:19" ht="25.35" customHeight="1" x14ac:dyDescent="0.2">
      <c r="A35" s="323" t="s">
        <v>6033</v>
      </c>
      <c r="B35" s="325">
        <v>44250</v>
      </c>
      <c r="C35" s="328" t="s">
        <v>6034</v>
      </c>
      <c r="D35" s="328" t="s">
        <v>6035</v>
      </c>
      <c r="E35" s="323" t="s">
        <v>2971</v>
      </c>
      <c r="F35" s="323">
        <v>1</v>
      </c>
      <c r="G35" s="323" t="s">
        <v>2841</v>
      </c>
      <c r="H35" s="323" t="s">
        <v>229</v>
      </c>
      <c r="I35" s="323" t="s">
        <v>4261</v>
      </c>
      <c r="J35" s="325">
        <v>44286</v>
      </c>
      <c r="K35" s="325"/>
      <c r="L35" s="325"/>
      <c r="M35" s="326" t="s">
        <v>2853</v>
      </c>
      <c r="N35" s="323"/>
      <c r="O35" s="359">
        <v>44286</v>
      </c>
      <c r="P35" s="326" t="s">
        <v>4224</v>
      </c>
      <c r="Q35" s="326" t="s">
        <v>5991</v>
      </c>
      <c r="R35" s="455"/>
      <c r="S35" s="382">
        <f>Table13723[[#This Row],[DATE  CLOSED]]-Table13723[[#This Row],[INITIATION DATE]]</f>
        <v>36</v>
      </c>
    </row>
    <row r="36" spans="1:19" ht="25.35" customHeight="1" x14ac:dyDescent="0.2">
      <c r="A36" s="323" t="s">
        <v>6037</v>
      </c>
      <c r="B36" s="325">
        <v>44256</v>
      </c>
      <c r="C36" s="328" t="s">
        <v>6038</v>
      </c>
      <c r="D36" s="328" t="s">
        <v>6028</v>
      </c>
      <c r="E36" s="323" t="s">
        <v>2971</v>
      </c>
      <c r="F36" s="323">
        <v>1</v>
      </c>
      <c r="G36" s="323" t="s">
        <v>2841</v>
      </c>
      <c r="H36" s="323" t="s">
        <v>4021</v>
      </c>
      <c r="I36" s="323" t="s">
        <v>229</v>
      </c>
      <c r="J36" s="325">
        <v>44286</v>
      </c>
      <c r="K36" s="325"/>
      <c r="L36" s="325"/>
      <c r="M36" s="323" t="s">
        <v>2853</v>
      </c>
      <c r="N36" s="323"/>
      <c r="O36" s="359">
        <v>44256</v>
      </c>
      <c r="P36" s="323" t="s">
        <v>4224</v>
      </c>
      <c r="Q36" s="323" t="s">
        <v>4987</v>
      </c>
      <c r="R36" s="456"/>
      <c r="S36" s="382">
        <f>Table13723[[#This Row],[DATE  CLOSED]]-Table13723[[#This Row],[INITIATION DATE]]</f>
        <v>0</v>
      </c>
    </row>
    <row r="37" spans="1:19" ht="25.35" customHeight="1" x14ac:dyDescent="0.2">
      <c r="A37" s="323" t="s">
        <v>6039</v>
      </c>
      <c r="B37" s="325">
        <v>44257</v>
      </c>
      <c r="C37" s="328" t="s">
        <v>6041</v>
      </c>
      <c r="D37" s="328" t="s">
        <v>6040</v>
      </c>
      <c r="E37" s="323" t="s">
        <v>2971</v>
      </c>
      <c r="F37" s="323">
        <v>1</v>
      </c>
      <c r="G37" s="323" t="s">
        <v>2840</v>
      </c>
      <c r="H37" s="323" t="s">
        <v>229</v>
      </c>
      <c r="I37" s="323" t="s">
        <v>4261</v>
      </c>
      <c r="J37" s="325">
        <v>44286</v>
      </c>
      <c r="K37" s="325"/>
      <c r="L37" s="325"/>
      <c r="M37" s="323" t="s">
        <v>2853</v>
      </c>
      <c r="N37" s="323"/>
      <c r="O37" s="359">
        <v>44258</v>
      </c>
      <c r="P37" s="323" t="s">
        <v>4224</v>
      </c>
      <c r="Q37" s="323" t="s">
        <v>4987</v>
      </c>
      <c r="R37" s="456"/>
      <c r="S37" s="382">
        <f>Table13723[[#This Row],[DATE  CLOSED]]-Table13723[[#This Row],[INITIATION DATE]]</f>
        <v>1</v>
      </c>
    </row>
    <row r="38" spans="1:19" ht="25.35" customHeight="1" x14ac:dyDescent="0.2">
      <c r="A38" s="323" t="s">
        <v>6042</v>
      </c>
      <c r="B38" s="325">
        <v>44259</v>
      </c>
      <c r="C38" s="328" t="s">
        <v>6043</v>
      </c>
      <c r="D38" s="328" t="s">
        <v>6044</v>
      </c>
      <c r="E38" s="323" t="s">
        <v>2971</v>
      </c>
      <c r="F38" s="323">
        <v>1</v>
      </c>
      <c r="G38" s="323" t="s">
        <v>2836</v>
      </c>
      <c r="H38" s="323" t="s">
        <v>685</v>
      </c>
      <c r="I38" s="323" t="s">
        <v>229</v>
      </c>
      <c r="J38" s="325">
        <v>44286</v>
      </c>
      <c r="K38" s="325"/>
      <c r="L38" s="325"/>
      <c r="M38" s="323" t="s">
        <v>2853</v>
      </c>
      <c r="N38" s="323" t="s">
        <v>2088</v>
      </c>
      <c r="O38" s="359">
        <v>44263</v>
      </c>
      <c r="P38" s="323" t="s">
        <v>3061</v>
      </c>
      <c r="Q38" s="323" t="s">
        <v>2829</v>
      </c>
      <c r="R38" s="456"/>
      <c r="S38" s="382">
        <f>Table13723[[#This Row],[DATE  CLOSED]]-Table13723[[#This Row],[INITIATION DATE]]</f>
        <v>4</v>
      </c>
    </row>
    <row r="39" spans="1:19" ht="25.35" customHeight="1" x14ac:dyDescent="0.2">
      <c r="A39" s="323" t="s">
        <v>6045</v>
      </c>
      <c r="B39" s="325">
        <v>44263</v>
      </c>
      <c r="C39" s="329" t="s">
        <v>6048</v>
      </c>
      <c r="D39" s="329" t="s">
        <v>6046</v>
      </c>
      <c r="E39" s="326" t="s">
        <v>2971</v>
      </c>
      <c r="F39" s="323">
        <v>1</v>
      </c>
      <c r="G39" s="326" t="s">
        <v>2841</v>
      </c>
      <c r="H39" s="326" t="s">
        <v>6047</v>
      </c>
      <c r="I39" s="326" t="s">
        <v>229</v>
      </c>
      <c r="J39" s="325">
        <v>44286</v>
      </c>
      <c r="K39" s="325"/>
      <c r="L39" s="325"/>
      <c r="M39" s="326" t="s">
        <v>2853</v>
      </c>
      <c r="N39" s="323" t="s">
        <v>2088</v>
      </c>
      <c r="O39" s="359">
        <v>44284</v>
      </c>
      <c r="P39" s="323" t="s">
        <v>4224</v>
      </c>
      <c r="Q39" s="323" t="s">
        <v>2829</v>
      </c>
      <c r="R39" s="457"/>
      <c r="S39" s="382">
        <f>Table13723[[#This Row],[DATE  CLOSED]]-Table13723[[#This Row],[INITIATION DATE]]</f>
        <v>21</v>
      </c>
    </row>
    <row r="40" spans="1:19" ht="25.35" customHeight="1" x14ac:dyDescent="0.2">
      <c r="A40" s="323" t="s">
        <v>6049</v>
      </c>
      <c r="B40" s="325">
        <v>44265</v>
      </c>
      <c r="C40" s="328" t="s">
        <v>6052</v>
      </c>
      <c r="D40" s="328" t="s">
        <v>6053</v>
      </c>
      <c r="E40" s="323" t="s">
        <v>5784</v>
      </c>
      <c r="F40" s="323">
        <v>1</v>
      </c>
      <c r="G40" s="323" t="s">
        <v>2828</v>
      </c>
      <c r="H40" s="323" t="s">
        <v>1351</v>
      </c>
      <c r="I40" s="323" t="s">
        <v>3926</v>
      </c>
      <c r="J40" s="325">
        <v>44286</v>
      </c>
      <c r="K40" s="325" t="s">
        <v>2088</v>
      </c>
      <c r="L40" s="325" t="s">
        <v>2088</v>
      </c>
      <c r="M40" s="323" t="s">
        <v>2853</v>
      </c>
      <c r="N40" s="323" t="s">
        <v>2088</v>
      </c>
      <c r="O40" s="359">
        <v>44286</v>
      </c>
      <c r="P40" s="323" t="s">
        <v>4224</v>
      </c>
      <c r="Q40" s="323" t="s">
        <v>2829</v>
      </c>
      <c r="R40" s="457" t="s">
        <v>5080</v>
      </c>
      <c r="S40" s="382">
        <f>Table13723[[#This Row],[DATE  CLOSED]]-Table13723[[#This Row],[INITIATION DATE]]</f>
        <v>21</v>
      </c>
    </row>
    <row r="41" spans="1:19" ht="25.35" customHeight="1" x14ac:dyDescent="0.2">
      <c r="A41" s="323" t="s">
        <v>6050</v>
      </c>
      <c r="B41" s="325">
        <v>44265</v>
      </c>
      <c r="C41" s="328" t="s">
        <v>6054</v>
      </c>
      <c r="D41" s="328" t="s">
        <v>5697</v>
      </c>
      <c r="E41" s="323" t="s">
        <v>6055</v>
      </c>
      <c r="F41" s="323">
        <v>1</v>
      </c>
      <c r="G41" s="323" t="s">
        <v>2828</v>
      </c>
      <c r="H41" s="323" t="s">
        <v>1351</v>
      </c>
      <c r="I41" s="323" t="s">
        <v>3926</v>
      </c>
      <c r="J41" s="325">
        <v>44316</v>
      </c>
      <c r="K41" s="325" t="s">
        <v>2088</v>
      </c>
      <c r="L41" s="325" t="s">
        <v>2088</v>
      </c>
      <c r="M41" s="323" t="s">
        <v>2853</v>
      </c>
      <c r="N41" s="323" t="s">
        <v>2088</v>
      </c>
      <c r="O41" s="359">
        <v>44280</v>
      </c>
      <c r="P41" s="323" t="s">
        <v>4224</v>
      </c>
      <c r="Q41" s="323" t="s">
        <v>2829</v>
      </c>
      <c r="R41" s="457" t="s">
        <v>5080</v>
      </c>
      <c r="S41" s="382">
        <f>Table13723[[#This Row],[DATE  CLOSED]]-Table13723[[#This Row],[INITIATION DATE]]</f>
        <v>15</v>
      </c>
    </row>
    <row r="42" spans="1:19" ht="25.35" customHeight="1" x14ac:dyDescent="0.2">
      <c r="A42" s="323" t="s">
        <v>6051</v>
      </c>
      <c r="B42" s="325">
        <v>44265</v>
      </c>
      <c r="C42" s="328" t="s">
        <v>6056</v>
      </c>
      <c r="D42" s="328" t="s">
        <v>6057</v>
      </c>
      <c r="E42" s="323" t="s">
        <v>3586</v>
      </c>
      <c r="F42" s="323">
        <v>1</v>
      </c>
      <c r="G42" s="323" t="s">
        <v>2828</v>
      </c>
      <c r="H42" s="323" t="s">
        <v>4079</v>
      </c>
      <c r="I42" s="323" t="s">
        <v>3926</v>
      </c>
      <c r="J42" s="325">
        <v>44316</v>
      </c>
      <c r="K42" s="325" t="s">
        <v>2088</v>
      </c>
      <c r="L42" s="325" t="s">
        <v>2088</v>
      </c>
      <c r="M42" s="323" t="s">
        <v>2853</v>
      </c>
      <c r="N42" s="323" t="s">
        <v>3022</v>
      </c>
      <c r="O42" s="359">
        <v>44319</v>
      </c>
      <c r="P42" s="323" t="s">
        <v>3022</v>
      </c>
      <c r="Q42" s="323" t="s">
        <v>2832</v>
      </c>
      <c r="R42" s="457" t="s">
        <v>5080</v>
      </c>
      <c r="S42" s="382">
        <f>Table13723[[#This Row],[DATE  CLOSED]]-Table13723[[#This Row],[INITIATION DATE]]</f>
        <v>54</v>
      </c>
    </row>
    <row r="43" spans="1:19" ht="25.35" customHeight="1" x14ac:dyDescent="0.2">
      <c r="A43" s="323" t="s">
        <v>6058</v>
      </c>
      <c r="B43" s="325">
        <v>44265</v>
      </c>
      <c r="C43" s="328" t="s">
        <v>6060</v>
      </c>
      <c r="D43" s="328" t="s">
        <v>6061</v>
      </c>
      <c r="E43" s="323" t="s">
        <v>5606</v>
      </c>
      <c r="F43" s="323">
        <v>1</v>
      </c>
      <c r="G43" s="323" t="s">
        <v>2828</v>
      </c>
      <c r="H43" s="323" t="s">
        <v>6059</v>
      </c>
      <c r="I43" s="323" t="s">
        <v>3211</v>
      </c>
      <c r="J43" s="325">
        <v>44286</v>
      </c>
      <c r="K43" s="325" t="s">
        <v>2088</v>
      </c>
      <c r="L43" s="325" t="s">
        <v>2088</v>
      </c>
      <c r="M43" s="323" t="s">
        <v>2853</v>
      </c>
      <c r="N43" s="323" t="s">
        <v>2088</v>
      </c>
      <c r="O43" s="359">
        <v>44267</v>
      </c>
      <c r="P43" s="323" t="s">
        <v>3061</v>
      </c>
      <c r="Q43" s="323" t="s">
        <v>2829</v>
      </c>
      <c r="R43" s="458" t="s">
        <v>5080</v>
      </c>
      <c r="S43" s="382">
        <f>Table13723[[#This Row],[DATE  CLOSED]]-Table13723[[#This Row],[INITIATION DATE]]</f>
        <v>2</v>
      </c>
    </row>
    <row r="44" spans="1:19" ht="25.35" customHeight="1" x14ac:dyDescent="0.2">
      <c r="A44" s="323" t="s">
        <v>6062</v>
      </c>
      <c r="B44" s="325">
        <v>44266</v>
      </c>
      <c r="C44" s="328" t="s">
        <v>6064</v>
      </c>
      <c r="D44" s="328" t="s">
        <v>6073</v>
      </c>
      <c r="E44" s="323" t="s">
        <v>2971</v>
      </c>
      <c r="F44" s="323">
        <v>1</v>
      </c>
      <c r="G44" s="323" t="s">
        <v>2836</v>
      </c>
      <c r="H44" s="323" t="s">
        <v>3991</v>
      </c>
      <c r="I44" s="323" t="s">
        <v>229</v>
      </c>
      <c r="J44" s="325">
        <v>44286</v>
      </c>
      <c r="K44" s="325"/>
      <c r="L44" s="325"/>
      <c r="M44" s="323" t="s">
        <v>2853</v>
      </c>
      <c r="N44" s="323"/>
      <c r="O44" s="359">
        <v>44286</v>
      </c>
      <c r="P44" s="323" t="s">
        <v>4224</v>
      </c>
      <c r="Q44" s="323" t="s">
        <v>2829</v>
      </c>
      <c r="R44" s="459"/>
      <c r="S44" s="382">
        <f>Table13723[[#This Row],[DATE  CLOSED]]-Table13723[[#This Row],[INITIATION DATE]]</f>
        <v>20</v>
      </c>
    </row>
    <row r="45" spans="1:19" ht="25.35" customHeight="1" x14ac:dyDescent="0.2">
      <c r="A45" s="323" t="s">
        <v>6063</v>
      </c>
      <c r="B45" s="325">
        <v>44266</v>
      </c>
      <c r="C45" s="328" t="s">
        <v>6065</v>
      </c>
      <c r="D45" s="328" t="s">
        <v>6066</v>
      </c>
      <c r="E45" s="323" t="s">
        <v>2971</v>
      </c>
      <c r="F45" s="323">
        <v>1</v>
      </c>
      <c r="G45" s="323" t="s">
        <v>2836</v>
      </c>
      <c r="H45" s="323" t="s">
        <v>3991</v>
      </c>
      <c r="I45" s="323" t="s">
        <v>229</v>
      </c>
      <c r="J45" s="325">
        <v>44286</v>
      </c>
      <c r="K45" s="325"/>
      <c r="L45" s="325"/>
      <c r="M45" s="323" t="s">
        <v>2853</v>
      </c>
      <c r="N45" s="323"/>
      <c r="O45" s="359">
        <v>44271</v>
      </c>
      <c r="P45" s="323" t="s">
        <v>4224</v>
      </c>
      <c r="Q45" s="323" t="s">
        <v>2829</v>
      </c>
      <c r="R45" s="459"/>
      <c r="S45" s="382">
        <f>Table13723[[#This Row],[DATE  CLOSED]]-Table13723[[#This Row],[INITIATION DATE]]</f>
        <v>5</v>
      </c>
    </row>
    <row r="46" spans="1:19" ht="25.35" customHeight="1" x14ac:dyDescent="0.2">
      <c r="A46" s="323" t="s">
        <v>6067</v>
      </c>
      <c r="B46" s="325">
        <v>44267</v>
      </c>
      <c r="C46" s="328" t="s">
        <v>6068</v>
      </c>
      <c r="D46" s="328" t="s">
        <v>6028</v>
      </c>
      <c r="E46" s="323" t="s">
        <v>2971</v>
      </c>
      <c r="F46" s="323">
        <v>1</v>
      </c>
      <c r="G46" s="323" t="s">
        <v>2840</v>
      </c>
      <c r="H46" s="323" t="s">
        <v>229</v>
      </c>
      <c r="I46" s="323" t="s">
        <v>4261</v>
      </c>
      <c r="J46" s="325">
        <v>44286</v>
      </c>
      <c r="K46" s="325"/>
      <c r="L46" s="325"/>
      <c r="M46" s="323" t="s">
        <v>2853</v>
      </c>
      <c r="N46" s="323"/>
      <c r="O46" s="359">
        <v>44270</v>
      </c>
      <c r="P46" s="323" t="s">
        <v>4224</v>
      </c>
      <c r="Q46" s="323" t="s">
        <v>4987</v>
      </c>
      <c r="R46" s="459"/>
      <c r="S46" s="382">
        <f>Table13723[[#This Row],[DATE  CLOSED]]-Table13723[[#This Row],[INITIATION DATE]]</f>
        <v>3</v>
      </c>
    </row>
    <row r="47" spans="1:19" ht="25.35" customHeight="1" x14ac:dyDescent="0.2">
      <c r="A47" s="323" t="s">
        <v>6069</v>
      </c>
      <c r="B47" s="325">
        <v>44267</v>
      </c>
      <c r="C47" s="328" t="s">
        <v>6070</v>
      </c>
      <c r="D47" s="328" t="s">
        <v>6071</v>
      </c>
      <c r="E47" s="323" t="s">
        <v>2971</v>
      </c>
      <c r="F47" s="323">
        <v>1</v>
      </c>
      <c r="G47" s="323" t="s">
        <v>2840</v>
      </c>
      <c r="H47" s="323" t="s">
        <v>3423</v>
      </c>
      <c r="I47" s="323" t="s">
        <v>3211</v>
      </c>
      <c r="J47" s="325">
        <v>44267</v>
      </c>
      <c r="K47" s="325" t="s">
        <v>2088</v>
      </c>
      <c r="L47" s="325" t="s">
        <v>2088</v>
      </c>
      <c r="M47" s="323" t="s">
        <v>2853</v>
      </c>
      <c r="N47" s="323" t="s">
        <v>2088</v>
      </c>
      <c r="O47" s="359">
        <v>44267</v>
      </c>
      <c r="P47" s="323" t="s">
        <v>3061</v>
      </c>
      <c r="Q47" s="323" t="s">
        <v>2829</v>
      </c>
      <c r="R47" s="459" t="s">
        <v>5080</v>
      </c>
      <c r="S47" s="382">
        <f>Table13723[[#This Row],[DATE  CLOSED]]-Table13723[[#This Row],[INITIATION DATE]]</f>
        <v>0</v>
      </c>
    </row>
    <row r="48" spans="1:19" ht="25.35" customHeight="1" x14ac:dyDescent="0.2">
      <c r="A48" s="323" t="s">
        <v>6072</v>
      </c>
      <c r="B48" s="325">
        <v>44267</v>
      </c>
      <c r="C48" s="328" t="s">
        <v>6074</v>
      </c>
      <c r="D48" s="328" t="s">
        <v>6075</v>
      </c>
      <c r="E48" s="323" t="s">
        <v>2971</v>
      </c>
      <c r="F48" s="323">
        <v>1</v>
      </c>
      <c r="G48" s="323" t="s">
        <v>2836</v>
      </c>
      <c r="H48" s="323" t="s">
        <v>3423</v>
      </c>
      <c r="I48" s="323" t="s">
        <v>3211</v>
      </c>
      <c r="J48" s="325">
        <v>44267</v>
      </c>
      <c r="K48" s="325"/>
      <c r="L48" s="325"/>
      <c r="M48" s="323" t="s">
        <v>2853</v>
      </c>
      <c r="N48" s="323"/>
      <c r="O48" s="359">
        <v>44267</v>
      </c>
      <c r="P48" s="323" t="s">
        <v>4224</v>
      </c>
      <c r="Q48" s="323" t="s">
        <v>4987</v>
      </c>
      <c r="R48" s="459"/>
      <c r="S48" s="382">
        <f>Table13723[[#This Row],[DATE  CLOSED]]-Table13723[[#This Row],[INITIATION DATE]]</f>
        <v>0</v>
      </c>
    </row>
    <row r="49" spans="1:19" ht="25.35" customHeight="1" x14ac:dyDescent="0.2">
      <c r="A49" s="323" t="s">
        <v>6076</v>
      </c>
      <c r="B49" s="325">
        <v>44270</v>
      </c>
      <c r="C49" s="328" t="s">
        <v>6077</v>
      </c>
      <c r="D49" s="328" t="s">
        <v>6078</v>
      </c>
      <c r="E49" s="323" t="s">
        <v>2971</v>
      </c>
      <c r="F49" s="323">
        <v>1</v>
      </c>
      <c r="G49" s="323" t="s">
        <v>2836</v>
      </c>
      <c r="H49" s="323" t="s">
        <v>3423</v>
      </c>
      <c r="I49" s="323" t="s">
        <v>3211</v>
      </c>
      <c r="J49" s="325">
        <v>44286</v>
      </c>
      <c r="K49" s="325" t="s">
        <v>2088</v>
      </c>
      <c r="L49" s="325" t="s">
        <v>2088</v>
      </c>
      <c r="M49" s="323" t="s">
        <v>2853</v>
      </c>
      <c r="N49" s="323" t="s">
        <v>2088</v>
      </c>
      <c r="O49" s="359">
        <v>44270</v>
      </c>
      <c r="P49" s="323" t="s">
        <v>4224</v>
      </c>
      <c r="Q49" s="323" t="s">
        <v>2829</v>
      </c>
      <c r="R49" s="459" t="s">
        <v>5080</v>
      </c>
      <c r="S49" s="382">
        <f>Table13723[[#This Row],[DATE  CLOSED]]-Table13723[[#This Row],[INITIATION DATE]]</f>
        <v>0</v>
      </c>
    </row>
    <row r="50" spans="1:19" ht="25.35" customHeight="1" x14ac:dyDescent="0.2">
      <c r="A50" s="323" t="s">
        <v>6079</v>
      </c>
      <c r="B50" s="325">
        <v>44271</v>
      </c>
      <c r="C50" s="328" t="s">
        <v>6080</v>
      </c>
      <c r="D50" s="328" t="s">
        <v>6081</v>
      </c>
      <c r="E50" s="323" t="s">
        <v>2971</v>
      </c>
      <c r="F50" s="323">
        <v>1</v>
      </c>
      <c r="G50" s="323" t="s">
        <v>2828</v>
      </c>
      <c r="H50" s="323" t="s">
        <v>2176</v>
      </c>
      <c r="I50" s="323" t="s">
        <v>3211</v>
      </c>
      <c r="J50" s="325">
        <v>44377</v>
      </c>
      <c r="K50" s="325" t="s">
        <v>2088</v>
      </c>
      <c r="L50" s="325" t="s">
        <v>2088</v>
      </c>
      <c r="M50" s="323" t="s">
        <v>2853</v>
      </c>
      <c r="N50" s="323" t="s">
        <v>2088</v>
      </c>
      <c r="O50" s="359">
        <v>44315</v>
      </c>
      <c r="P50" s="323" t="s">
        <v>3061</v>
      </c>
      <c r="Q50" s="323" t="s">
        <v>2832</v>
      </c>
      <c r="R50" s="459" t="s">
        <v>5080</v>
      </c>
      <c r="S50" s="382">
        <f>Table13723[[#This Row],[DATE  CLOSED]]-Table13723[[#This Row],[INITIATION DATE]]</f>
        <v>44</v>
      </c>
    </row>
    <row r="51" spans="1:19" ht="25.35" customHeight="1" x14ac:dyDescent="0.2">
      <c r="A51" s="323" t="s">
        <v>6083</v>
      </c>
      <c r="B51" s="325">
        <v>44271</v>
      </c>
      <c r="C51" s="328" t="s">
        <v>6084</v>
      </c>
      <c r="D51" s="328" t="s">
        <v>6085</v>
      </c>
      <c r="E51" s="323" t="s">
        <v>2971</v>
      </c>
      <c r="F51" s="323">
        <v>1</v>
      </c>
      <c r="G51" s="323" t="s">
        <v>2841</v>
      </c>
      <c r="H51" s="323" t="s">
        <v>1339</v>
      </c>
      <c r="I51" s="323" t="s">
        <v>229</v>
      </c>
      <c r="J51" s="325">
        <v>44316</v>
      </c>
      <c r="K51" s="325"/>
      <c r="L51" s="325"/>
      <c r="M51" s="323" t="s">
        <v>2853</v>
      </c>
      <c r="N51" s="323" t="s">
        <v>2088</v>
      </c>
      <c r="O51" s="359">
        <v>44305</v>
      </c>
      <c r="P51" s="323" t="s">
        <v>3061</v>
      </c>
      <c r="Q51" s="323" t="s">
        <v>2832</v>
      </c>
      <c r="R51" s="459"/>
      <c r="S51" s="382">
        <f>Table13723[[#This Row],[DATE  CLOSED]]-Table13723[[#This Row],[INITIATION DATE]]</f>
        <v>34</v>
      </c>
    </row>
    <row r="52" spans="1:19" ht="25.35" customHeight="1" x14ac:dyDescent="0.2">
      <c r="A52" s="323" t="s">
        <v>6086</v>
      </c>
      <c r="B52" s="325">
        <v>44274</v>
      </c>
      <c r="C52" s="328" t="s">
        <v>6087</v>
      </c>
      <c r="D52" s="328" t="s">
        <v>6088</v>
      </c>
      <c r="E52" s="323" t="s">
        <v>3519</v>
      </c>
      <c r="F52" s="323">
        <v>1</v>
      </c>
      <c r="G52" s="323" t="s">
        <v>2828</v>
      </c>
      <c r="H52" s="323" t="s">
        <v>4163</v>
      </c>
      <c r="I52" s="323" t="s">
        <v>3211</v>
      </c>
      <c r="J52" s="325">
        <v>44316</v>
      </c>
      <c r="K52" s="325" t="s">
        <v>2088</v>
      </c>
      <c r="L52" s="325" t="s">
        <v>2088</v>
      </c>
      <c r="M52" s="323" t="s">
        <v>2853</v>
      </c>
      <c r="N52" s="323" t="s">
        <v>2088</v>
      </c>
      <c r="O52" s="359">
        <v>44291</v>
      </c>
      <c r="P52" s="323" t="s">
        <v>4224</v>
      </c>
      <c r="Q52" s="323" t="s">
        <v>2829</v>
      </c>
      <c r="R52" s="459" t="s">
        <v>5080</v>
      </c>
      <c r="S52" s="382">
        <f>Table13723[[#This Row],[DATE  CLOSED]]-Table13723[[#This Row],[INITIATION DATE]]</f>
        <v>17</v>
      </c>
    </row>
    <row r="53" spans="1:19" ht="25.35" customHeight="1" x14ac:dyDescent="0.2">
      <c r="A53" s="323" t="s">
        <v>6089</v>
      </c>
      <c r="B53" s="325">
        <v>44277</v>
      </c>
      <c r="C53" s="328" t="s">
        <v>6090</v>
      </c>
      <c r="D53" s="328" t="s">
        <v>6091</v>
      </c>
      <c r="E53" s="323" t="s">
        <v>2971</v>
      </c>
      <c r="F53" s="323">
        <v>1</v>
      </c>
      <c r="G53" s="323" t="s">
        <v>2834</v>
      </c>
      <c r="H53" s="323" t="s">
        <v>3842</v>
      </c>
      <c r="I53" s="323" t="s">
        <v>3211</v>
      </c>
      <c r="J53" s="325">
        <v>44377</v>
      </c>
      <c r="K53" s="325"/>
      <c r="L53" s="325"/>
      <c r="M53" s="323" t="s">
        <v>2847</v>
      </c>
      <c r="N53" s="323"/>
      <c r="O53" s="359"/>
      <c r="P53" s="323"/>
      <c r="Q53" s="323"/>
      <c r="R53" s="459"/>
      <c r="S53" s="382">
        <f>Table13723[[#This Row],[DATE  CLOSED]]-Table13723[[#This Row],[INITIATION DATE]]</f>
        <v>-44277</v>
      </c>
    </row>
    <row r="54" spans="1:19" ht="25.35" customHeight="1" x14ac:dyDescent="0.2">
      <c r="A54" s="323" t="s">
        <v>6092</v>
      </c>
      <c r="B54" s="325">
        <v>44280</v>
      </c>
      <c r="C54" s="328" t="s">
        <v>6093</v>
      </c>
      <c r="D54" s="328" t="s">
        <v>6094</v>
      </c>
      <c r="E54" s="323" t="s">
        <v>2971</v>
      </c>
      <c r="F54" s="323">
        <v>1</v>
      </c>
      <c r="G54" s="323" t="s">
        <v>2836</v>
      </c>
      <c r="H54" s="323" t="s">
        <v>3423</v>
      </c>
      <c r="I54" s="323" t="s">
        <v>3211</v>
      </c>
      <c r="J54" s="325">
        <v>44286</v>
      </c>
      <c r="K54" s="325" t="s">
        <v>2088</v>
      </c>
      <c r="L54" s="325" t="s">
        <v>2088</v>
      </c>
      <c r="M54" s="323" t="s">
        <v>2853</v>
      </c>
      <c r="N54" s="323" t="s">
        <v>2088</v>
      </c>
      <c r="O54" s="359">
        <v>44280</v>
      </c>
      <c r="P54" s="323" t="s">
        <v>4224</v>
      </c>
      <c r="Q54" s="323" t="s">
        <v>2829</v>
      </c>
      <c r="R54" s="460" t="s">
        <v>5080</v>
      </c>
      <c r="S54" s="382">
        <f>Table13723[[#This Row],[DATE  CLOSED]]-Table13723[[#This Row],[INITIATION DATE]]</f>
        <v>0</v>
      </c>
    </row>
    <row r="55" spans="1:19" ht="25.35" customHeight="1" x14ac:dyDescent="0.2">
      <c r="A55" s="323" t="s">
        <v>6095</v>
      </c>
      <c r="B55" s="325">
        <v>44281</v>
      </c>
      <c r="C55" s="328" t="s">
        <v>6096</v>
      </c>
      <c r="D55" s="328" t="s">
        <v>6097</v>
      </c>
      <c r="E55" s="323" t="s">
        <v>4610</v>
      </c>
      <c r="F55" s="323">
        <v>1</v>
      </c>
      <c r="G55" s="323" t="s">
        <v>2828</v>
      </c>
      <c r="H55" s="323" t="s">
        <v>4021</v>
      </c>
      <c r="I55" s="323" t="s">
        <v>3211</v>
      </c>
      <c r="J55" s="325">
        <v>44316</v>
      </c>
      <c r="K55" s="325" t="s">
        <v>2088</v>
      </c>
      <c r="L55" s="325" t="s">
        <v>2088</v>
      </c>
      <c r="M55" s="323" t="s">
        <v>2853</v>
      </c>
      <c r="N55" s="323" t="s">
        <v>2088</v>
      </c>
      <c r="O55" s="359">
        <v>44281</v>
      </c>
      <c r="P55" s="323" t="s">
        <v>4224</v>
      </c>
      <c r="Q55" s="323" t="s">
        <v>2829</v>
      </c>
      <c r="R55" s="460" t="s">
        <v>5080</v>
      </c>
      <c r="S55" s="382">
        <f>Table13723[[#This Row],[DATE  CLOSED]]-Table13723[[#This Row],[INITIATION DATE]]</f>
        <v>0</v>
      </c>
    </row>
    <row r="56" spans="1:19" ht="25.35" customHeight="1" x14ac:dyDescent="0.2">
      <c r="A56" s="323" t="s">
        <v>6098</v>
      </c>
      <c r="B56" s="325">
        <v>44281</v>
      </c>
      <c r="C56" s="328" t="s">
        <v>6099</v>
      </c>
      <c r="D56" s="328" t="s">
        <v>6100</v>
      </c>
      <c r="E56" s="323" t="s">
        <v>2971</v>
      </c>
      <c r="F56" s="323">
        <v>1</v>
      </c>
      <c r="G56" s="323" t="s">
        <v>2840</v>
      </c>
      <c r="H56" s="323" t="s">
        <v>3645</v>
      </c>
      <c r="I56" s="323" t="s">
        <v>229</v>
      </c>
      <c r="J56" s="325">
        <v>44347</v>
      </c>
      <c r="K56" s="325"/>
      <c r="L56" s="325"/>
      <c r="M56" s="323" t="s">
        <v>2853</v>
      </c>
      <c r="N56" s="323" t="s">
        <v>2088</v>
      </c>
      <c r="O56" s="359">
        <v>44285</v>
      </c>
      <c r="P56" s="323" t="s">
        <v>3061</v>
      </c>
      <c r="Q56" s="323" t="s">
        <v>2829</v>
      </c>
      <c r="R56" s="460"/>
      <c r="S56" s="382">
        <f>Table13723[[#This Row],[DATE  CLOSED]]-Table13723[[#This Row],[INITIATION DATE]]</f>
        <v>4</v>
      </c>
    </row>
    <row r="57" spans="1:19" ht="25.35" customHeight="1" x14ac:dyDescent="0.2">
      <c r="A57" s="323" t="s">
        <v>6101</v>
      </c>
      <c r="B57" s="325">
        <v>44281</v>
      </c>
      <c r="C57" s="328" t="s">
        <v>6102</v>
      </c>
      <c r="D57" s="328" t="s">
        <v>6103</v>
      </c>
      <c r="E57" s="323" t="s">
        <v>2971</v>
      </c>
      <c r="F57" s="323">
        <v>1</v>
      </c>
      <c r="G57" s="323" t="s">
        <v>2836</v>
      </c>
      <c r="H57" s="323" t="s">
        <v>755</v>
      </c>
      <c r="I57" s="323" t="s">
        <v>229</v>
      </c>
      <c r="J57" s="325">
        <v>44316</v>
      </c>
      <c r="K57" s="325"/>
      <c r="L57" s="325"/>
      <c r="M57" s="323" t="s">
        <v>2853</v>
      </c>
      <c r="N57" s="323"/>
      <c r="O57" s="359">
        <v>44312</v>
      </c>
      <c r="P57" s="323" t="s">
        <v>4224</v>
      </c>
      <c r="Q57" s="323" t="s">
        <v>4987</v>
      </c>
      <c r="R57" s="461"/>
      <c r="S57" s="382">
        <f>Table13723[[#This Row],[DATE  CLOSED]]-Table13723[[#This Row],[INITIATION DATE]]</f>
        <v>31</v>
      </c>
    </row>
    <row r="58" spans="1:19" ht="25.35" customHeight="1" x14ac:dyDescent="0.2">
      <c r="A58" s="323" t="s">
        <v>6104</v>
      </c>
      <c r="B58" s="325">
        <v>44281</v>
      </c>
      <c r="C58" s="328" t="s">
        <v>6105</v>
      </c>
      <c r="D58" s="328" t="s">
        <v>6106</v>
      </c>
      <c r="E58" s="323" t="s">
        <v>2971</v>
      </c>
      <c r="F58" s="323">
        <v>1</v>
      </c>
      <c r="G58" s="323" t="s">
        <v>2841</v>
      </c>
      <c r="H58" s="323" t="s">
        <v>229</v>
      </c>
      <c r="I58" s="323" t="s">
        <v>4261</v>
      </c>
      <c r="J58" s="325">
        <v>44316</v>
      </c>
      <c r="K58" s="325"/>
      <c r="L58" s="325"/>
      <c r="M58" s="323" t="s">
        <v>2853</v>
      </c>
      <c r="N58" s="323"/>
      <c r="O58" s="359">
        <v>44315</v>
      </c>
      <c r="P58" s="323" t="s">
        <v>4224</v>
      </c>
      <c r="Q58" s="323" t="s">
        <v>5991</v>
      </c>
      <c r="R58" s="461"/>
      <c r="S58" s="382">
        <f>Table13723[[#This Row],[DATE  CLOSED]]-Table13723[[#This Row],[INITIATION DATE]]</f>
        <v>34</v>
      </c>
    </row>
    <row r="59" spans="1:19" ht="25.35" customHeight="1" x14ac:dyDescent="0.2">
      <c r="A59" s="323" t="s">
        <v>6107</v>
      </c>
      <c r="B59" s="325">
        <v>44285</v>
      </c>
      <c r="C59" s="328" t="s">
        <v>6109</v>
      </c>
      <c r="D59" s="328" t="s">
        <v>5914</v>
      </c>
      <c r="E59" s="323" t="s">
        <v>6108</v>
      </c>
      <c r="F59" s="323">
        <v>1</v>
      </c>
      <c r="G59" s="323" t="s">
        <v>2828</v>
      </c>
      <c r="H59" s="323" t="s">
        <v>615</v>
      </c>
      <c r="I59" s="323" t="s">
        <v>3211</v>
      </c>
      <c r="J59" s="325">
        <v>44316</v>
      </c>
      <c r="K59" s="325" t="s">
        <v>2088</v>
      </c>
      <c r="L59" s="325" t="s">
        <v>2088</v>
      </c>
      <c r="M59" s="323" t="s">
        <v>2853</v>
      </c>
      <c r="N59" s="323" t="s">
        <v>2088</v>
      </c>
      <c r="O59" s="359">
        <v>44295</v>
      </c>
      <c r="P59" s="323" t="s">
        <v>4224</v>
      </c>
      <c r="Q59" s="323" t="s">
        <v>2829</v>
      </c>
      <c r="R59" s="461" t="s">
        <v>5080</v>
      </c>
      <c r="S59" s="382">
        <f>Table13723[[#This Row],[DATE  CLOSED]]-Table13723[[#This Row],[INITIATION DATE]]</f>
        <v>10</v>
      </c>
    </row>
    <row r="60" spans="1:19" ht="25.35" customHeight="1" x14ac:dyDescent="0.2">
      <c r="A60" s="323" t="s">
        <v>6110</v>
      </c>
      <c r="B60" s="325">
        <v>44287</v>
      </c>
      <c r="C60" s="328" t="s">
        <v>6112</v>
      </c>
      <c r="D60" s="328" t="s">
        <v>6111</v>
      </c>
      <c r="E60" s="323" t="s">
        <v>2971</v>
      </c>
      <c r="F60" s="323">
        <v>1</v>
      </c>
      <c r="G60" s="323" t="s">
        <v>2841</v>
      </c>
      <c r="H60" s="323" t="s">
        <v>229</v>
      </c>
      <c r="I60" s="323" t="s">
        <v>4261</v>
      </c>
      <c r="J60" s="325">
        <v>44316</v>
      </c>
      <c r="K60" s="325"/>
      <c r="L60" s="325"/>
      <c r="M60" s="326" t="s">
        <v>2853</v>
      </c>
      <c r="N60" s="323"/>
      <c r="O60" s="359">
        <v>44287</v>
      </c>
      <c r="P60" s="326" t="s">
        <v>4224</v>
      </c>
      <c r="Q60" s="326" t="s">
        <v>4987</v>
      </c>
      <c r="R60" s="461"/>
      <c r="S60" s="382">
        <f>Table13723[[#This Row],[DATE  CLOSED]]-Table13723[[#This Row],[INITIATION DATE]]</f>
        <v>0</v>
      </c>
    </row>
    <row r="61" spans="1:19" ht="25.35" customHeight="1" x14ac:dyDescent="0.2">
      <c r="A61" s="323" t="s">
        <v>6113</v>
      </c>
      <c r="B61" s="325">
        <v>44287</v>
      </c>
      <c r="C61" s="328" t="s">
        <v>6114</v>
      </c>
      <c r="D61" s="328" t="s">
        <v>6115</v>
      </c>
      <c r="E61" s="323" t="s">
        <v>2971</v>
      </c>
      <c r="F61" s="323">
        <v>1</v>
      </c>
      <c r="G61" s="323" t="s">
        <v>2836</v>
      </c>
      <c r="H61" s="323" t="s">
        <v>3423</v>
      </c>
      <c r="I61" s="323" t="s">
        <v>3211</v>
      </c>
      <c r="J61" s="325">
        <v>44317</v>
      </c>
      <c r="K61" s="325" t="s">
        <v>2088</v>
      </c>
      <c r="L61" s="325" t="s">
        <v>2088</v>
      </c>
      <c r="M61" s="323" t="s">
        <v>2853</v>
      </c>
      <c r="N61" s="323" t="s">
        <v>2088</v>
      </c>
      <c r="O61" s="359">
        <v>44287</v>
      </c>
      <c r="P61" s="323" t="s">
        <v>3061</v>
      </c>
      <c r="Q61" s="323" t="s">
        <v>2829</v>
      </c>
      <c r="R61" s="461" t="s">
        <v>5080</v>
      </c>
      <c r="S61" s="382">
        <f>Table13723[[#This Row],[DATE  CLOSED]]-Table13723[[#This Row],[INITIATION DATE]]</f>
        <v>0</v>
      </c>
    </row>
    <row r="62" spans="1:19" ht="25.35" customHeight="1" x14ac:dyDescent="0.2">
      <c r="A62" s="323" t="s">
        <v>6118</v>
      </c>
      <c r="B62" s="325">
        <v>44287</v>
      </c>
      <c r="C62" s="328" t="s">
        <v>6119</v>
      </c>
      <c r="D62" s="328" t="s">
        <v>6120</v>
      </c>
      <c r="E62" s="323" t="s">
        <v>5762</v>
      </c>
      <c r="F62" s="323">
        <v>1</v>
      </c>
      <c r="G62" s="323" t="s">
        <v>2828</v>
      </c>
      <c r="H62" s="323" t="s">
        <v>615</v>
      </c>
      <c r="I62" s="323" t="s">
        <v>3211</v>
      </c>
      <c r="J62" s="325" t="s">
        <v>6173</v>
      </c>
      <c r="K62" s="325" t="s">
        <v>2088</v>
      </c>
      <c r="L62" s="325" t="s">
        <v>2088</v>
      </c>
      <c r="M62" s="323" t="s">
        <v>2853</v>
      </c>
      <c r="N62" s="323" t="s">
        <v>2088</v>
      </c>
      <c r="O62" s="359">
        <v>44308</v>
      </c>
      <c r="P62" s="323" t="s">
        <v>4224</v>
      </c>
      <c r="Q62" s="323" t="s">
        <v>2829</v>
      </c>
      <c r="R62" s="461" t="s">
        <v>5080</v>
      </c>
      <c r="S62" s="382">
        <f>Table13723[[#This Row],[DATE  CLOSED]]-Table13723[[#This Row],[INITIATION DATE]]</f>
        <v>21</v>
      </c>
    </row>
    <row r="63" spans="1:19" ht="25.35" customHeight="1" x14ac:dyDescent="0.2">
      <c r="A63" s="323" t="s">
        <v>6121</v>
      </c>
      <c r="B63" s="325">
        <v>44298</v>
      </c>
      <c r="C63" s="328" t="s">
        <v>6125</v>
      </c>
      <c r="D63" s="328" t="s">
        <v>6126</v>
      </c>
      <c r="E63" s="323" t="s">
        <v>5762</v>
      </c>
      <c r="F63" s="323">
        <v>1</v>
      </c>
      <c r="G63" s="323" t="s">
        <v>2828</v>
      </c>
      <c r="H63" s="323" t="s">
        <v>1351</v>
      </c>
      <c r="I63" s="323" t="s">
        <v>3926</v>
      </c>
      <c r="J63" s="325">
        <v>44316</v>
      </c>
      <c r="K63" s="325" t="s">
        <v>2088</v>
      </c>
      <c r="L63" s="325" t="s">
        <v>2088</v>
      </c>
      <c r="M63" s="323" t="s">
        <v>2853</v>
      </c>
      <c r="N63" s="323" t="s">
        <v>2088</v>
      </c>
      <c r="O63" s="359">
        <v>44314</v>
      </c>
      <c r="P63" s="323" t="s">
        <v>4224</v>
      </c>
      <c r="Q63" s="323" t="s">
        <v>2829</v>
      </c>
      <c r="R63" s="461" t="s">
        <v>5080</v>
      </c>
      <c r="S63" s="382">
        <f>Table13723[[#This Row],[DATE  CLOSED]]-Table13723[[#This Row],[INITIATION DATE]]</f>
        <v>16</v>
      </c>
    </row>
    <row r="64" spans="1:19" ht="25.35" customHeight="1" x14ac:dyDescent="0.2">
      <c r="A64" s="323" t="s">
        <v>6122</v>
      </c>
      <c r="B64" s="325">
        <v>44298</v>
      </c>
      <c r="C64" s="328" t="s">
        <v>6127</v>
      </c>
      <c r="D64" s="328" t="s">
        <v>4936</v>
      </c>
      <c r="E64" s="323" t="s">
        <v>5845</v>
      </c>
      <c r="F64" s="323">
        <v>1</v>
      </c>
      <c r="G64" s="323" t="s">
        <v>2828</v>
      </c>
      <c r="H64" s="323" t="s">
        <v>4232</v>
      </c>
      <c r="I64" s="323" t="s">
        <v>3211</v>
      </c>
      <c r="J64" s="325">
        <v>44347</v>
      </c>
      <c r="K64" s="325" t="s">
        <v>2088</v>
      </c>
      <c r="L64" s="325" t="s">
        <v>2088</v>
      </c>
      <c r="M64" s="323" t="s">
        <v>2853</v>
      </c>
      <c r="N64" s="323" t="s">
        <v>2088</v>
      </c>
      <c r="O64" s="359">
        <v>44342</v>
      </c>
      <c r="P64" s="323" t="s">
        <v>4224</v>
      </c>
      <c r="Q64" s="323" t="s">
        <v>2832</v>
      </c>
      <c r="R64" s="461" t="s">
        <v>5080</v>
      </c>
      <c r="S64" s="382">
        <f>Table13723[[#This Row],[DATE  CLOSED]]-Table13723[[#This Row],[INITIATION DATE]]</f>
        <v>44</v>
      </c>
    </row>
    <row r="65" spans="1:19" ht="25.35" customHeight="1" x14ac:dyDescent="0.2">
      <c r="A65" s="323" t="s">
        <v>6123</v>
      </c>
      <c r="B65" s="325">
        <v>44298</v>
      </c>
      <c r="C65" s="329" t="s">
        <v>6124</v>
      </c>
      <c r="D65" s="329" t="s">
        <v>3225</v>
      </c>
      <c r="E65" s="326" t="s">
        <v>2971</v>
      </c>
      <c r="F65" s="323">
        <v>1</v>
      </c>
      <c r="G65" s="326" t="s">
        <v>2841</v>
      </c>
      <c r="H65" s="323" t="s">
        <v>3729</v>
      </c>
      <c r="I65" s="326" t="s">
        <v>229</v>
      </c>
      <c r="J65" s="325">
        <v>44344</v>
      </c>
      <c r="K65" s="325" t="s">
        <v>2088</v>
      </c>
      <c r="L65" s="325" t="s">
        <v>2088</v>
      </c>
      <c r="M65" s="326" t="s">
        <v>2853</v>
      </c>
      <c r="N65" s="323" t="s">
        <v>2088</v>
      </c>
      <c r="O65" s="359">
        <v>44328</v>
      </c>
      <c r="P65" s="323" t="s">
        <v>4224</v>
      </c>
      <c r="Q65" s="323" t="s">
        <v>2829</v>
      </c>
      <c r="R65" s="461" t="s">
        <v>5080</v>
      </c>
      <c r="S65" s="382">
        <f>Table13723[[#This Row],[DATE  CLOSED]]-Table13723[[#This Row],[INITIATION DATE]]</f>
        <v>30</v>
      </c>
    </row>
    <row r="66" spans="1:19" ht="25.35" customHeight="1" x14ac:dyDescent="0.2">
      <c r="A66" s="323" t="s">
        <v>6128</v>
      </c>
      <c r="B66" s="325">
        <v>44298</v>
      </c>
      <c r="C66" s="328" t="s">
        <v>6129</v>
      </c>
      <c r="D66" s="328" t="s">
        <v>3225</v>
      </c>
      <c r="E66" s="323" t="s">
        <v>2971</v>
      </c>
      <c r="F66" s="323">
        <v>1</v>
      </c>
      <c r="G66" s="323" t="s">
        <v>2841</v>
      </c>
      <c r="H66" s="323" t="s">
        <v>6047</v>
      </c>
      <c r="I66" s="323" t="s">
        <v>229</v>
      </c>
      <c r="J66" s="325">
        <v>44347</v>
      </c>
      <c r="K66" s="325"/>
      <c r="L66" s="325"/>
      <c r="M66" s="323" t="s">
        <v>2853</v>
      </c>
      <c r="N66" s="323" t="s">
        <v>2088</v>
      </c>
      <c r="O66" s="359">
        <v>44319</v>
      </c>
      <c r="P66" s="323" t="s">
        <v>3061</v>
      </c>
      <c r="Q66" s="323" t="s">
        <v>2829</v>
      </c>
      <c r="R66" s="461"/>
      <c r="S66" s="382">
        <f>Table13723[[#This Row],[DATE  CLOSED]]-Table13723[[#This Row],[INITIATION DATE]]</f>
        <v>21</v>
      </c>
    </row>
    <row r="67" spans="1:19" ht="25.35" customHeight="1" x14ac:dyDescent="0.2">
      <c r="A67" s="323" t="s">
        <v>6130</v>
      </c>
      <c r="B67" s="325">
        <v>44299</v>
      </c>
      <c r="C67" s="328" t="s">
        <v>6133</v>
      </c>
      <c r="D67" s="328" t="s">
        <v>6022</v>
      </c>
      <c r="E67" s="323" t="s">
        <v>2971</v>
      </c>
      <c r="F67" s="323">
        <v>1</v>
      </c>
      <c r="G67" s="323" t="s">
        <v>2841</v>
      </c>
      <c r="H67" s="323" t="s">
        <v>3227</v>
      </c>
      <c r="I67" s="323" t="s">
        <v>3211</v>
      </c>
      <c r="J67" s="325">
        <v>44316</v>
      </c>
      <c r="K67" s="325" t="s">
        <v>2088</v>
      </c>
      <c r="L67" s="325" t="s">
        <v>2088</v>
      </c>
      <c r="M67" s="323" t="s">
        <v>2853</v>
      </c>
      <c r="N67" s="323" t="s">
        <v>2088</v>
      </c>
      <c r="O67" s="359">
        <v>44313</v>
      </c>
      <c r="P67" s="323" t="s">
        <v>4224</v>
      </c>
      <c r="Q67" s="323" t="s">
        <v>2829</v>
      </c>
      <c r="R67" s="462" t="s">
        <v>5080</v>
      </c>
      <c r="S67" s="382">
        <f>Table13723[[#This Row],[DATE  CLOSED]]-Table13723[[#This Row],[INITIATION DATE]]</f>
        <v>14</v>
      </c>
    </row>
    <row r="68" spans="1:19" ht="25.35" customHeight="1" x14ac:dyDescent="0.2">
      <c r="A68" s="323" t="s">
        <v>6131</v>
      </c>
      <c r="B68" s="325">
        <v>44299</v>
      </c>
      <c r="C68" s="328" t="s">
        <v>6134</v>
      </c>
      <c r="D68" s="328" t="s">
        <v>6132</v>
      </c>
      <c r="E68" s="323" t="s">
        <v>2971</v>
      </c>
      <c r="F68" s="323">
        <v>1</v>
      </c>
      <c r="G68" s="323" t="s">
        <v>2841</v>
      </c>
      <c r="H68" s="323" t="s">
        <v>3227</v>
      </c>
      <c r="I68" s="323" t="s">
        <v>3211</v>
      </c>
      <c r="J68" s="325">
        <v>44316</v>
      </c>
      <c r="K68" s="325" t="s">
        <v>2088</v>
      </c>
      <c r="L68" s="325" t="s">
        <v>2088</v>
      </c>
      <c r="M68" s="323" t="s">
        <v>2853</v>
      </c>
      <c r="N68" s="323" t="s">
        <v>2088</v>
      </c>
      <c r="O68" s="359">
        <v>44308</v>
      </c>
      <c r="P68" s="323" t="s">
        <v>4224</v>
      </c>
      <c r="Q68" s="323" t="s">
        <v>2829</v>
      </c>
      <c r="R68" s="462" t="s">
        <v>5080</v>
      </c>
      <c r="S68" s="382">
        <f>Table13723[[#This Row],[DATE  CLOSED]]-Table13723[[#This Row],[INITIATION DATE]]</f>
        <v>9</v>
      </c>
    </row>
    <row r="69" spans="1:19" ht="25.35" customHeight="1" x14ac:dyDescent="0.2">
      <c r="A69" s="323" t="s">
        <v>6135</v>
      </c>
      <c r="B69" s="325">
        <v>44299</v>
      </c>
      <c r="C69" s="328" t="s">
        <v>6136</v>
      </c>
      <c r="D69" s="328" t="s">
        <v>6137</v>
      </c>
      <c r="E69" s="323" t="s">
        <v>2971</v>
      </c>
      <c r="F69" s="323">
        <v>1</v>
      </c>
      <c r="G69" s="323" t="s">
        <v>2836</v>
      </c>
      <c r="H69" s="323" t="s">
        <v>3842</v>
      </c>
      <c r="I69" s="323" t="s">
        <v>229</v>
      </c>
      <c r="J69" s="325">
        <v>44347</v>
      </c>
      <c r="K69" s="325"/>
      <c r="L69" s="325"/>
      <c r="M69" s="323" t="s">
        <v>2853</v>
      </c>
      <c r="N69" s="323" t="s">
        <v>2088</v>
      </c>
      <c r="O69" s="359">
        <v>44308</v>
      </c>
      <c r="P69" s="323" t="s">
        <v>3061</v>
      </c>
      <c r="Q69" s="323" t="s">
        <v>2829</v>
      </c>
      <c r="R69" s="462"/>
      <c r="S69" s="382">
        <f>Table13723[[#This Row],[DATE  CLOSED]]-Table13723[[#This Row],[INITIATION DATE]]</f>
        <v>9</v>
      </c>
    </row>
    <row r="70" spans="1:19" ht="25.35" customHeight="1" x14ac:dyDescent="0.2">
      <c r="A70" s="323" t="s">
        <v>6138</v>
      </c>
      <c r="B70" s="325">
        <v>44301</v>
      </c>
      <c r="C70" s="328" t="s">
        <v>6139</v>
      </c>
      <c r="D70" s="328" t="s">
        <v>4086</v>
      </c>
      <c r="E70" s="323" t="s">
        <v>5606</v>
      </c>
      <c r="F70" s="323">
        <v>1</v>
      </c>
      <c r="G70" s="323" t="s">
        <v>2828</v>
      </c>
      <c r="H70" s="323" t="s">
        <v>1351</v>
      </c>
      <c r="I70" s="323" t="s">
        <v>3926</v>
      </c>
      <c r="J70" s="325">
        <v>44326</v>
      </c>
      <c r="K70" s="325" t="s">
        <v>2088</v>
      </c>
      <c r="L70" s="325" t="s">
        <v>2088</v>
      </c>
      <c r="M70" s="323" t="s">
        <v>2853</v>
      </c>
      <c r="N70" s="323" t="s">
        <v>2088</v>
      </c>
      <c r="O70" s="359">
        <v>44325</v>
      </c>
      <c r="P70" s="323" t="s">
        <v>4224</v>
      </c>
      <c r="Q70" s="323" t="s">
        <v>2829</v>
      </c>
      <c r="R70" s="462" t="s">
        <v>5080</v>
      </c>
      <c r="S70" s="382">
        <f>Table13723[[#This Row],[DATE  CLOSED]]-Table13723[[#This Row],[INITIATION DATE]]</f>
        <v>24</v>
      </c>
    </row>
    <row r="71" spans="1:19" ht="25.35" customHeight="1" x14ac:dyDescent="0.2">
      <c r="A71" s="323" t="s">
        <v>6140</v>
      </c>
      <c r="B71" s="325">
        <v>44301</v>
      </c>
      <c r="C71" s="328" t="s">
        <v>6141</v>
      </c>
      <c r="D71" s="328" t="s">
        <v>3225</v>
      </c>
      <c r="E71" s="323" t="s">
        <v>2971</v>
      </c>
      <c r="F71" s="323">
        <v>1</v>
      </c>
      <c r="G71" s="323" t="s">
        <v>2840</v>
      </c>
      <c r="H71" s="323" t="s">
        <v>229</v>
      </c>
      <c r="I71" s="323" t="s">
        <v>4261</v>
      </c>
      <c r="J71" s="325">
        <v>44316</v>
      </c>
      <c r="K71" s="325"/>
      <c r="L71" s="325"/>
      <c r="M71" s="323" t="s">
        <v>2853</v>
      </c>
      <c r="N71" s="323"/>
      <c r="O71" s="359">
        <v>44319</v>
      </c>
      <c r="P71" s="323" t="s">
        <v>4224</v>
      </c>
      <c r="Q71" s="323" t="s">
        <v>4987</v>
      </c>
      <c r="R71" s="462"/>
      <c r="S71" s="382">
        <f>Table13723[[#This Row],[DATE  CLOSED]]-Table13723[[#This Row],[INITIATION DATE]]</f>
        <v>18</v>
      </c>
    </row>
    <row r="72" spans="1:19" ht="25.35" customHeight="1" x14ac:dyDescent="0.2">
      <c r="A72" s="323" t="s">
        <v>6142</v>
      </c>
      <c r="B72" s="325">
        <v>44301</v>
      </c>
      <c r="C72" s="328" t="s">
        <v>6143</v>
      </c>
      <c r="D72" s="328" t="s">
        <v>6144</v>
      </c>
      <c r="E72" s="323" t="s">
        <v>4610</v>
      </c>
      <c r="F72" s="323">
        <v>1</v>
      </c>
      <c r="G72" s="323" t="s">
        <v>2828</v>
      </c>
      <c r="H72" s="323" t="s">
        <v>4021</v>
      </c>
      <c r="I72" s="323" t="s">
        <v>3211</v>
      </c>
      <c r="J72" s="325">
        <v>44316</v>
      </c>
      <c r="K72" s="327" t="s">
        <v>2088</v>
      </c>
      <c r="L72" s="327" t="s">
        <v>2088</v>
      </c>
      <c r="M72" s="326" t="s">
        <v>2853</v>
      </c>
      <c r="N72" s="326" t="s">
        <v>2088</v>
      </c>
      <c r="O72" s="359">
        <v>44302</v>
      </c>
      <c r="P72" s="326" t="s">
        <v>4224</v>
      </c>
      <c r="Q72" s="326" t="s">
        <v>2829</v>
      </c>
      <c r="R72" s="335" t="s">
        <v>5080</v>
      </c>
      <c r="S72" s="382">
        <f>Table13723[[#This Row],[DATE  CLOSED]]-Table13723[[#This Row],[INITIATION DATE]]</f>
        <v>1</v>
      </c>
    </row>
    <row r="73" spans="1:19" ht="25.35" customHeight="1" x14ac:dyDescent="0.2">
      <c r="A73" s="323" t="s">
        <v>6145</v>
      </c>
      <c r="B73" s="325">
        <v>44302</v>
      </c>
      <c r="C73" s="328" t="s">
        <v>6146</v>
      </c>
      <c r="D73" s="328" t="s">
        <v>6147</v>
      </c>
      <c r="E73" s="323" t="s">
        <v>2971</v>
      </c>
      <c r="F73" s="323">
        <v>1</v>
      </c>
      <c r="G73" s="323" t="s">
        <v>2836</v>
      </c>
      <c r="H73" s="323" t="s">
        <v>3423</v>
      </c>
      <c r="I73" s="323" t="s">
        <v>3211</v>
      </c>
      <c r="J73" s="325">
        <v>44331</v>
      </c>
      <c r="K73" s="325"/>
      <c r="L73" s="325"/>
      <c r="M73" s="323" t="s">
        <v>2847</v>
      </c>
      <c r="N73" s="323"/>
      <c r="O73" s="359"/>
      <c r="P73" s="323"/>
      <c r="Q73" s="323"/>
      <c r="R73" s="462"/>
      <c r="S73" s="382">
        <f>Table13723[[#This Row],[DATE  CLOSED]]-Table13723[[#This Row],[INITIATION DATE]]</f>
        <v>-44302</v>
      </c>
    </row>
    <row r="74" spans="1:19" ht="25.35" customHeight="1" x14ac:dyDescent="0.2">
      <c r="A74" s="323" t="s">
        <v>6148</v>
      </c>
      <c r="B74" s="325">
        <v>44307</v>
      </c>
      <c r="C74" s="328" t="s">
        <v>6149</v>
      </c>
      <c r="D74" s="328" t="s">
        <v>6150</v>
      </c>
      <c r="E74" s="323" t="s">
        <v>3532</v>
      </c>
      <c r="F74" s="323">
        <v>1</v>
      </c>
      <c r="G74" s="323" t="s">
        <v>2828</v>
      </c>
      <c r="H74" s="323" t="s">
        <v>1351</v>
      </c>
      <c r="I74" s="323" t="s">
        <v>3926</v>
      </c>
      <c r="J74" s="325">
        <v>44347</v>
      </c>
      <c r="K74" s="325" t="s">
        <v>2088</v>
      </c>
      <c r="L74" s="325" t="s">
        <v>2088</v>
      </c>
      <c r="M74" s="323" t="s">
        <v>2853</v>
      </c>
      <c r="N74" s="323" t="s">
        <v>2088</v>
      </c>
      <c r="O74" s="359">
        <v>44321</v>
      </c>
      <c r="P74" s="323" t="s">
        <v>4224</v>
      </c>
      <c r="Q74" s="323" t="s">
        <v>2829</v>
      </c>
      <c r="R74" s="462" t="s">
        <v>5080</v>
      </c>
      <c r="S74" s="382">
        <f>Table13723[[#This Row],[DATE  CLOSED]]-Table13723[[#This Row],[INITIATION DATE]]</f>
        <v>14</v>
      </c>
    </row>
    <row r="75" spans="1:19" ht="25.35" customHeight="1" x14ac:dyDescent="0.2">
      <c r="A75" s="323" t="s">
        <v>6151</v>
      </c>
      <c r="B75" s="325">
        <v>44307</v>
      </c>
      <c r="C75" s="328" t="s">
        <v>6152</v>
      </c>
      <c r="D75" s="328" t="s">
        <v>6153</v>
      </c>
      <c r="E75" s="323" t="s">
        <v>2971</v>
      </c>
      <c r="F75" s="323">
        <v>1</v>
      </c>
      <c r="G75" s="323" t="s">
        <v>2836</v>
      </c>
      <c r="H75" s="323" t="s">
        <v>3423</v>
      </c>
      <c r="I75" s="323" t="s">
        <v>3211</v>
      </c>
      <c r="J75" s="325">
        <v>44337</v>
      </c>
      <c r="K75" s="325" t="s">
        <v>2088</v>
      </c>
      <c r="L75" s="325" t="s">
        <v>2088</v>
      </c>
      <c r="M75" s="323" t="s">
        <v>2853</v>
      </c>
      <c r="N75" s="323" t="s">
        <v>2088</v>
      </c>
      <c r="O75" s="359">
        <v>44309</v>
      </c>
      <c r="P75" s="323" t="s">
        <v>4224</v>
      </c>
      <c r="Q75" s="323" t="s">
        <v>2829</v>
      </c>
      <c r="R75" s="463" t="s">
        <v>5080</v>
      </c>
      <c r="S75" s="382">
        <f>Table13723[[#This Row],[DATE  CLOSED]]-Table13723[[#This Row],[INITIATION DATE]]</f>
        <v>2</v>
      </c>
    </row>
    <row r="76" spans="1:19" ht="25.35" customHeight="1" x14ac:dyDescent="0.2">
      <c r="A76" s="323" t="s">
        <v>6154</v>
      </c>
      <c r="B76" s="325">
        <v>44308</v>
      </c>
      <c r="C76" s="328" t="s">
        <v>6155</v>
      </c>
      <c r="D76" s="328" t="s">
        <v>6156</v>
      </c>
      <c r="E76" s="323" t="s">
        <v>2971</v>
      </c>
      <c r="F76" s="323">
        <v>1</v>
      </c>
      <c r="G76" s="323" t="s">
        <v>2838</v>
      </c>
      <c r="H76" s="323" t="s">
        <v>685</v>
      </c>
      <c r="I76" s="323" t="s">
        <v>229</v>
      </c>
      <c r="J76" s="325">
        <v>44316</v>
      </c>
      <c r="K76" s="325"/>
      <c r="L76" s="325"/>
      <c r="M76" s="326" t="s">
        <v>2853</v>
      </c>
      <c r="N76" s="323" t="s">
        <v>2088</v>
      </c>
      <c r="O76" s="359">
        <v>44308</v>
      </c>
      <c r="P76" s="323" t="s">
        <v>3061</v>
      </c>
      <c r="Q76" s="323" t="s">
        <v>2829</v>
      </c>
      <c r="R76" s="463"/>
      <c r="S76" s="382">
        <f>Table13723[[#This Row],[DATE  CLOSED]]-Table13723[[#This Row],[INITIATION DATE]]</f>
        <v>0</v>
      </c>
    </row>
    <row r="77" spans="1:19" ht="25.35" customHeight="1" x14ac:dyDescent="0.2">
      <c r="A77" s="323" t="s">
        <v>6158</v>
      </c>
      <c r="B77" s="325">
        <v>44312</v>
      </c>
      <c r="C77" s="328" t="s">
        <v>6159</v>
      </c>
      <c r="D77" s="328" t="s">
        <v>6160</v>
      </c>
      <c r="E77" s="323" t="s">
        <v>2971</v>
      </c>
      <c r="F77" s="323">
        <v>1</v>
      </c>
      <c r="G77" s="323" t="s">
        <v>2841</v>
      </c>
      <c r="H77" s="323" t="s">
        <v>229</v>
      </c>
      <c r="I77" s="323" t="s">
        <v>4261</v>
      </c>
      <c r="J77" s="325">
        <v>44347</v>
      </c>
      <c r="K77" s="325"/>
      <c r="L77" s="325"/>
      <c r="M77" s="323" t="s">
        <v>2853</v>
      </c>
      <c r="N77" s="323" t="s">
        <v>2088</v>
      </c>
      <c r="O77" s="359">
        <v>44341</v>
      </c>
      <c r="P77" s="323" t="s">
        <v>3061</v>
      </c>
      <c r="Q77" s="323" t="s">
        <v>2829</v>
      </c>
      <c r="R77" s="463"/>
      <c r="S77" s="382">
        <f>Table13723[[#This Row],[DATE  CLOSED]]-Table13723[[#This Row],[INITIATION DATE]]</f>
        <v>29</v>
      </c>
    </row>
    <row r="78" spans="1:19" ht="25.35" customHeight="1" x14ac:dyDescent="0.2">
      <c r="A78" s="323" t="s">
        <v>6161</v>
      </c>
      <c r="B78" s="325">
        <v>44314</v>
      </c>
      <c r="C78" s="328" t="s">
        <v>6164</v>
      </c>
      <c r="D78" s="328" t="s">
        <v>6162</v>
      </c>
      <c r="E78" s="323" t="s">
        <v>2971</v>
      </c>
      <c r="F78" s="323">
        <v>1</v>
      </c>
      <c r="G78" s="323" t="s">
        <v>2841</v>
      </c>
      <c r="H78" s="323" t="s">
        <v>6163</v>
      </c>
      <c r="I78" s="323" t="s">
        <v>229</v>
      </c>
      <c r="J78" s="325">
        <v>44377</v>
      </c>
      <c r="K78" s="325"/>
      <c r="L78" s="325"/>
      <c r="M78" s="323" t="s">
        <v>2853</v>
      </c>
      <c r="N78" s="323"/>
      <c r="O78" s="359">
        <v>44316</v>
      </c>
      <c r="P78" s="323" t="s">
        <v>4224</v>
      </c>
      <c r="Q78" s="323" t="s">
        <v>4987</v>
      </c>
      <c r="R78" s="463"/>
      <c r="S78" s="382">
        <f>Table13723[[#This Row],[DATE  CLOSED]]-Table13723[[#This Row],[INITIATION DATE]]</f>
        <v>2</v>
      </c>
    </row>
    <row r="79" spans="1:19" ht="25.35" customHeight="1" x14ac:dyDescent="0.2">
      <c r="A79" s="323" t="s">
        <v>6165</v>
      </c>
      <c r="B79" s="325">
        <v>44314</v>
      </c>
      <c r="C79" s="328" t="s">
        <v>6166</v>
      </c>
      <c r="D79" s="328" t="s">
        <v>3225</v>
      </c>
      <c r="E79" s="323" t="s">
        <v>2971</v>
      </c>
      <c r="F79" s="323">
        <v>1</v>
      </c>
      <c r="G79" s="323" t="s">
        <v>2841</v>
      </c>
      <c r="H79" s="323" t="s">
        <v>4079</v>
      </c>
      <c r="I79" s="323" t="s">
        <v>3211</v>
      </c>
      <c r="J79" s="325">
        <v>44347</v>
      </c>
      <c r="K79" s="325" t="s">
        <v>2088</v>
      </c>
      <c r="L79" s="325" t="s">
        <v>2088</v>
      </c>
      <c r="M79" s="323" t="s">
        <v>2853</v>
      </c>
      <c r="N79" s="323" t="s">
        <v>2088</v>
      </c>
      <c r="O79" s="359">
        <v>44343</v>
      </c>
      <c r="P79" s="323" t="s">
        <v>4224</v>
      </c>
      <c r="Q79" s="323" t="s">
        <v>2829</v>
      </c>
      <c r="R79" s="465" t="s">
        <v>5080</v>
      </c>
      <c r="S79" s="382">
        <f>Table13723[[#This Row],[DATE  CLOSED]]-Table13723[[#This Row],[INITIATION DATE]]</f>
        <v>29</v>
      </c>
    </row>
    <row r="80" spans="1:19" ht="25.35" customHeight="1" x14ac:dyDescent="0.2">
      <c r="A80" s="323" t="s">
        <v>6167</v>
      </c>
      <c r="B80" s="325">
        <v>44315</v>
      </c>
      <c r="C80" s="328" t="s">
        <v>6168</v>
      </c>
      <c r="D80" s="328" t="s">
        <v>6169</v>
      </c>
      <c r="E80" s="323" t="s">
        <v>3519</v>
      </c>
      <c r="F80" s="323">
        <v>1</v>
      </c>
      <c r="G80" s="323" t="s">
        <v>2828</v>
      </c>
      <c r="H80" s="323" t="s">
        <v>1351</v>
      </c>
      <c r="I80" s="323" t="s">
        <v>3211</v>
      </c>
      <c r="J80" s="325">
        <v>44347</v>
      </c>
      <c r="K80" s="325" t="s">
        <v>2088</v>
      </c>
      <c r="L80" s="325" t="s">
        <v>2088</v>
      </c>
      <c r="M80" s="323" t="s">
        <v>2853</v>
      </c>
      <c r="N80" s="323" t="s">
        <v>2088</v>
      </c>
      <c r="O80" s="359">
        <v>44321</v>
      </c>
      <c r="P80" s="323" t="s">
        <v>3061</v>
      </c>
      <c r="Q80" s="323" t="s">
        <v>2829</v>
      </c>
      <c r="R80" s="465" t="s">
        <v>5080</v>
      </c>
      <c r="S80" s="382">
        <f>Table13723[[#This Row],[DATE  CLOSED]]-Table13723[[#This Row],[INITIATION DATE]]</f>
        <v>6</v>
      </c>
    </row>
    <row r="81" spans="1:19" ht="25.35" customHeight="1" x14ac:dyDescent="0.2">
      <c r="A81" s="323" t="s">
        <v>6170</v>
      </c>
      <c r="B81" s="325">
        <v>44315</v>
      </c>
      <c r="C81" s="328" t="s">
        <v>6171</v>
      </c>
      <c r="D81" s="328" t="s">
        <v>6172</v>
      </c>
      <c r="E81" s="323" t="s">
        <v>2971</v>
      </c>
      <c r="F81" s="323">
        <v>1</v>
      </c>
      <c r="G81" s="323" t="s">
        <v>2841</v>
      </c>
      <c r="H81" s="323" t="s">
        <v>1351</v>
      </c>
      <c r="I81" s="323" t="s">
        <v>3211</v>
      </c>
      <c r="J81" s="325">
        <v>44347</v>
      </c>
      <c r="K81" s="325">
        <v>44377</v>
      </c>
      <c r="L81" s="325"/>
      <c r="M81" s="323" t="s">
        <v>2847</v>
      </c>
      <c r="N81" s="323" t="s">
        <v>3022</v>
      </c>
      <c r="O81" s="359"/>
      <c r="P81" s="323"/>
      <c r="Q81" s="323"/>
      <c r="R81" s="465"/>
      <c r="S81" s="382">
        <f>Table13723[[#This Row],[DATE  CLOSED]]-Table13723[[#This Row],[INITIATION DATE]]</f>
        <v>-44315</v>
      </c>
    </row>
    <row r="82" spans="1:19" ht="25.35" customHeight="1" x14ac:dyDescent="0.2">
      <c r="A82" s="323" t="s">
        <v>6174</v>
      </c>
      <c r="B82" s="325">
        <v>44315</v>
      </c>
      <c r="C82" s="328" t="s">
        <v>6194</v>
      </c>
      <c r="D82" s="328" t="s">
        <v>6195</v>
      </c>
      <c r="E82" s="323" t="s">
        <v>2971</v>
      </c>
      <c r="F82" s="323">
        <v>1</v>
      </c>
      <c r="G82" s="323" t="s">
        <v>2828</v>
      </c>
      <c r="H82" s="323" t="s">
        <v>3423</v>
      </c>
      <c r="I82" s="323" t="s">
        <v>3211</v>
      </c>
      <c r="J82" s="325">
        <v>44377</v>
      </c>
      <c r="K82" s="325">
        <v>44439</v>
      </c>
      <c r="L82" s="325" t="s">
        <v>2088</v>
      </c>
      <c r="M82" s="323" t="s">
        <v>2853</v>
      </c>
      <c r="N82" s="323" t="s">
        <v>3061</v>
      </c>
      <c r="O82" s="359">
        <v>44439</v>
      </c>
      <c r="P82" s="323" t="s">
        <v>3061</v>
      </c>
      <c r="Q82" s="323" t="s">
        <v>2835</v>
      </c>
      <c r="R82" s="467" t="s">
        <v>5080</v>
      </c>
      <c r="S82" s="382">
        <f>Table13723[[#This Row],[DATE  CLOSED]]-Table13723[[#This Row],[INITIATION DATE]]</f>
        <v>124</v>
      </c>
    </row>
    <row r="83" spans="1:19" ht="25.35" customHeight="1" x14ac:dyDescent="0.2">
      <c r="A83" s="323" t="s">
        <v>6177</v>
      </c>
      <c r="B83" s="325">
        <v>44316</v>
      </c>
      <c r="C83" s="328" t="s">
        <v>6175</v>
      </c>
      <c r="D83" s="328" t="s">
        <v>6176</v>
      </c>
      <c r="E83" s="323" t="s">
        <v>2971</v>
      </c>
      <c r="F83" s="323">
        <v>1</v>
      </c>
      <c r="G83" s="323" t="s">
        <v>2838</v>
      </c>
      <c r="H83" s="323" t="s">
        <v>685</v>
      </c>
      <c r="I83" s="323" t="s">
        <v>229</v>
      </c>
      <c r="J83" s="325">
        <v>44347</v>
      </c>
      <c r="K83" s="325"/>
      <c r="L83" s="325"/>
      <c r="M83" s="326" t="s">
        <v>2853</v>
      </c>
      <c r="N83" s="323" t="s">
        <v>2088</v>
      </c>
      <c r="O83" s="359">
        <v>44321</v>
      </c>
      <c r="P83" s="323" t="s">
        <v>3061</v>
      </c>
      <c r="Q83" s="323" t="s">
        <v>2829</v>
      </c>
      <c r="R83" s="465"/>
      <c r="S83" s="382">
        <f>Table13723[[#This Row],[DATE  CLOSED]]-Table13723[[#This Row],[INITIATION DATE]]</f>
        <v>5</v>
      </c>
    </row>
    <row r="84" spans="1:19" ht="25.35" customHeight="1" x14ac:dyDescent="0.2">
      <c r="A84" s="323" t="s">
        <v>6178</v>
      </c>
      <c r="B84" s="325">
        <v>44320</v>
      </c>
      <c r="C84" s="328" t="s">
        <v>6179</v>
      </c>
      <c r="D84" s="328" t="s">
        <v>6111</v>
      </c>
      <c r="E84" s="323" t="s">
        <v>2971</v>
      </c>
      <c r="F84" s="323">
        <v>1</v>
      </c>
      <c r="G84" s="323" t="s">
        <v>2841</v>
      </c>
      <c r="H84" s="323" t="s">
        <v>229</v>
      </c>
      <c r="I84" s="323" t="s">
        <v>4261</v>
      </c>
      <c r="J84" s="325">
        <v>44377</v>
      </c>
      <c r="K84" s="325"/>
      <c r="L84" s="325"/>
      <c r="M84" s="323" t="s">
        <v>2853</v>
      </c>
      <c r="N84" s="323"/>
      <c r="O84" s="359">
        <v>44356</v>
      </c>
      <c r="P84" s="323" t="s">
        <v>4224</v>
      </c>
      <c r="Q84" s="323" t="s">
        <v>5991</v>
      </c>
      <c r="R84" s="466"/>
      <c r="S84" s="382">
        <f>Table13723[[#This Row],[DATE  CLOSED]]-Table13723[[#This Row],[INITIATION DATE]]</f>
        <v>36</v>
      </c>
    </row>
    <row r="85" spans="1:19" ht="25.35" customHeight="1" x14ac:dyDescent="0.2">
      <c r="A85" s="323" t="s">
        <v>6180</v>
      </c>
      <c r="B85" s="325">
        <v>44323</v>
      </c>
      <c r="C85" s="328" t="s">
        <v>6181</v>
      </c>
      <c r="D85" s="328" t="s">
        <v>4517</v>
      </c>
      <c r="E85" s="323" t="s">
        <v>2971</v>
      </c>
      <c r="F85" s="323">
        <v>1</v>
      </c>
      <c r="G85" s="323" t="s">
        <v>2838</v>
      </c>
      <c r="H85" s="323" t="s">
        <v>685</v>
      </c>
      <c r="I85" s="323" t="s">
        <v>229</v>
      </c>
      <c r="J85" s="325">
        <v>44377</v>
      </c>
      <c r="K85" s="325"/>
      <c r="L85" s="325"/>
      <c r="M85" s="323" t="s">
        <v>2853</v>
      </c>
      <c r="N85" s="323" t="s">
        <v>2088</v>
      </c>
      <c r="O85" s="359">
        <v>44330</v>
      </c>
      <c r="P85" s="323" t="s">
        <v>3061</v>
      </c>
      <c r="Q85" s="323" t="s">
        <v>2829</v>
      </c>
      <c r="R85" s="466"/>
      <c r="S85" s="382">
        <f>Table13723[[#This Row],[DATE  CLOSED]]-Table13723[[#This Row],[INITIATION DATE]]</f>
        <v>7</v>
      </c>
    </row>
    <row r="86" spans="1:19" ht="25.35" customHeight="1" x14ac:dyDescent="0.2">
      <c r="A86" s="323" t="s">
        <v>6182</v>
      </c>
      <c r="B86" s="325">
        <v>44326</v>
      </c>
      <c r="C86" s="328" t="s">
        <v>6183</v>
      </c>
      <c r="D86" s="328" t="s">
        <v>6184</v>
      </c>
      <c r="E86" s="323" t="s">
        <v>2971</v>
      </c>
      <c r="F86" s="323">
        <v>1</v>
      </c>
      <c r="G86" s="323" t="s">
        <v>2834</v>
      </c>
      <c r="H86" s="323" t="s">
        <v>441</v>
      </c>
      <c r="I86" s="323" t="s">
        <v>3645</v>
      </c>
      <c r="J86" s="325">
        <v>44377</v>
      </c>
      <c r="K86" s="325"/>
      <c r="L86" s="325"/>
      <c r="M86" s="323" t="s">
        <v>2853</v>
      </c>
      <c r="N86" s="323" t="s">
        <v>2088</v>
      </c>
      <c r="O86" s="359">
        <v>44342</v>
      </c>
      <c r="P86" s="323" t="s">
        <v>3061</v>
      </c>
      <c r="Q86" s="323" t="s">
        <v>2829</v>
      </c>
      <c r="R86" s="466"/>
      <c r="S86" s="382">
        <f>Table13723[[#This Row],[DATE  CLOSED]]-Table13723[[#This Row],[INITIATION DATE]]</f>
        <v>16</v>
      </c>
    </row>
    <row r="87" spans="1:19" ht="25.35" customHeight="1" x14ac:dyDescent="0.2">
      <c r="A87" s="323" t="s">
        <v>6185</v>
      </c>
      <c r="B87" s="325">
        <v>44327</v>
      </c>
      <c r="C87" s="328" t="s">
        <v>6190</v>
      </c>
      <c r="D87" s="328" t="s">
        <v>6186</v>
      </c>
      <c r="E87" s="323" t="s">
        <v>6187</v>
      </c>
      <c r="F87" s="323">
        <v>1</v>
      </c>
      <c r="G87" s="323" t="s">
        <v>2828</v>
      </c>
      <c r="H87" s="323" t="s">
        <v>4079</v>
      </c>
      <c r="I87" s="323" t="s">
        <v>6188</v>
      </c>
      <c r="J87" s="325">
        <v>44347</v>
      </c>
      <c r="K87" s="325" t="s">
        <v>2088</v>
      </c>
      <c r="L87" s="325" t="s">
        <v>2088</v>
      </c>
      <c r="M87" s="323" t="s">
        <v>2853</v>
      </c>
      <c r="N87" s="323" t="s">
        <v>2088</v>
      </c>
      <c r="O87" s="359">
        <v>44328</v>
      </c>
      <c r="P87" s="323" t="s">
        <v>3061</v>
      </c>
      <c r="Q87" s="323" t="s">
        <v>2829</v>
      </c>
      <c r="R87" s="466" t="s">
        <v>5080</v>
      </c>
      <c r="S87" s="382">
        <f>Table13723[[#This Row],[DATE  CLOSED]]-Table13723[[#This Row],[INITIATION DATE]]</f>
        <v>1</v>
      </c>
    </row>
    <row r="88" spans="1:19" ht="25.35" customHeight="1" x14ac:dyDescent="0.2">
      <c r="A88" s="323" t="s">
        <v>6189</v>
      </c>
      <c r="B88" s="325">
        <v>44327</v>
      </c>
      <c r="C88" s="328" t="s">
        <v>6191</v>
      </c>
      <c r="D88" s="328" t="s">
        <v>6192</v>
      </c>
      <c r="E88" s="323" t="s">
        <v>4610</v>
      </c>
      <c r="F88" s="323">
        <v>1</v>
      </c>
      <c r="G88" s="323" t="s">
        <v>2828</v>
      </c>
      <c r="H88" s="323" t="s">
        <v>4021</v>
      </c>
      <c r="I88" s="323" t="s">
        <v>3211</v>
      </c>
      <c r="J88" s="325">
        <v>44337</v>
      </c>
      <c r="K88" s="325" t="s">
        <v>2088</v>
      </c>
      <c r="L88" s="325" t="s">
        <v>2088</v>
      </c>
      <c r="M88" s="323" t="s">
        <v>2853</v>
      </c>
      <c r="N88" s="323" t="s">
        <v>2088</v>
      </c>
      <c r="O88" s="359">
        <v>44327</v>
      </c>
      <c r="P88" s="323" t="s">
        <v>4224</v>
      </c>
      <c r="Q88" s="323" t="s">
        <v>2829</v>
      </c>
      <c r="R88" s="468" t="s">
        <v>5080</v>
      </c>
      <c r="S88" s="382">
        <f>Table13723[[#This Row],[DATE  CLOSED]]-Table13723[[#This Row],[INITIATION DATE]]</f>
        <v>0</v>
      </c>
    </row>
    <row r="89" spans="1:19" ht="25.35" customHeight="1" x14ac:dyDescent="0.2">
      <c r="A89" s="323" t="s">
        <v>6193</v>
      </c>
      <c r="B89" s="325">
        <v>44328</v>
      </c>
      <c r="C89" s="328" t="s">
        <v>6198</v>
      </c>
      <c r="D89" s="328" t="s">
        <v>6196</v>
      </c>
      <c r="E89" s="323" t="s">
        <v>2971</v>
      </c>
      <c r="F89" s="323">
        <v>1</v>
      </c>
      <c r="G89" s="323" t="s">
        <v>2838</v>
      </c>
      <c r="H89" s="323" t="s">
        <v>685</v>
      </c>
      <c r="I89" s="323" t="s">
        <v>229</v>
      </c>
      <c r="J89" s="325">
        <v>44377</v>
      </c>
      <c r="K89" s="325"/>
      <c r="L89" s="325"/>
      <c r="M89" s="323" t="s">
        <v>2853</v>
      </c>
      <c r="N89" s="323" t="s">
        <v>2088</v>
      </c>
      <c r="O89" s="359">
        <v>44334</v>
      </c>
      <c r="P89" s="323" t="s">
        <v>3061</v>
      </c>
      <c r="Q89" s="323" t="s">
        <v>2829</v>
      </c>
      <c r="R89" s="468"/>
      <c r="S89" s="382">
        <f>Table13723[[#This Row],[DATE  CLOSED]]-Table13723[[#This Row],[INITIATION DATE]]</f>
        <v>6</v>
      </c>
    </row>
    <row r="90" spans="1:19" ht="25.35" customHeight="1" x14ac:dyDescent="0.2">
      <c r="A90" s="323" t="s">
        <v>6197</v>
      </c>
      <c r="B90" s="325">
        <v>44328</v>
      </c>
      <c r="C90" s="328" t="s">
        <v>6199</v>
      </c>
      <c r="D90" s="328" t="s">
        <v>6200</v>
      </c>
      <c r="E90" s="323" t="s">
        <v>2971</v>
      </c>
      <c r="F90" s="323">
        <v>1</v>
      </c>
      <c r="G90" s="323" t="s">
        <v>2838</v>
      </c>
      <c r="H90" s="323" t="s">
        <v>685</v>
      </c>
      <c r="I90" s="323" t="s">
        <v>229</v>
      </c>
      <c r="J90" s="325">
        <v>44377</v>
      </c>
      <c r="K90" s="325"/>
      <c r="L90" s="325"/>
      <c r="M90" s="323" t="s">
        <v>2853</v>
      </c>
      <c r="N90" s="323" t="s">
        <v>2088</v>
      </c>
      <c r="O90" s="359">
        <v>44334</v>
      </c>
      <c r="P90" s="323" t="s">
        <v>4224</v>
      </c>
      <c r="Q90" s="323" t="s">
        <v>2829</v>
      </c>
      <c r="R90" s="469"/>
      <c r="S90" s="382">
        <f>Table13723[[#This Row],[DATE  CLOSED]]-Table13723[[#This Row],[INITIATION DATE]]</f>
        <v>6</v>
      </c>
    </row>
    <row r="91" spans="1:19" ht="25.35" customHeight="1" x14ac:dyDescent="0.2">
      <c r="A91" s="323" t="s">
        <v>6201</v>
      </c>
      <c r="B91" s="325">
        <v>44330</v>
      </c>
      <c r="C91" s="328" t="s">
        <v>6202</v>
      </c>
      <c r="D91" s="328" t="s">
        <v>6203</v>
      </c>
      <c r="E91" s="323" t="s">
        <v>2971</v>
      </c>
      <c r="F91" s="323">
        <v>1</v>
      </c>
      <c r="G91" s="323" t="s">
        <v>2841</v>
      </c>
      <c r="H91" s="323" t="s">
        <v>229</v>
      </c>
      <c r="I91" s="323" t="s">
        <v>4261</v>
      </c>
      <c r="J91" s="325">
        <v>44377</v>
      </c>
      <c r="K91" s="325"/>
      <c r="L91" s="325"/>
      <c r="M91" s="326" t="s">
        <v>2853</v>
      </c>
      <c r="N91" s="323"/>
      <c r="O91" s="359">
        <v>44358</v>
      </c>
      <c r="P91" s="326" t="s">
        <v>4224</v>
      </c>
      <c r="Q91" s="326" t="s">
        <v>4987</v>
      </c>
      <c r="R91" s="469"/>
      <c r="S91" s="382">
        <f>Table13723[[#This Row],[DATE  CLOSED]]-Table13723[[#This Row],[INITIATION DATE]]</f>
        <v>28</v>
      </c>
    </row>
    <row r="92" spans="1:19" ht="25.35" customHeight="1" x14ac:dyDescent="0.2">
      <c r="A92" s="323" t="s">
        <v>6204</v>
      </c>
      <c r="B92" s="325">
        <v>44334</v>
      </c>
      <c r="C92" s="329" t="s">
        <v>6205</v>
      </c>
      <c r="D92" s="329" t="s">
        <v>6206</v>
      </c>
      <c r="E92" s="326" t="s">
        <v>4033</v>
      </c>
      <c r="F92" s="323">
        <v>1</v>
      </c>
      <c r="G92" s="323" t="s">
        <v>2828</v>
      </c>
      <c r="H92" s="326" t="s">
        <v>6059</v>
      </c>
      <c r="I92" s="326" t="s">
        <v>3211</v>
      </c>
      <c r="J92" s="325">
        <v>44377</v>
      </c>
      <c r="K92" s="325" t="s">
        <v>2088</v>
      </c>
      <c r="L92" s="325" t="s">
        <v>2088</v>
      </c>
      <c r="M92" s="323" t="s">
        <v>2853</v>
      </c>
      <c r="N92" s="323" t="s">
        <v>2088</v>
      </c>
      <c r="O92" s="359">
        <v>44350</v>
      </c>
      <c r="P92" s="323" t="s">
        <v>4224</v>
      </c>
      <c r="Q92" s="323" t="s">
        <v>2829</v>
      </c>
      <c r="R92" s="469" t="s">
        <v>5080</v>
      </c>
      <c r="S92" s="382">
        <f>Table13723[[#This Row],[DATE  CLOSED]]-Table13723[[#This Row],[INITIATION DATE]]</f>
        <v>16</v>
      </c>
    </row>
    <row r="93" spans="1:19" ht="25.35" customHeight="1" x14ac:dyDescent="0.2">
      <c r="A93" s="323" t="s">
        <v>6207</v>
      </c>
      <c r="B93" s="325">
        <v>44334</v>
      </c>
      <c r="C93" s="328" t="s">
        <v>6208</v>
      </c>
      <c r="D93" s="328" t="s">
        <v>3039</v>
      </c>
      <c r="E93" s="323" t="s">
        <v>2971</v>
      </c>
      <c r="F93" s="323">
        <v>1</v>
      </c>
      <c r="G93" s="323" t="s">
        <v>2841</v>
      </c>
      <c r="H93" s="323" t="s">
        <v>229</v>
      </c>
      <c r="I93" s="323" t="s">
        <v>4261</v>
      </c>
      <c r="J93" s="325">
        <v>44377</v>
      </c>
      <c r="K93" s="325"/>
      <c r="L93" s="325"/>
      <c r="M93" s="323" t="s">
        <v>2853</v>
      </c>
      <c r="N93" s="323"/>
      <c r="O93" s="359">
        <v>44356</v>
      </c>
      <c r="P93" s="323" t="s">
        <v>4224</v>
      </c>
      <c r="Q93" s="323" t="s">
        <v>4987</v>
      </c>
      <c r="R93" s="469"/>
      <c r="S93" s="382">
        <f>Table13723[[#This Row],[DATE  CLOSED]]-Table13723[[#This Row],[INITIATION DATE]]</f>
        <v>22</v>
      </c>
    </row>
    <row r="94" spans="1:19" ht="25.35" customHeight="1" x14ac:dyDescent="0.2">
      <c r="A94" s="323" t="s">
        <v>6209</v>
      </c>
      <c r="B94" s="325">
        <v>44341</v>
      </c>
      <c r="C94" s="329" t="s">
        <v>6210</v>
      </c>
      <c r="D94" s="329" t="s">
        <v>6211</v>
      </c>
      <c r="E94" s="326" t="s">
        <v>4242</v>
      </c>
      <c r="F94" s="323">
        <v>1</v>
      </c>
      <c r="G94" s="323" t="s">
        <v>2828</v>
      </c>
      <c r="H94" s="326" t="s">
        <v>4079</v>
      </c>
      <c r="I94" s="326" t="s">
        <v>6188</v>
      </c>
      <c r="J94" s="325">
        <v>44408</v>
      </c>
      <c r="K94" s="325">
        <v>44469</v>
      </c>
      <c r="L94" s="325"/>
      <c r="M94" s="323" t="s">
        <v>2847</v>
      </c>
      <c r="N94" s="323" t="s">
        <v>3061</v>
      </c>
      <c r="O94" s="359"/>
      <c r="P94" s="323"/>
      <c r="Q94" s="323"/>
      <c r="R94" s="469"/>
      <c r="S94" s="382">
        <f>Table13723[[#This Row],[DATE  CLOSED]]-Table13723[[#This Row],[INITIATION DATE]]</f>
        <v>-44341</v>
      </c>
    </row>
    <row r="95" spans="1:19" ht="25.35" customHeight="1" x14ac:dyDescent="0.2">
      <c r="A95" s="323" t="s">
        <v>6212</v>
      </c>
      <c r="B95" s="325">
        <v>44342</v>
      </c>
      <c r="C95" s="328" t="s">
        <v>6213</v>
      </c>
      <c r="D95" s="328" t="s">
        <v>6214</v>
      </c>
      <c r="E95" s="323" t="s">
        <v>5784</v>
      </c>
      <c r="F95" s="323">
        <v>1</v>
      </c>
      <c r="G95" s="323" t="s">
        <v>2828</v>
      </c>
      <c r="H95" s="323" t="s">
        <v>6215</v>
      </c>
      <c r="I95" s="323" t="s">
        <v>3211</v>
      </c>
      <c r="J95" s="325">
        <v>44347</v>
      </c>
      <c r="K95" s="325" t="s">
        <v>2088</v>
      </c>
      <c r="L95" s="325" t="s">
        <v>2088</v>
      </c>
      <c r="M95" s="323" t="s">
        <v>2853</v>
      </c>
      <c r="N95" s="323" t="s">
        <v>2088</v>
      </c>
      <c r="O95" s="359">
        <v>44344</v>
      </c>
      <c r="P95" s="323" t="s">
        <v>3061</v>
      </c>
      <c r="Q95" s="323" t="s">
        <v>2829</v>
      </c>
      <c r="R95" s="469" t="s">
        <v>5080</v>
      </c>
      <c r="S95" s="382">
        <f>Table13723[[#This Row],[DATE  CLOSED]]-Table13723[[#This Row],[INITIATION DATE]]</f>
        <v>2</v>
      </c>
    </row>
    <row r="96" spans="1:19" ht="25.35" customHeight="1" x14ac:dyDescent="0.2">
      <c r="A96" s="323" t="s">
        <v>6216</v>
      </c>
      <c r="B96" s="325">
        <v>44343</v>
      </c>
      <c r="C96" s="328" t="s">
        <v>6217</v>
      </c>
      <c r="D96" s="328" t="s">
        <v>6218</v>
      </c>
      <c r="E96" s="323" t="s">
        <v>2971</v>
      </c>
      <c r="F96" s="323">
        <v>1</v>
      </c>
      <c r="G96" s="323" t="s">
        <v>2838</v>
      </c>
      <c r="H96" s="323" t="s">
        <v>685</v>
      </c>
      <c r="I96" s="323" t="s">
        <v>229</v>
      </c>
      <c r="J96" s="325">
        <v>44407</v>
      </c>
      <c r="K96" s="325"/>
      <c r="L96" s="325"/>
      <c r="M96" s="323" t="s">
        <v>2847</v>
      </c>
      <c r="N96" s="323"/>
      <c r="O96" s="359"/>
      <c r="P96" s="323"/>
      <c r="Q96" s="323"/>
      <c r="R96" s="470"/>
      <c r="S96" s="382">
        <f>Table13723[[#This Row],[DATE  CLOSED]]-Table13723[[#This Row],[INITIATION DATE]]</f>
        <v>-44343</v>
      </c>
    </row>
    <row r="97" spans="1:19" ht="25.35" customHeight="1" x14ac:dyDescent="0.2">
      <c r="A97" s="323" t="s">
        <v>6219</v>
      </c>
      <c r="B97" s="325">
        <v>44344</v>
      </c>
      <c r="C97" s="328" t="s">
        <v>6220</v>
      </c>
      <c r="D97" s="328" t="s">
        <v>6032</v>
      </c>
      <c r="E97" s="323" t="s">
        <v>2971</v>
      </c>
      <c r="F97" s="323">
        <v>1</v>
      </c>
      <c r="G97" s="323" t="s">
        <v>2840</v>
      </c>
      <c r="H97" s="323" t="s">
        <v>229</v>
      </c>
      <c r="I97" s="323" t="s">
        <v>4261</v>
      </c>
      <c r="J97" s="325">
        <v>44377</v>
      </c>
      <c r="K97" s="325"/>
      <c r="L97" s="325"/>
      <c r="M97" s="326" t="s">
        <v>2853</v>
      </c>
      <c r="N97" s="323"/>
      <c r="O97" s="359">
        <v>44344</v>
      </c>
      <c r="P97" s="326" t="s">
        <v>4224</v>
      </c>
      <c r="Q97" s="326" t="s">
        <v>4987</v>
      </c>
      <c r="R97" s="469"/>
      <c r="S97" s="382">
        <f>Table13723[[#This Row],[DATE  CLOSED]]-Table13723[[#This Row],[INITIATION DATE]]</f>
        <v>0</v>
      </c>
    </row>
    <row r="98" spans="1:19" ht="25.35" customHeight="1" x14ac:dyDescent="0.2">
      <c r="A98" s="323" t="s">
        <v>6226</v>
      </c>
      <c r="B98" s="325">
        <v>44349</v>
      </c>
      <c r="C98" s="328" t="s">
        <v>6221</v>
      </c>
      <c r="D98" s="328" t="s">
        <v>6222</v>
      </c>
      <c r="E98" s="323" t="s">
        <v>2971</v>
      </c>
      <c r="F98" s="323">
        <v>1</v>
      </c>
      <c r="G98" s="323" t="s">
        <v>2828</v>
      </c>
      <c r="H98" s="323" t="s">
        <v>4079</v>
      </c>
      <c r="I98" s="323" t="s">
        <v>3211</v>
      </c>
      <c r="J98" s="325">
        <v>44377</v>
      </c>
      <c r="K98" s="325">
        <v>44469</v>
      </c>
      <c r="L98" s="325"/>
      <c r="M98" s="323" t="s">
        <v>2847</v>
      </c>
      <c r="N98" s="323"/>
      <c r="O98" s="359"/>
      <c r="P98" s="323"/>
      <c r="Q98" s="323"/>
      <c r="R98" s="471"/>
      <c r="S98" s="382">
        <f>Table13723[[#This Row],[DATE  CLOSED]]-Table13723[[#This Row],[INITIATION DATE]]</f>
        <v>-44349</v>
      </c>
    </row>
    <row r="99" spans="1:19" ht="25.35" customHeight="1" x14ac:dyDescent="0.2">
      <c r="A99" s="323" t="s">
        <v>6223</v>
      </c>
      <c r="B99" s="325">
        <v>44354</v>
      </c>
      <c r="C99" s="328" t="s">
        <v>6224</v>
      </c>
      <c r="D99" s="328" t="s">
        <v>6184</v>
      </c>
      <c r="E99" s="323" t="s">
        <v>2971</v>
      </c>
      <c r="F99" s="323">
        <v>1</v>
      </c>
      <c r="G99" s="323" t="s">
        <v>2834</v>
      </c>
      <c r="H99" s="323" t="s">
        <v>4079</v>
      </c>
      <c r="I99" s="323" t="s">
        <v>3645</v>
      </c>
      <c r="J99" s="325">
        <v>44408</v>
      </c>
      <c r="K99" s="325">
        <v>44561</v>
      </c>
      <c r="L99" s="325"/>
      <c r="M99" s="323" t="s">
        <v>2847</v>
      </c>
      <c r="N99" s="323" t="s">
        <v>3061</v>
      </c>
      <c r="O99" s="359"/>
      <c r="P99" s="323"/>
      <c r="Q99" s="323"/>
      <c r="R99" s="471"/>
      <c r="S99" s="382">
        <f>Table13723[[#This Row],[DATE  CLOSED]]-Table13723[[#This Row],[INITIATION DATE]]</f>
        <v>-44354</v>
      </c>
    </row>
    <row r="100" spans="1:19" ht="25.35" customHeight="1" x14ac:dyDescent="0.2">
      <c r="A100" s="323" t="s">
        <v>6225</v>
      </c>
      <c r="B100" s="325">
        <v>44357</v>
      </c>
      <c r="C100" s="328" t="s">
        <v>6227</v>
      </c>
      <c r="D100" s="328" t="s">
        <v>6228</v>
      </c>
      <c r="E100" s="323" t="s">
        <v>2971</v>
      </c>
      <c r="F100" s="323">
        <v>1</v>
      </c>
      <c r="G100" s="323" t="s">
        <v>2838</v>
      </c>
      <c r="H100" s="323" t="s">
        <v>685</v>
      </c>
      <c r="I100" s="323" t="s">
        <v>229</v>
      </c>
      <c r="J100" s="325">
        <v>44377</v>
      </c>
      <c r="K100" s="325"/>
      <c r="L100" s="325"/>
      <c r="M100" s="323" t="s">
        <v>2847</v>
      </c>
      <c r="N100" s="323"/>
      <c r="O100" s="359"/>
      <c r="P100" s="323"/>
      <c r="Q100" s="323"/>
      <c r="R100" s="471"/>
      <c r="S100" s="382">
        <f>Table13723[[#This Row],[DATE  CLOSED]]-Table13723[[#This Row],[INITIATION DATE]]</f>
        <v>-44357</v>
      </c>
    </row>
    <row r="101" spans="1:19" ht="25.35" customHeight="1" x14ac:dyDescent="0.2">
      <c r="A101" s="323" t="s">
        <v>6229</v>
      </c>
      <c r="B101" s="325">
        <v>44358</v>
      </c>
      <c r="C101" s="328" t="s">
        <v>6230</v>
      </c>
      <c r="D101" s="328" t="s">
        <v>4517</v>
      </c>
      <c r="E101" s="323" t="s">
        <v>2971</v>
      </c>
      <c r="F101" s="323">
        <v>1</v>
      </c>
      <c r="G101" s="323" t="s">
        <v>2840</v>
      </c>
      <c r="H101" s="323" t="s">
        <v>229</v>
      </c>
      <c r="I101" s="323" t="s">
        <v>4261</v>
      </c>
      <c r="J101" s="325">
        <v>44377</v>
      </c>
      <c r="K101" s="325"/>
      <c r="L101" s="325"/>
      <c r="M101" s="323" t="s">
        <v>2853</v>
      </c>
      <c r="N101" s="323"/>
      <c r="O101" s="359">
        <v>44363</v>
      </c>
      <c r="P101" s="323" t="s">
        <v>4224</v>
      </c>
      <c r="Q101" s="323" t="s">
        <v>4987</v>
      </c>
      <c r="R101" s="471"/>
      <c r="S101" s="382">
        <f>Table13723[[#This Row],[DATE  CLOSED]]-Table13723[[#This Row],[INITIATION DATE]]</f>
        <v>5</v>
      </c>
    </row>
    <row r="102" spans="1:19" ht="25.35" customHeight="1" x14ac:dyDescent="0.2">
      <c r="A102" s="323" t="s">
        <v>6231</v>
      </c>
      <c r="B102" s="325">
        <v>44358</v>
      </c>
      <c r="C102" s="328" t="s">
        <v>6232</v>
      </c>
      <c r="D102" s="328" t="s">
        <v>3039</v>
      </c>
      <c r="E102" s="323" t="s">
        <v>2971</v>
      </c>
      <c r="F102" s="323">
        <v>1</v>
      </c>
      <c r="G102" s="323" t="s">
        <v>2841</v>
      </c>
      <c r="H102" s="323" t="s">
        <v>4021</v>
      </c>
      <c r="I102" s="323" t="s">
        <v>229</v>
      </c>
      <c r="J102" s="325">
        <v>44377</v>
      </c>
      <c r="K102" s="325"/>
      <c r="L102" s="325"/>
      <c r="M102" s="323" t="s">
        <v>2847</v>
      </c>
      <c r="N102" s="323"/>
      <c r="O102" s="359"/>
      <c r="P102" s="323"/>
      <c r="Q102" s="323"/>
      <c r="R102" s="471"/>
      <c r="S102" s="382">
        <f>Table13723[[#This Row],[DATE  CLOSED]]-Table13723[[#This Row],[INITIATION DATE]]</f>
        <v>-44358</v>
      </c>
    </row>
    <row r="103" spans="1:19" ht="25.35" customHeight="1" x14ac:dyDescent="0.2">
      <c r="A103" s="323" t="s">
        <v>6233</v>
      </c>
      <c r="B103" s="325">
        <v>44361</v>
      </c>
      <c r="C103" s="328" t="s">
        <v>6234</v>
      </c>
      <c r="D103" s="328" t="s">
        <v>6235</v>
      </c>
      <c r="E103" s="323" t="s">
        <v>5743</v>
      </c>
      <c r="F103" s="323">
        <v>2</v>
      </c>
      <c r="G103" s="323" t="s">
        <v>2828</v>
      </c>
      <c r="H103" s="323" t="s">
        <v>615</v>
      </c>
      <c r="I103" s="323" t="s">
        <v>3211</v>
      </c>
      <c r="J103" s="325">
        <v>44414</v>
      </c>
      <c r="K103" s="325"/>
      <c r="L103" s="325"/>
      <c r="M103" s="323" t="s">
        <v>2847</v>
      </c>
      <c r="N103" s="323"/>
      <c r="O103" s="359"/>
      <c r="P103" s="323"/>
      <c r="Q103" s="323"/>
      <c r="R103" s="471"/>
      <c r="S103" s="382">
        <f>Table13723[[#This Row],[DATE  CLOSED]]-Table13723[[#This Row],[INITIATION DATE]]</f>
        <v>-44361</v>
      </c>
    </row>
    <row r="104" spans="1:19" ht="25.35" customHeight="1" x14ac:dyDescent="0.2">
      <c r="A104" s="323" t="s">
        <v>6236</v>
      </c>
      <c r="B104" s="325">
        <v>44361</v>
      </c>
      <c r="C104" s="328" t="s">
        <v>6239</v>
      </c>
      <c r="D104" s="328" t="s">
        <v>4019</v>
      </c>
      <c r="E104" s="323" t="s">
        <v>6237</v>
      </c>
      <c r="F104" s="323">
        <v>1</v>
      </c>
      <c r="G104" s="323" t="s">
        <v>2834</v>
      </c>
      <c r="H104" s="323" t="s">
        <v>441</v>
      </c>
      <c r="I104" s="323" t="s">
        <v>6238</v>
      </c>
      <c r="J104" s="325">
        <v>44377</v>
      </c>
      <c r="K104" s="325"/>
      <c r="L104" s="325"/>
      <c r="M104" s="323" t="s">
        <v>2847</v>
      </c>
      <c r="N104" s="323"/>
      <c r="O104" s="359"/>
      <c r="P104" s="323"/>
      <c r="Q104" s="323"/>
      <c r="R104" s="473"/>
      <c r="S104" s="382">
        <f>Table13723[[#This Row],[DATE  CLOSED]]-Table13723[[#This Row],[INITIATION DATE]]</f>
        <v>-44361</v>
      </c>
    </row>
    <row r="105" spans="1:19" ht="25.35" customHeight="1" x14ac:dyDescent="0.2">
      <c r="A105" s="323" t="s">
        <v>6240</v>
      </c>
      <c r="B105" s="325">
        <v>44362</v>
      </c>
      <c r="C105" s="329" t="s">
        <v>6241</v>
      </c>
      <c r="D105" s="329" t="s">
        <v>6242</v>
      </c>
      <c r="E105" s="326" t="s">
        <v>2971</v>
      </c>
      <c r="F105" s="323">
        <v>1</v>
      </c>
      <c r="G105" s="326" t="s">
        <v>2834</v>
      </c>
      <c r="H105" s="326" t="s">
        <v>685</v>
      </c>
      <c r="I105" s="326" t="s">
        <v>229</v>
      </c>
      <c r="J105" s="325">
        <v>44377</v>
      </c>
      <c r="K105" s="325"/>
      <c r="L105" s="325"/>
      <c r="M105" s="326" t="s">
        <v>2853</v>
      </c>
      <c r="N105" s="323" t="s">
        <v>2088</v>
      </c>
      <c r="O105" s="359">
        <v>44362</v>
      </c>
      <c r="P105" s="323" t="s">
        <v>3061</v>
      </c>
      <c r="Q105" s="323" t="s">
        <v>2829</v>
      </c>
      <c r="R105" s="473"/>
      <c r="S105" s="382">
        <f>Table13723[[#This Row],[DATE  CLOSED]]-Table13723[[#This Row],[INITIATION DATE]]</f>
        <v>0</v>
      </c>
    </row>
    <row r="106" spans="1:19" ht="25.35" customHeight="1" x14ac:dyDescent="0.2">
      <c r="A106" s="323" t="s">
        <v>6273</v>
      </c>
      <c r="B106" s="325">
        <v>44362</v>
      </c>
      <c r="C106" s="328" t="s">
        <v>6274</v>
      </c>
      <c r="D106" s="328" t="s">
        <v>3307</v>
      </c>
      <c r="E106" s="323" t="s">
        <v>2971</v>
      </c>
      <c r="F106" s="323">
        <v>1</v>
      </c>
      <c r="G106" s="323" t="s">
        <v>2838</v>
      </c>
      <c r="H106" s="323" t="s">
        <v>685</v>
      </c>
      <c r="I106" s="323" t="s">
        <v>229</v>
      </c>
      <c r="J106" s="325">
        <v>44407</v>
      </c>
      <c r="K106" s="325"/>
      <c r="L106" s="325"/>
      <c r="M106" s="323" t="s">
        <v>2847</v>
      </c>
      <c r="N106" s="323"/>
      <c r="O106" s="359"/>
      <c r="P106" s="323"/>
      <c r="Q106" s="323"/>
      <c r="R106" s="473"/>
      <c r="S106" s="382">
        <f>Table13723[[#This Row],[DATE  CLOSED]]-Table13723[[#This Row],[INITIATION DATE]]</f>
        <v>-44362</v>
      </c>
    </row>
    <row r="107" spans="1:19" ht="25.35" customHeight="1" x14ac:dyDescent="0.2">
      <c r="A107" s="323" t="s">
        <v>6275</v>
      </c>
      <c r="B107" s="325">
        <v>44362</v>
      </c>
      <c r="C107" s="328" t="s">
        <v>6276</v>
      </c>
      <c r="D107" s="328" t="s">
        <v>3307</v>
      </c>
      <c r="E107" s="323" t="s">
        <v>2971</v>
      </c>
      <c r="F107" s="323">
        <v>1</v>
      </c>
      <c r="G107" s="323" t="s">
        <v>2836</v>
      </c>
      <c r="H107" s="323" t="s">
        <v>4079</v>
      </c>
      <c r="I107" s="323" t="s">
        <v>229</v>
      </c>
      <c r="J107" s="325">
        <v>44469</v>
      </c>
      <c r="K107" s="325"/>
      <c r="L107" s="325"/>
      <c r="M107" s="323" t="s">
        <v>2847</v>
      </c>
      <c r="N107" s="323"/>
      <c r="O107" s="359"/>
      <c r="P107" s="323"/>
      <c r="Q107" s="323"/>
      <c r="R107" s="474"/>
      <c r="S107" s="382">
        <f>Table13723[[#This Row],[DATE  CLOSED]]-Table13723[[#This Row],[INITIATION DATE]]</f>
        <v>-44362</v>
      </c>
    </row>
    <row r="108" spans="1:19" ht="25.35" customHeight="1" x14ac:dyDescent="0.2">
      <c r="A108" s="323" t="s">
        <v>6277</v>
      </c>
      <c r="B108" s="325">
        <v>44362</v>
      </c>
      <c r="C108" s="328" t="s">
        <v>6278</v>
      </c>
      <c r="D108" s="328" t="s">
        <v>6279</v>
      </c>
      <c r="E108" s="323" t="s">
        <v>2971</v>
      </c>
      <c r="F108" s="323">
        <v>1</v>
      </c>
      <c r="G108" s="323" t="s">
        <v>2838</v>
      </c>
      <c r="H108" s="323" t="s">
        <v>685</v>
      </c>
      <c r="I108" s="323" t="s">
        <v>229</v>
      </c>
      <c r="J108" s="325">
        <v>44377</v>
      </c>
      <c r="K108" s="325"/>
      <c r="L108" s="325"/>
      <c r="M108" s="323" t="s">
        <v>2853</v>
      </c>
      <c r="N108" s="323" t="s">
        <v>2088</v>
      </c>
      <c r="O108" s="359">
        <v>44365</v>
      </c>
      <c r="P108" s="323" t="s">
        <v>3061</v>
      </c>
      <c r="Q108" s="323" t="s">
        <v>2829</v>
      </c>
      <c r="R108" s="474"/>
      <c r="S108" s="382">
        <f>Table13723[[#This Row],[DATE  CLOSED]]-Table13723[[#This Row],[INITIATION DATE]]</f>
        <v>3</v>
      </c>
    </row>
    <row r="109" spans="1:19" ht="25.35" customHeight="1" x14ac:dyDescent="0.2">
      <c r="A109" s="323" t="s">
        <v>6280</v>
      </c>
      <c r="B109" s="325">
        <v>44363</v>
      </c>
      <c r="C109" s="328" t="s">
        <v>6281</v>
      </c>
      <c r="D109" s="328" t="s">
        <v>6279</v>
      </c>
      <c r="E109" s="323" t="s">
        <v>2971</v>
      </c>
      <c r="F109" s="323">
        <v>1</v>
      </c>
      <c r="G109" s="323" t="s">
        <v>2838</v>
      </c>
      <c r="H109" s="323" t="s">
        <v>685</v>
      </c>
      <c r="I109" s="323" t="s">
        <v>229</v>
      </c>
      <c r="J109" s="325">
        <v>44377</v>
      </c>
      <c r="K109" s="325"/>
      <c r="L109" s="325"/>
      <c r="M109" s="323" t="s">
        <v>2853</v>
      </c>
      <c r="N109" s="323" t="s">
        <v>2088</v>
      </c>
      <c r="O109" s="359">
        <v>44365</v>
      </c>
      <c r="P109" s="323" t="s">
        <v>3061</v>
      </c>
      <c r="Q109" s="323" t="s">
        <v>2829</v>
      </c>
      <c r="R109" s="475"/>
      <c r="S109" s="382">
        <f>Table13723[[#This Row],[DATE  CLOSED]]-Table13723[[#This Row],[INITIATION DATE]]</f>
        <v>2</v>
      </c>
    </row>
    <row r="110" spans="1:19" ht="25.35" customHeight="1" x14ac:dyDescent="0.2">
      <c r="A110" s="323" t="s">
        <v>6282</v>
      </c>
      <c r="B110" s="325">
        <v>44363</v>
      </c>
      <c r="C110" s="328" t="s">
        <v>6283</v>
      </c>
      <c r="D110" s="328" t="s">
        <v>3039</v>
      </c>
      <c r="E110" s="323" t="s">
        <v>2971</v>
      </c>
      <c r="F110" s="323">
        <v>1</v>
      </c>
      <c r="G110" s="323" t="s">
        <v>2841</v>
      </c>
      <c r="H110" s="323" t="s">
        <v>4079</v>
      </c>
      <c r="I110" s="323" t="s">
        <v>229</v>
      </c>
      <c r="J110" s="325">
        <v>44377</v>
      </c>
      <c r="K110" s="325"/>
      <c r="L110" s="325"/>
      <c r="M110" s="323" t="s">
        <v>2847</v>
      </c>
      <c r="N110" s="323"/>
      <c r="O110" s="359"/>
      <c r="P110" s="323"/>
      <c r="Q110" s="323"/>
      <c r="R110" s="475"/>
      <c r="S110" s="382">
        <f>Table13723[[#This Row],[DATE  CLOSED]]-Table13723[[#This Row],[INITIATION DATE]]</f>
        <v>-44363</v>
      </c>
    </row>
    <row r="111" spans="1:19" ht="25.35" customHeight="1" x14ac:dyDescent="0.2">
      <c r="A111" s="323" t="s">
        <v>6284</v>
      </c>
      <c r="B111" s="325">
        <v>44364</v>
      </c>
      <c r="C111" s="328" t="s">
        <v>6285</v>
      </c>
      <c r="D111" s="328" t="s">
        <v>3225</v>
      </c>
      <c r="E111" s="323" t="s">
        <v>2971</v>
      </c>
      <c r="F111" s="323">
        <v>1</v>
      </c>
      <c r="G111" s="323" t="s">
        <v>2841</v>
      </c>
      <c r="H111" s="323" t="s">
        <v>3842</v>
      </c>
      <c r="I111" s="323" t="s">
        <v>229</v>
      </c>
      <c r="J111" s="325">
        <v>44408</v>
      </c>
      <c r="K111" s="325"/>
      <c r="L111" s="325"/>
      <c r="M111" s="323" t="s">
        <v>2853</v>
      </c>
      <c r="N111" s="323"/>
      <c r="O111" s="359">
        <v>44439</v>
      </c>
      <c r="P111" s="323" t="s">
        <v>3061</v>
      </c>
      <c r="Q111" s="323" t="s">
        <v>2829</v>
      </c>
      <c r="R111" s="475"/>
      <c r="S111" s="382">
        <f>Table13723[[#This Row],[DATE  CLOSED]]-Table13723[[#This Row],[INITIATION DATE]]</f>
        <v>75</v>
      </c>
    </row>
    <row r="112" spans="1:19" ht="25.35" customHeight="1" x14ac:dyDescent="0.2">
      <c r="A112" s="323" t="s">
        <v>6286</v>
      </c>
      <c r="B112" s="325">
        <v>44368</v>
      </c>
      <c r="C112" s="328" t="s">
        <v>6287</v>
      </c>
      <c r="D112" s="328" t="s">
        <v>6288</v>
      </c>
      <c r="E112" s="323" t="s">
        <v>2971</v>
      </c>
      <c r="F112" s="323">
        <v>1</v>
      </c>
      <c r="G112" s="323" t="s">
        <v>2841</v>
      </c>
      <c r="H112" s="323" t="s">
        <v>4021</v>
      </c>
      <c r="I112" s="323" t="s">
        <v>229</v>
      </c>
      <c r="J112" s="325">
        <v>44377</v>
      </c>
      <c r="K112" s="325"/>
      <c r="L112" s="325"/>
      <c r="M112" s="323" t="s">
        <v>2853</v>
      </c>
      <c r="N112" s="323"/>
      <c r="O112" s="359">
        <v>44369</v>
      </c>
      <c r="P112" s="323" t="s">
        <v>4224</v>
      </c>
      <c r="Q112" s="323" t="s">
        <v>4987</v>
      </c>
      <c r="R112" s="475"/>
      <c r="S112" s="382">
        <f>Table13723[[#This Row],[DATE  CLOSED]]-Table13723[[#This Row],[INITIATION DATE]]</f>
        <v>1</v>
      </c>
    </row>
    <row r="113" spans="1:19" ht="25.35" customHeight="1" x14ac:dyDescent="0.2">
      <c r="A113" s="323" t="s">
        <v>6289</v>
      </c>
      <c r="B113" s="325">
        <v>44369</v>
      </c>
      <c r="C113" s="328" t="s">
        <v>6290</v>
      </c>
      <c r="D113" s="328" t="s">
        <v>6291</v>
      </c>
      <c r="E113" s="323" t="s">
        <v>2971</v>
      </c>
      <c r="F113" s="323">
        <v>1</v>
      </c>
      <c r="G113" s="323" t="s">
        <v>2841</v>
      </c>
      <c r="H113" s="323" t="s">
        <v>229</v>
      </c>
      <c r="I113" s="323" t="s">
        <v>4261</v>
      </c>
      <c r="J113" s="325">
        <v>44377</v>
      </c>
      <c r="K113" s="325"/>
      <c r="L113" s="325"/>
      <c r="M113" s="323" t="s">
        <v>2853</v>
      </c>
      <c r="N113" s="323"/>
      <c r="O113" s="359">
        <v>44371</v>
      </c>
      <c r="P113" s="323" t="s">
        <v>4224</v>
      </c>
      <c r="Q113" s="323" t="s">
        <v>4987</v>
      </c>
      <c r="R113" s="475"/>
      <c r="S113" s="382">
        <f>Table13723[[#This Row],[DATE  CLOSED]]-Table13723[[#This Row],[INITIATION DATE]]</f>
        <v>2</v>
      </c>
    </row>
    <row r="114" spans="1:19" ht="25.35" customHeight="1" x14ac:dyDescent="0.2">
      <c r="A114" s="323" t="s">
        <v>6292</v>
      </c>
      <c r="B114" s="325">
        <v>44370</v>
      </c>
      <c r="C114" s="328" t="s">
        <v>6293</v>
      </c>
      <c r="D114" s="328" t="s">
        <v>6294</v>
      </c>
      <c r="E114" s="323" t="s">
        <v>4174</v>
      </c>
      <c r="F114" s="323">
        <v>1</v>
      </c>
      <c r="G114" s="323" t="s">
        <v>2828</v>
      </c>
      <c r="H114" s="323" t="s">
        <v>4163</v>
      </c>
      <c r="I114" s="323" t="s">
        <v>3211</v>
      </c>
      <c r="J114" s="325">
        <v>44500</v>
      </c>
      <c r="K114" s="325"/>
      <c r="L114" s="325"/>
      <c r="M114" s="323" t="s">
        <v>2847</v>
      </c>
      <c r="N114" s="323"/>
      <c r="O114" s="359"/>
      <c r="P114" s="323"/>
      <c r="Q114" s="323"/>
      <c r="R114" s="475"/>
      <c r="S114" s="382">
        <f>Table13723[[#This Row],[DATE  CLOSED]]-Table13723[[#This Row],[INITIATION DATE]]</f>
        <v>-44370</v>
      </c>
    </row>
    <row r="115" spans="1:19" ht="25.35" customHeight="1" x14ac:dyDescent="0.2">
      <c r="A115" s="323" t="s">
        <v>6295</v>
      </c>
      <c r="B115" s="325">
        <v>44371</v>
      </c>
      <c r="C115" s="328" t="s">
        <v>6296</v>
      </c>
      <c r="D115" s="328" t="s">
        <v>6297</v>
      </c>
      <c r="E115" s="323" t="s">
        <v>3323</v>
      </c>
      <c r="F115" s="323">
        <v>1</v>
      </c>
      <c r="G115" s="323" t="s">
        <v>2828</v>
      </c>
      <c r="H115" s="323" t="s">
        <v>4021</v>
      </c>
      <c r="I115" s="323" t="s">
        <v>3211</v>
      </c>
      <c r="J115" s="325">
        <v>44408</v>
      </c>
      <c r="K115" s="325" t="s">
        <v>2088</v>
      </c>
      <c r="L115" s="325" t="s">
        <v>2088</v>
      </c>
      <c r="M115" s="323" t="s">
        <v>2853</v>
      </c>
      <c r="N115" s="323" t="s">
        <v>2088</v>
      </c>
      <c r="O115" s="359">
        <v>44379</v>
      </c>
      <c r="P115" s="323" t="s">
        <v>4224</v>
      </c>
      <c r="Q115" s="323" t="s">
        <v>4987</v>
      </c>
      <c r="R115" s="493" t="s">
        <v>5080</v>
      </c>
      <c r="S115" s="382">
        <f>Table13723[[#This Row],[DATE  CLOSED]]-Table13723[[#This Row],[INITIATION DATE]]</f>
        <v>8</v>
      </c>
    </row>
    <row r="116" spans="1:19" ht="25.35" customHeight="1" x14ac:dyDescent="0.2">
      <c r="A116" s="323" t="s">
        <v>6298</v>
      </c>
      <c r="B116" s="325">
        <v>44371</v>
      </c>
      <c r="C116" s="328" t="s">
        <v>6299</v>
      </c>
      <c r="D116" s="328" t="s">
        <v>3039</v>
      </c>
      <c r="E116" s="323" t="s">
        <v>2971</v>
      </c>
      <c r="F116" s="323">
        <v>1</v>
      </c>
      <c r="G116" s="323" t="s">
        <v>2841</v>
      </c>
      <c r="H116" s="323" t="s">
        <v>4354</v>
      </c>
      <c r="I116" s="323" t="s">
        <v>229</v>
      </c>
      <c r="J116" s="325">
        <v>44408</v>
      </c>
      <c r="K116" s="325"/>
      <c r="L116" s="325"/>
      <c r="M116" s="323" t="s">
        <v>2853</v>
      </c>
      <c r="N116" s="323" t="s">
        <v>3022</v>
      </c>
      <c r="O116" s="359">
        <v>44427</v>
      </c>
      <c r="P116" s="323" t="s">
        <v>3022</v>
      </c>
      <c r="Q116" s="323" t="s">
        <v>2832</v>
      </c>
      <c r="R116" s="493"/>
      <c r="S116" s="382">
        <f>Table13723[[#This Row],[DATE  CLOSED]]-Table13723[[#This Row],[INITIATION DATE]]</f>
        <v>56</v>
      </c>
    </row>
    <row r="117" spans="1:19" ht="25.35" customHeight="1" x14ac:dyDescent="0.2">
      <c r="A117" s="323" t="s">
        <v>6300</v>
      </c>
      <c r="B117" s="325">
        <v>44371</v>
      </c>
      <c r="C117" s="329" t="s">
        <v>6306</v>
      </c>
      <c r="D117" s="328" t="s">
        <v>6288</v>
      </c>
      <c r="E117" s="323" t="s">
        <v>2971</v>
      </c>
      <c r="F117" s="323">
        <v>1</v>
      </c>
      <c r="G117" s="323" t="s">
        <v>2841</v>
      </c>
      <c r="H117" s="323" t="s">
        <v>4021</v>
      </c>
      <c r="I117" s="323" t="s">
        <v>229</v>
      </c>
      <c r="J117" s="325">
        <v>44408</v>
      </c>
      <c r="K117" s="325" t="s">
        <v>2088</v>
      </c>
      <c r="L117" s="325" t="s">
        <v>2088</v>
      </c>
      <c r="M117" s="323" t="s">
        <v>2853</v>
      </c>
      <c r="N117" s="323" t="s">
        <v>2088</v>
      </c>
      <c r="O117" s="359">
        <v>44390</v>
      </c>
      <c r="P117" s="323" t="s">
        <v>3061</v>
      </c>
      <c r="Q117" s="323" t="s">
        <v>2829</v>
      </c>
      <c r="R117" s="494"/>
      <c r="S117" s="382">
        <f>Table13723[[#This Row],[DATE  CLOSED]]-Table13723[[#This Row],[INITIATION DATE]]</f>
        <v>19</v>
      </c>
    </row>
    <row r="118" spans="1:19" ht="25.35" customHeight="1" x14ac:dyDescent="0.2">
      <c r="A118" s="323" t="s">
        <v>6301</v>
      </c>
      <c r="B118" s="325">
        <v>44372</v>
      </c>
      <c r="C118" s="328" t="s">
        <v>6303</v>
      </c>
      <c r="D118" s="328" t="s">
        <v>6302</v>
      </c>
      <c r="E118" s="323" t="s">
        <v>2971</v>
      </c>
      <c r="F118" s="323">
        <v>1</v>
      </c>
      <c r="G118" s="323" t="s">
        <v>2841</v>
      </c>
      <c r="H118" s="323" t="s">
        <v>229</v>
      </c>
      <c r="I118" s="323" t="s">
        <v>4261</v>
      </c>
      <c r="J118" s="325">
        <v>44377</v>
      </c>
      <c r="K118" s="325"/>
      <c r="L118" s="325"/>
      <c r="M118" s="323" t="s">
        <v>2853</v>
      </c>
      <c r="N118" s="323"/>
      <c r="O118" s="359">
        <v>44377</v>
      </c>
      <c r="P118" s="323" t="s">
        <v>4224</v>
      </c>
      <c r="Q118" s="323" t="s">
        <v>4987</v>
      </c>
      <c r="R118" s="494"/>
      <c r="S118" s="382">
        <f>Table13723[[#This Row],[DATE  CLOSED]]-Table13723[[#This Row],[INITIATION DATE]]</f>
        <v>5</v>
      </c>
    </row>
    <row r="119" spans="1:19" ht="25.35" customHeight="1" x14ac:dyDescent="0.2">
      <c r="A119" s="323" t="s">
        <v>6304</v>
      </c>
      <c r="B119" s="325">
        <v>44372</v>
      </c>
      <c r="C119" s="329" t="s">
        <v>6305</v>
      </c>
      <c r="D119" s="329" t="s">
        <v>6288</v>
      </c>
      <c r="E119" s="326" t="s">
        <v>2971</v>
      </c>
      <c r="F119" s="323">
        <v>1</v>
      </c>
      <c r="G119" s="323" t="s">
        <v>2841</v>
      </c>
      <c r="H119" s="323" t="s">
        <v>4021</v>
      </c>
      <c r="I119" s="323" t="s">
        <v>229</v>
      </c>
      <c r="J119" s="325">
        <v>44408</v>
      </c>
      <c r="K119" s="325"/>
      <c r="L119" s="325"/>
      <c r="M119" s="326" t="s">
        <v>2853</v>
      </c>
      <c r="N119" s="323" t="s">
        <v>2088</v>
      </c>
      <c r="O119" s="359">
        <v>44405</v>
      </c>
      <c r="P119" s="323" t="s">
        <v>3061</v>
      </c>
      <c r="Q119" s="323" t="s">
        <v>2829</v>
      </c>
      <c r="R119" s="494"/>
      <c r="S119" s="382">
        <f>Table13723[[#This Row],[DATE  CLOSED]]-Table13723[[#This Row],[INITIATION DATE]]</f>
        <v>33</v>
      </c>
    </row>
    <row r="120" spans="1:19" ht="25.35" customHeight="1" x14ac:dyDescent="0.2">
      <c r="A120" s="323" t="s">
        <v>6307</v>
      </c>
      <c r="B120" s="325">
        <v>44375</v>
      </c>
      <c r="C120" s="328" t="s">
        <v>6309</v>
      </c>
      <c r="D120" s="328" t="s">
        <v>6308</v>
      </c>
      <c r="E120" s="323" t="s">
        <v>5746</v>
      </c>
      <c r="F120" s="323">
        <v>1</v>
      </c>
      <c r="G120" s="323" t="s">
        <v>2828</v>
      </c>
      <c r="H120" s="323" t="s">
        <v>4079</v>
      </c>
      <c r="I120" s="323" t="s">
        <v>3211</v>
      </c>
      <c r="J120" s="325">
        <v>44408</v>
      </c>
      <c r="K120" s="325"/>
      <c r="L120" s="325"/>
      <c r="M120" s="323" t="s">
        <v>2847</v>
      </c>
      <c r="N120" s="323"/>
      <c r="O120" s="359"/>
      <c r="P120" s="323"/>
      <c r="Q120" s="323"/>
      <c r="R120" s="494"/>
      <c r="S120" s="382">
        <f>Table13723[[#This Row],[DATE  CLOSED]]-Table13723[[#This Row],[INITIATION DATE]]</f>
        <v>-44375</v>
      </c>
    </row>
    <row r="121" spans="1:19" ht="25.35" customHeight="1" x14ac:dyDescent="0.2">
      <c r="A121" s="323" t="s">
        <v>6310</v>
      </c>
      <c r="B121" s="325">
        <v>44376</v>
      </c>
      <c r="C121" s="328" t="s">
        <v>6311</v>
      </c>
      <c r="D121" s="328" t="s">
        <v>6312</v>
      </c>
      <c r="E121" s="323" t="s">
        <v>5845</v>
      </c>
      <c r="F121" s="323">
        <v>1</v>
      </c>
      <c r="G121" s="323" t="s">
        <v>2828</v>
      </c>
      <c r="H121" s="323" t="s">
        <v>6313</v>
      </c>
      <c r="I121" s="323" t="s">
        <v>3211</v>
      </c>
      <c r="J121" s="325">
        <v>44408</v>
      </c>
      <c r="K121" s="325" t="s">
        <v>2088</v>
      </c>
      <c r="L121" s="325" t="s">
        <v>2088</v>
      </c>
      <c r="M121" s="323" t="s">
        <v>2853</v>
      </c>
      <c r="N121" s="323" t="s">
        <v>2088</v>
      </c>
      <c r="O121" s="359">
        <v>44406</v>
      </c>
      <c r="P121" s="323" t="s">
        <v>3061</v>
      </c>
      <c r="Q121" s="323" t="s">
        <v>2829</v>
      </c>
      <c r="R121" s="494" t="s">
        <v>5080</v>
      </c>
      <c r="S121" s="382">
        <f>Table13723[[#This Row],[DATE  CLOSED]]-Table13723[[#This Row],[INITIATION DATE]]</f>
        <v>30</v>
      </c>
    </row>
    <row r="122" spans="1:19" ht="25.35" customHeight="1" x14ac:dyDescent="0.2">
      <c r="A122" s="323" t="s">
        <v>6314</v>
      </c>
      <c r="B122" s="325">
        <v>44378</v>
      </c>
      <c r="C122" s="108" t="s">
        <v>6316</v>
      </c>
      <c r="D122" s="328" t="s">
        <v>6315</v>
      </c>
      <c r="E122" s="323" t="s">
        <v>4256</v>
      </c>
      <c r="F122" s="323">
        <v>1</v>
      </c>
      <c r="G122" s="323" t="s">
        <v>2828</v>
      </c>
      <c r="H122" s="323" t="s">
        <v>4232</v>
      </c>
      <c r="I122" s="323" t="s">
        <v>3211</v>
      </c>
      <c r="J122" s="325">
        <v>44408</v>
      </c>
      <c r="K122" s="325" t="s">
        <v>2088</v>
      </c>
      <c r="L122" s="325" t="s">
        <v>2088</v>
      </c>
      <c r="M122" s="326" t="s">
        <v>2853</v>
      </c>
      <c r="N122" s="323" t="s">
        <v>2088</v>
      </c>
      <c r="O122" s="359">
        <v>44408</v>
      </c>
      <c r="P122" s="323" t="s">
        <v>4224</v>
      </c>
      <c r="Q122" s="323" t="s">
        <v>4987</v>
      </c>
      <c r="R122" s="495" t="s">
        <v>5080</v>
      </c>
      <c r="S122" s="382">
        <f>Table13723[[#This Row],[DATE  CLOSED]]-Table13723[[#This Row],[INITIATION DATE]]</f>
        <v>30</v>
      </c>
    </row>
    <row r="123" spans="1:19" ht="25.35" customHeight="1" x14ac:dyDescent="0.2">
      <c r="A123" s="323" t="s">
        <v>6319</v>
      </c>
      <c r="B123" s="325">
        <v>44378</v>
      </c>
      <c r="C123" s="328" t="s">
        <v>6317</v>
      </c>
      <c r="D123" s="328" t="s">
        <v>6318</v>
      </c>
      <c r="E123" s="323" t="s">
        <v>3532</v>
      </c>
      <c r="F123" s="323">
        <v>1</v>
      </c>
      <c r="G123" s="323" t="s">
        <v>2828</v>
      </c>
      <c r="H123" s="323" t="s">
        <v>3423</v>
      </c>
      <c r="I123" s="323" t="s">
        <v>3211</v>
      </c>
      <c r="J123" s="325">
        <v>44439</v>
      </c>
      <c r="K123" s="325" t="s">
        <v>2088</v>
      </c>
      <c r="L123" s="325" t="s">
        <v>2088</v>
      </c>
      <c r="M123" s="323" t="s">
        <v>2853</v>
      </c>
      <c r="N123" s="323" t="s">
        <v>2088</v>
      </c>
      <c r="O123" s="359">
        <v>44379</v>
      </c>
      <c r="P123" s="323" t="s">
        <v>4224</v>
      </c>
      <c r="Q123" s="323" t="s">
        <v>4987</v>
      </c>
      <c r="R123" s="495" t="s">
        <v>5080</v>
      </c>
      <c r="S123" s="382">
        <f>Table13723[[#This Row],[DATE  CLOSED]]-Table13723[[#This Row],[INITIATION DATE]]</f>
        <v>1</v>
      </c>
    </row>
    <row r="124" spans="1:19" ht="25.35" customHeight="1" x14ac:dyDescent="0.2">
      <c r="A124" s="323" t="s">
        <v>6320</v>
      </c>
      <c r="B124" s="325">
        <v>44379</v>
      </c>
      <c r="C124" s="328" t="s">
        <v>6322</v>
      </c>
      <c r="D124" s="328" t="s">
        <v>6321</v>
      </c>
      <c r="E124" s="323" t="s">
        <v>2971</v>
      </c>
      <c r="F124" s="323">
        <v>1</v>
      </c>
      <c r="G124" s="323" t="s">
        <v>2841</v>
      </c>
      <c r="H124" s="323" t="s">
        <v>229</v>
      </c>
      <c r="I124" s="323" t="s">
        <v>4261</v>
      </c>
      <c r="J124" s="325">
        <v>44408</v>
      </c>
      <c r="K124" s="325"/>
      <c r="L124" s="325"/>
      <c r="M124" s="323" t="s">
        <v>2853</v>
      </c>
      <c r="N124" s="323"/>
      <c r="O124" s="359">
        <v>44383</v>
      </c>
      <c r="P124" s="323" t="s">
        <v>4224</v>
      </c>
      <c r="Q124" s="323" t="s">
        <v>4987</v>
      </c>
      <c r="R124" s="496"/>
      <c r="S124" s="382">
        <f>Table13723[[#This Row],[DATE  CLOSED]]-Table13723[[#This Row],[INITIATION DATE]]</f>
        <v>4</v>
      </c>
    </row>
    <row r="125" spans="1:19" s="369" customFormat="1" ht="25.35" customHeight="1" x14ac:dyDescent="0.2">
      <c r="A125" s="323" t="s">
        <v>6323</v>
      </c>
      <c r="B125" s="325">
        <v>44386</v>
      </c>
      <c r="C125" s="328" t="s">
        <v>6325</v>
      </c>
      <c r="D125" s="328" t="s">
        <v>6324</v>
      </c>
      <c r="E125" s="323" t="s">
        <v>4033</v>
      </c>
      <c r="F125" s="323">
        <v>1</v>
      </c>
      <c r="G125" s="323" t="s">
        <v>2828</v>
      </c>
      <c r="H125" s="323" t="s">
        <v>4232</v>
      </c>
      <c r="I125" s="323" t="s">
        <v>3211</v>
      </c>
      <c r="J125" s="325">
        <v>44439</v>
      </c>
      <c r="K125" s="325" t="s">
        <v>2088</v>
      </c>
      <c r="L125" s="325" t="s">
        <v>2088</v>
      </c>
      <c r="M125" s="323" t="s">
        <v>2853</v>
      </c>
      <c r="N125" s="323" t="s">
        <v>3022</v>
      </c>
      <c r="O125" s="359">
        <v>44455</v>
      </c>
      <c r="P125" s="323" t="s">
        <v>3022</v>
      </c>
      <c r="Q125" s="323" t="s">
        <v>2832</v>
      </c>
      <c r="R125" s="496" t="s">
        <v>5080</v>
      </c>
      <c r="S125" s="382">
        <f>Table13723[[#This Row],[DATE  CLOSED]]-Table13723[[#This Row],[INITIATION DATE]]</f>
        <v>69</v>
      </c>
    </row>
    <row r="126" spans="1:19" ht="25.35" customHeight="1" x14ac:dyDescent="0.2">
      <c r="A126" s="323" t="s">
        <v>6326</v>
      </c>
      <c r="B126" s="325">
        <v>44391</v>
      </c>
      <c r="C126" s="328" t="s">
        <v>6329</v>
      </c>
      <c r="D126" s="328" t="s">
        <v>6327</v>
      </c>
      <c r="E126" s="323" t="s">
        <v>6328</v>
      </c>
      <c r="F126" s="323">
        <v>1</v>
      </c>
      <c r="G126" s="323" t="s">
        <v>2840</v>
      </c>
      <c r="H126" s="323" t="s">
        <v>229</v>
      </c>
      <c r="I126" s="323" t="s">
        <v>4261</v>
      </c>
      <c r="J126" s="325">
        <v>44408</v>
      </c>
      <c r="K126" s="325"/>
      <c r="L126" s="325"/>
      <c r="M126" s="323" t="s">
        <v>2853</v>
      </c>
      <c r="N126" s="323"/>
      <c r="O126" s="359">
        <v>44392</v>
      </c>
      <c r="P126" s="323" t="s">
        <v>4224</v>
      </c>
      <c r="Q126" s="323" t="s">
        <v>4987</v>
      </c>
      <c r="R126" s="496"/>
      <c r="S126" s="382">
        <f>Table13723[[#This Row],[DATE  CLOSED]]-Table13723[[#This Row],[INITIATION DATE]]</f>
        <v>1</v>
      </c>
    </row>
    <row r="127" spans="1:19" ht="25.35" customHeight="1" x14ac:dyDescent="0.2">
      <c r="A127" s="326" t="s">
        <v>6330</v>
      </c>
      <c r="B127" s="325">
        <v>44391</v>
      </c>
      <c r="C127" s="329" t="s">
        <v>6331</v>
      </c>
      <c r="D127" s="329" t="s">
        <v>6279</v>
      </c>
      <c r="E127" s="326" t="s">
        <v>6328</v>
      </c>
      <c r="F127" s="323">
        <v>1</v>
      </c>
      <c r="G127" s="326" t="s">
        <v>2838</v>
      </c>
      <c r="H127" s="326" t="s">
        <v>4079</v>
      </c>
      <c r="I127" s="326" t="s">
        <v>6188</v>
      </c>
      <c r="J127" s="325">
        <v>44408</v>
      </c>
      <c r="K127" s="325"/>
      <c r="L127" s="325"/>
      <c r="M127" s="326" t="s">
        <v>2847</v>
      </c>
      <c r="N127" s="323"/>
      <c r="O127" s="359"/>
      <c r="P127" s="323"/>
      <c r="Q127" s="323"/>
      <c r="R127" s="496"/>
      <c r="S127" s="382">
        <f>Table13723[[#This Row],[DATE  CLOSED]]-Table13723[[#This Row],[INITIATION DATE]]</f>
        <v>-44391</v>
      </c>
    </row>
    <row r="128" spans="1:19" ht="25.35" customHeight="1" x14ac:dyDescent="0.2">
      <c r="A128" s="323" t="s">
        <v>6332</v>
      </c>
      <c r="B128" s="325">
        <v>44393</v>
      </c>
      <c r="C128" s="328" t="s">
        <v>6333</v>
      </c>
      <c r="D128" s="328" t="s">
        <v>3039</v>
      </c>
      <c r="E128" s="323" t="s">
        <v>6328</v>
      </c>
      <c r="F128" s="323">
        <v>1</v>
      </c>
      <c r="G128" s="323" t="s">
        <v>2841</v>
      </c>
      <c r="H128" s="323" t="s">
        <v>3842</v>
      </c>
      <c r="I128" s="323" t="s">
        <v>3211</v>
      </c>
      <c r="J128" s="325">
        <v>44408</v>
      </c>
      <c r="K128" s="325"/>
      <c r="L128" s="325"/>
      <c r="M128" s="323" t="s">
        <v>2847</v>
      </c>
      <c r="N128" s="323"/>
      <c r="O128" s="359"/>
      <c r="P128" s="323"/>
      <c r="Q128" s="323"/>
      <c r="R128" s="496"/>
      <c r="S128" s="382">
        <f>Table13723[[#This Row],[DATE  CLOSED]]-Table13723[[#This Row],[INITIATION DATE]]</f>
        <v>-44393</v>
      </c>
    </row>
    <row r="129" spans="1:19" ht="25.35" customHeight="1" x14ac:dyDescent="0.2">
      <c r="A129" s="323" t="s">
        <v>6334</v>
      </c>
      <c r="B129" s="325">
        <v>44393</v>
      </c>
      <c r="C129" s="328" t="s">
        <v>6335</v>
      </c>
      <c r="D129" s="328" t="s">
        <v>6336</v>
      </c>
      <c r="E129" s="323" t="s">
        <v>5126</v>
      </c>
      <c r="F129" s="323">
        <v>1</v>
      </c>
      <c r="G129" s="323" t="s">
        <v>2828</v>
      </c>
      <c r="H129" s="323" t="s">
        <v>3423</v>
      </c>
      <c r="I129" s="323" t="s">
        <v>3211</v>
      </c>
      <c r="J129" s="325">
        <v>44469</v>
      </c>
      <c r="K129" s="325"/>
      <c r="L129" s="325"/>
      <c r="M129" s="323" t="s">
        <v>2847</v>
      </c>
      <c r="N129" s="323"/>
      <c r="O129" s="359"/>
      <c r="P129" s="323"/>
      <c r="Q129" s="323"/>
      <c r="R129" s="496"/>
      <c r="S129" s="382">
        <f>Table13723[[#This Row],[DATE  CLOSED]]-Table13723[[#This Row],[INITIATION DATE]]</f>
        <v>-44393</v>
      </c>
    </row>
    <row r="130" spans="1:19" ht="25.35" customHeight="1" x14ac:dyDescent="0.2">
      <c r="A130" s="323" t="s">
        <v>6337</v>
      </c>
      <c r="B130" s="325">
        <v>44398</v>
      </c>
      <c r="C130" s="328" t="s">
        <v>6339</v>
      </c>
      <c r="D130" s="328" t="s">
        <v>6338</v>
      </c>
      <c r="E130" s="323" t="s">
        <v>6328</v>
      </c>
      <c r="F130" s="323">
        <v>1</v>
      </c>
      <c r="G130" s="323" t="s">
        <v>2841</v>
      </c>
      <c r="H130" s="323" t="s">
        <v>229</v>
      </c>
      <c r="I130" s="323" t="s">
        <v>4261</v>
      </c>
      <c r="J130" s="325">
        <v>44408</v>
      </c>
      <c r="K130" s="325"/>
      <c r="L130" s="325"/>
      <c r="M130" s="326" t="s">
        <v>2853</v>
      </c>
      <c r="N130" s="323"/>
      <c r="O130" s="359">
        <v>44400</v>
      </c>
      <c r="P130" s="326" t="s">
        <v>4224</v>
      </c>
      <c r="Q130" s="326" t="s">
        <v>4987</v>
      </c>
      <c r="R130" s="496"/>
      <c r="S130" s="382">
        <f>Table13723[[#This Row],[DATE  CLOSED]]-Table13723[[#This Row],[INITIATION DATE]]</f>
        <v>2</v>
      </c>
    </row>
    <row r="131" spans="1:19" ht="25.35" customHeight="1" x14ac:dyDescent="0.2">
      <c r="A131" s="323" t="s">
        <v>6340</v>
      </c>
      <c r="B131" s="325">
        <v>44399</v>
      </c>
      <c r="C131" s="329" t="s">
        <v>6341</v>
      </c>
      <c r="D131" s="329" t="s">
        <v>6342</v>
      </c>
      <c r="E131" s="326" t="s">
        <v>5762</v>
      </c>
      <c r="F131" s="323">
        <v>1</v>
      </c>
      <c r="G131" s="326" t="s">
        <v>2828</v>
      </c>
      <c r="H131" s="326" t="s">
        <v>4079</v>
      </c>
      <c r="I131" s="326" t="s">
        <v>6188</v>
      </c>
      <c r="J131" s="325">
        <v>44408</v>
      </c>
      <c r="K131" s="325" t="s">
        <v>2088</v>
      </c>
      <c r="L131" s="325" t="s">
        <v>2088</v>
      </c>
      <c r="M131" s="323" t="s">
        <v>2853</v>
      </c>
      <c r="N131" s="323" t="s">
        <v>3022</v>
      </c>
      <c r="O131" s="359">
        <v>44432</v>
      </c>
      <c r="P131" s="323" t="s">
        <v>3022</v>
      </c>
      <c r="Q131" s="323" t="s">
        <v>2832</v>
      </c>
      <c r="R131" s="496" t="s">
        <v>2088</v>
      </c>
      <c r="S131" s="382">
        <f>Table13723[[#This Row],[DATE  CLOSED]]-Table13723[[#This Row],[INITIATION DATE]]</f>
        <v>33</v>
      </c>
    </row>
    <row r="132" spans="1:19" ht="25.35" customHeight="1" x14ac:dyDescent="0.2">
      <c r="A132" s="323" t="s">
        <v>6343</v>
      </c>
      <c r="B132" s="325">
        <v>44399</v>
      </c>
      <c r="C132" s="328" t="s">
        <v>6344</v>
      </c>
      <c r="D132" s="328" t="s">
        <v>6345</v>
      </c>
      <c r="E132" s="323" t="s">
        <v>4610</v>
      </c>
      <c r="F132" s="323">
        <v>1</v>
      </c>
      <c r="G132" s="323" t="s">
        <v>2828</v>
      </c>
      <c r="H132" s="323" t="s">
        <v>4021</v>
      </c>
      <c r="I132" s="323" t="s">
        <v>3211</v>
      </c>
      <c r="J132" s="325">
        <v>44469</v>
      </c>
      <c r="K132" s="325" t="s">
        <v>2088</v>
      </c>
      <c r="L132" s="325" t="s">
        <v>2088</v>
      </c>
      <c r="M132" s="323" t="s">
        <v>2853</v>
      </c>
      <c r="N132" s="323" t="s">
        <v>2088</v>
      </c>
      <c r="O132" s="359">
        <v>44413</v>
      </c>
      <c r="P132" s="323" t="s">
        <v>4224</v>
      </c>
      <c r="Q132" s="323" t="s">
        <v>4987</v>
      </c>
      <c r="R132" s="496" t="s">
        <v>5080</v>
      </c>
      <c r="S132" s="382">
        <f>Table13723[[#This Row],[DATE  CLOSED]]-Table13723[[#This Row],[INITIATION DATE]]</f>
        <v>14</v>
      </c>
    </row>
    <row r="133" spans="1:19" ht="25.35" customHeight="1" x14ac:dyDescent="0.2">
      <c r="A133" s="323" t="s">
        <v>6346</v>
      </c>
      <c r="B133" s="325">
        <v>44400</v>
      </c>
      <c r="C133" s="328" t="s">
        <v>6347</v>
      </c>
      <c r="D133" s="328" t="s">
        <v>6348</v>
      </c>
      <c r="E133" s="323" t="s">
        <v>4256</v>
      </c>
      <c r="F133" s="323">
        <v>1</v>
      </c>
      <c r="G133" s="323" t="s">
        <v>2828</v>
      </c>
      <c r="H133" s="323" t="s">
        <v>3423</v>
      </c>
      <c r="I133" s="323" t="s">
        <v>3211</v>
      </c>
      <c r="J133" s="325">
        <v>44408</v>
      </c>
      <c r="K133" s="325"/>
      <c r="L133" s="325"/>
      <c r="M133" s="323" t="s">
        <v>2847</v>
      </c>
      <c r="N133" s="323"/>
      <c r="O133" s="359"/>
      <c r="P133" s="323"/>
      <c r="Q133" s="323"/>
      <c r="R133" s="496"/>
      <c r="S133" s="382">
        <f>Table13723[[#This Row],[DATE  CLOSED]]-Table13723[[#This Row],[INITIATION DATE]]</f>
        <v>-44400</v>
      </c>
    </row>
    <row r="134" spans="1:19" ht="25.35" customHeight="1" x14ac:dyDescent="0.2">
      <c r="A134" s="323" t="s">
        <v>6349</v>
      </c>
      <c r="B134" s="325">
        <v>44403</v>
      </c>
      <c r="C134" s="328" t="s">
        <v>6351</v>
      </c>
      <c r="D134" s="328" t="s">
        <v>6350</v>
      </c>
      <c r="E134" s="323" t="s">
        <v>6328</v>
      </c>
      <c r="F134" s="323">
        <v>1</v>
      </c>
      <c r="G134" s="323" t="s">
        <v>2840</v>
      </c>
      <c r="H134" s="323" t="s">
        <v>1865</v>
      </c>
      <c r="I134" s="323" t="s">
        <v>229</v>
      </c>
      <c r="J134" s="325">
        <v>44408</v>
      </c>
      <c r="K134" s="325"/>
      <c r="L134" s="325"/>
      <c r="M134" s="323" t="s">
        <v>2853</v>
      </c>
      <c r="N134" s="323" t="s">
        <v>2088</v>
      </c>
      <c r="O134" s="359">
        <v>44403</v>
      </c>
      <c r="P134" s="323" t="s">
        <v>3061</v>
      </c>
      <c r="Q134" s="323" t="s">
        <v>2829</v>
      </c>
      <c r="R134" s="496"/>
      <c r="S134" s="382">
        <f>Table13723[[#This Row],[DATE  CLOSED]]-Table13723[[#This Row],[INITIATION DATE]]</f>
        <v>0</v>
      </c>
    </row>
    <row r="135" spans="1:19" ht="25.35" customHeight="1" x14ac:dyDescent="0.2">
      <c r="A135" s="323" t="s">
        <v>6352</v>
      </c>
      <c r="B135" s="325">
        <v>44403</v>
      </c>
      <c r="C135" s="328" t="s">
        <v>6353</v>
      </c>
      <c r="D135" s="328" t="s">
        <v>4517</v>
      </c>
      <c r="E135" s="323" t="s">
        <v>6328</v>
      </c>
      <c r="F135" s="323">
        <v>1</v>
      </c>
      <c r="G135" s="323" t="s">
        <v>2836</v>
      </c>
      <c r="H135" s="323" t="s">
        <v>4796</v>
      </c>
      <c r="I135" s="323" t="s">
        <v>229</v>
      </c>
      <c r="J135" s="325">
        <v>44439</v>
      </c>
      <c r="K135" s="325"/>
      <c r="L135" s="325"/>
      <c r="M135" s="323" t="s">
        <v>2853</v>
      </c>
      <c r="N135" s="323" t="s">
        <v>2088</v>
      </c>
      <c r="O135" s="359">
        <v>44418</v>
      </c>
      <c r="P135" s="323" t="s">
        <v>3061</v>
      </c>
      <c r="Q135" s="323" t="s">
        <v>2829</v>
      </c>
      <c r="R135" s="496"/>
      <c r="S135" s="382">
        <f>Table13723[[#This Row],[DATE  CLOSED]]-Table13723[[#This Row],[INITIATION DATE]]</f>
        <v>15</v>
      </c>
    </row>
    <row r="136" spans="1:19" ht="25.35" customHeight="1" x14ac:dyDescent="0.2">
      <c r="A136" s="323" t="s">
        <v>6354</v>
      </c>
      <c r="B136" s="325">
        <v>44404</v>
      </c>
      <c r="C136" s="328" t="s">
        <v>6355</v>
      </c>
      <c r="D136" s="329" t="s">
        <v>6356</v>
      </c>
      <c r="E136" s="323" t="s">
        <v>3927</v>
      </c>
      <c r="F136" s="323">
        <v>1</v>
      </c>
      <c r="G136" s="323" t="s">
        <v>2828</v>
      </c>
      <c r="H136" s="323" t="s">
        <v>3423</v>
      </c>
      <c r="I136" s="323" t="s">
        <v>3211</v>
      </c>
      <c r="J136" s="325">
        <v>44439</v>
      </c>
      <c r="K136" s="325"/>
      <c r="L136" s="325"/>
      <c r="M136" s="323" t="s">
        <v>2847</v>
      </c>
      <c r="N136" s="323"/>
      <c r="O136" s="359"/>
      <c r="P136" s="323"/>
      <c r="Q136" s="323"/>
      <c r="R136" s="496"/>
      <c r="S136" s="382">
        <f>Table13723[[#This Row],[DATE  CLOSED]]-Table13723[[#This Row],[INITIATION DATE]]</f>
        <v>-44404</v>
      </c>
    </row>
    <row r="137" spans="1:19" ht="25.35" customHeight="1" x14ac:dyDescent="0.2">
      <c r="A137" s="326" t="s">
        <v>6357</v>
      </c>
      <c r="B137" s="325">
        <v>44405</v>
      </c>
      <c r="C137" s="329" t="s">
        <v>6358</v>
      </c>
      <c r="D137" s="329" t="s">
        <v>6356</v>
      </c>
      <c r="E137" s="326" t="s">
        <v>3927</v>
      </c>
      <c r="F137" s="323">
        <v>1</v>
      </c>
      <c r="G137" s="326" t="s">
        <v>2828</v>
      </c>
      <c r="H137" s="326" t="s">
        <v>3423</v>
      </c>
      <c r="I137" s="326" t="s">
        <v>3211</v>
      </c>
      <c r="J137" s="325">
        <v>44439</v>
      </c>
      <c r="K137" s="325"/>
      <c r="L137" s="325"/>
      <c r="M137" s="323" t="s">
        <v>2847</v>
      </c>
      <c r="N137" s="323"/>
      <c r="O137" s="359"/>
      <c r="P137" s="323"/>
      <c r="Q137" s="323"/>
      <c r="R137" s="496"/>
      <c r="S137" s="382">
        <f>Table13723[[#This Row],[DATE  CLOSED]]-Table13723[[#This Row],[INITIATION DATE]]</f>
        <v>-44405</v>
      </c>
    </row>
    <row r="138" spans="1:19" ht="25.35" customHeight="1" x14ac:dyDescent="0.2">
      <c r="A138" s="323" t="s">
        <v>6359</v>
      </c>
      <c r="B138" s="325">
        <v>44410</v>
      </c>
      <c r="C138" s="328" t="s">
        <v>6360</v>
      </c>
      <c r="D138" s="328" t="s">
        <v>6361</v>
      </c>
      <c r="E138" s="323" t="s">
        <v>5743</v>
      </c>
      <c r="F138" s="323">
        <v>1</v>
      </c>
      <c r="G138" s="323" t="s">
        <v>2828</v>
      </c>
      <c r="H138" s="323" t="s">
        <v>4079</v>
      </c>
      <c r="I138" s="323" t="s">
        <v>3211</v>
      </c>
      <c r="J138" s="325">
        <v>44469</v>
      </c>
      <c r="K138" s="325"/>
      <c r="L138" s="325"/>
      <c r="M138" s="323" t="s">
        <v>2847</v>
      </c>
      <c r="N138" s="323"/>
      <c r="O138" s="359"/>
      <c r="P138" s="323"/>
      <c r="Q138" s="323"/>
      <c r="R138" s="496"/>
      <c r="S138" s="382">
        <f>Table13723[[#This Row],[DATE  CLOSED]]-Table13723[[#This Row],[INITIATION DATE]]</f>
        <v>-44410</v>
      </c>
    </row>
    <row r="139" spans="1:19" ht="25.35" customHeight="1" x14ac:dyDescent="0.2">
      <c r="A139" s="323" t="s">
        <v>6362</v>
      </c>
      <c r="B139" s="325">
        <v>44411</v>
      </c>
      <c r="C139" s="328" t="s">
        <v>6364</v>
      </c>
      <c r="D139" s="328" t="s">
        <v>6363</v>
      </c>
      <c r="E139" s="323" t="s">
        <v>4033</v>
      </c>
      <c r="F139" s="323">
        <v>1</v>
      </c>
      <c r="G139" s="323" t="s">
        <v>2828</v>
      </c>
      <c r="H139" s="323" t="s">
        <v>4021</v>
      </c>
      <c r="I139" s="323" t="s">
        <v>3211</v>
      </c>
      <c r="J139" s="325">
        <v>44469</v>
      </c>
      <c r="K139" s="325" t="s">
        <v>2088</v>
      </c>
      <c r="L139" s="325" t="s">
        <v>2088</v>
      </c>
      <c r="M139" s="323" t="s">
        <v>2853</v>
      </c>
      <c r="N139" s="323" t="s">
        <v>2088</v>
      </c>
      <c r="O139" s="359">
        <v>44412</v>
      </c>
      <c r="P139" s="323" t="s">
        <v>3061</v>
      </c>
      <c r="Q139" s="323" t="s">
        <v>2829</v>
      </c>
      <c r="R139" s="496" t="s">
        <v>5080</v>
      </c>
      <c r="S139" s="382">
        <f>Table13723[[#This Row],[DATE  CLOSED]]-Table13723[[#This Row],[INITIATION DATE]]</f>
        <v>1</v>
      </c>
    </row>
    <row r="140" spans="1:19" ht="25.35" customHeight="1" x14ac:dyDescent="0.2">
      <c r="A140" s="326" t="s">
        <v>6365</v>
      </c>
      <c r="B140" s="325">
        <v>44411</v>
      </c>
      <c r="C140" s="329" t="s">
        <v>6366</v>
      </c>
      <c r="D140" s="329" t="s">
        <v>6367</v>
      </c>
      <c r="E140" s="326" t="s">
        <v>6328</v>
      </c>
      <c r="F140" s="323">
        <v>1</v>
      </c>
      <c r="G140" s="326" t="s">
        <v>2838</v>
      </c>
      <c r="H140" s="326" t="s">
        <v>685</v>
      </c>
      <c r="I140" s="326" t="s">
        <v>4261</v>
      </c>
      <c r="J140" s="325">
        <v>44439</v>
      </c>
      <c r="K140" s="325"/>
      <c r="L140" s="325"/>
      <c r="M140" s="326" t="s">
        <v>2853</v>
      </c>
      <c r="N140" s="323"/>
      <c r="O140" s="359">
        <v>44411</v>
      </c>
      <c r="P140" s="326" t="s">
        <v>3061</v>
      </c>
      <c r="Q140" s="326" t="s">
        <v>4987</v>
      </c>
      <c r="R140" s="496"/>
      <c r="S140" s="382">
        <f>Table13723[[#This Row],[DATE  CLOSED]]-Table13723[[#This Row],[INITIATION DATE]]</f>
        <v>0</v>
      </c>
    </row>
    <row r="141" spans="1:19" ht="25.35" customHeight="1" x14ac:dyDescent="0.2">
      <c r="A141" s="323" t="s">
        <v>6368</v>
      </c>
      <c r="B141" s="325">
        <v>44412</v>
      </c>
      <c r="C141" s="328" t="s">
        <v>6369</v>
      </c>
      <c r="D141" s="328" t="s">
        <v>6370</v>
      </c>
      <c r="E141" s="323" t="s">
        <v>5973</v>
      </c>
      <c r="F141" s="323">
        <v>1</v>
      </c>
      <c r="G141" s="323" t="s">
        <v>2828</v>
      </c>
      <c r="H141" s="323" t="s">
        <v>6215</v>
      </c>
      <c r="I141" s="323" t="s">
        <v>3211</v>
      </c>
      <c r="J141" s="325">
        <v>44469</v>
      </c>
      <c r="K141" s="325" t="s">
        <v>2088</v>
      </c>
      <c r="L141" s="325" t="s">
        <v>2088</v>
      </c>
      <c r="M141" s="323" t="s">
        <v>2853</v>
      </c>
      <c r="N141" s="323" t="s">
        <v>2088</v>
      </c>
      <c r="O141" s="359">
        <v>44418</v>
      </c>
      <c r="P141" s="323" t="s">
        <v>3061</v>
      </c>
      <c r="Q141" s="323" t="s">
        <v>2829</v>
      </c>
      <c r="R141" s="496" t="s">
        <v>5080</v>
      </c>
      <c r="S141" s="382">
        <f>Table13723[[#This Row],[DATE  CLOSED]]-Table13723[[#This Row],[INITIATION DATE]]</f>
        <v>6</v>
      </c>
    </row>
    <row r="142" spans="1:19" ht="25.35" customHeight="1" x14ac:dyDescent="0.2">
      <c r="A142" s="323" t="s">
        <v>6371</v>
      </c>
      <c r="B142" s="325">
        <v>44417</v>
      </c>
      <c r="C142" s="328" t="s">
        <v>6372</v>
      </c>
      <c r="D142" s="328" t="s">
        <v>6373</v>
      </c>
      <c r="E142" s="323" t="s">
        <v>5845</v>
      </c>
      <c r="F142" s="323">
        <v>1</v>
      </c>
      <c r="G142" s="323" t="s">
        <v>2828</v>
      </c>
      <c r="H142" s="323" t="s">
        <v>6374</v>
      </c>
      <c r="I142" s="323" t="s">
        <v>3211</v>
      </c>
      <c r="J142" s="325">
        <v>44500</v>
      </c>
      <c r="K142" s="325"/>
      <c r="L142" s="325"/>
      <c r="M142" s="323" t="s">
        <v>2847</v>
      </c>
      <c r="N142" s="323"/>
      <c r="O142" s="359"/>
      <c r="P142" s="323"/>
      <c r="Q142" s="323"/>
      <c r="R142" s="497"/>
      <c r="S142" s="382">
        <f>Table13723[[#This Row],[DATE  CLOSED]]-Table13723[[#This Row],[INITIATION DATE]]</f>
        <v>-44417</v>
      </c>
    </row>
    <row r="143" spans="1:19" ht="25.35" customHeight="1" x14ac:dyDescent="0.2">
      <c r="A143" s="323" t="s">
        <v>6375</v>
      </c>
      <c r="B143" s="325">
        <v>44417</v>
      </c>
      <c r="C143" s="328" t="s">
        <v>6311</v>
      </c>
      <c r="D143" s="328" t="s">
        <v>6376</v>
      </c>
      <c r="E143" s="323" t="s">
        <v>5845</v>
      </c>
      <c r="F143" s="323">
        <v>1</v>
      </c>
      <c r="G143" s="323" t="s">
        <v>2828</v>
      </c>
      <c r="H143" s="323" t="s">
        <v>6374</v>
      </c>
      <c r="I143" s="323" t="s">
        <v>3211</v>
      </c>
      <c r="J143" s="325">
        <v>44500</v>
      </c>
      <c r="K143" s="325"/>
      <c r="L143" s="325"/>
      <c r="M143" s="323" t="s">
        <v>2847</v>
      </c>
      <c r="N143" s="323"/>
      <c r="O143" s="359"/>
      <c r="P143" s="323"/>
      <c r="Q143" s="323"/>
      <c r="R143" s="497"/>
      <c r="S143" s="382">
        <f>Table13723[[#This Row],[DATE  CLOSED]]-Table13723[[#This Row],[INITIATION DATE]]</f>
        <v>-44417</v>
      </c>
    </row>
    <row r="144" spans="1:19" ht="25.35" customHeight="1" x14ac:dyDescent="0.2">
      <c r="A144" s="323" t="s">
        <v>6377</v>
      </c>
      <c r="B144" s="325">
        <v>44417</v>
      </c>
      <c r="C144" s="328" t="s">
        <v>6380</v>
      </c>
      <c r="D144" s="328" t="s">
        <v>6378</v>
      </c>
      <c r="E144" s="323" t="s">
        <v>3586</v>
      </c>
      <c r="F144" s="323">
        <v>1</v>
      </c>
      <c r="G144" s="323" t="s">
        <v>2828</v>
      </c>
      <c r="H144" s="323" t="s">
        <v>6374</v>
      </c>
      <c r="I144" s="323" t="s">
        <v>3211</v>
      </c>
      <c r="J144" s="325">
        <v>44773</v>
      </c>
      <c r="K144" s="325" t="s">
        <v>2088</v>
      </c>
      <c r="L144" s="325" t="s">
        <v>2088</v>
      </c>
      <c r="M144" s="323" t="s">
        <v>2853</v>
      </c>
      <c r="N144" s="323" t="s">
        <v>2088</v>
      </c>
      <c r="O144" s="359">
        <v>44424</v>
      </c>
      <c r="P144" s="323" t="s">
        <v>3061</v>
      </c>
      <c r="Q144" s="323" t="s">
        <v>2829</v>
      </c>
      <c r="R144" s="498" t="s">
        <v>5080</v>
      </c>
      <c r="S144" s="382">
        <f>Table13723[[#This Row],[DATE  CLOSED]]-Table13723[[#This Row],[INITIATION DATE]]</f>
        <v>7</v>
      </c>
    </row>
    <row r="145" spans="1:19" ht="25.35" customHeight="1" x14ac:dyDescent="0.2">
      <c r="A145" s="323" t="s">
        <v>6379</v>
      </c>
      <c r="B145" s="325">
        <v>44418</v>
      </c>
      <c r="C145" s="328" t="s">
        <v>6381</v>
      </c>
      <c r="D145" s="328" t="s">
        <v>3039</v>
      </c>
      <c r="E145" s="323" t="s">
        <v>6328</v>
      </c>
      <c r="F145" s="323">
        <v>1</v>
      </c>
      <c r="G145" s="323" t="s">
        <v>2828</v>
      </c>
      <c r="H145" s="323" t="s">
        <v>3227</v>
      </c>
      <c r="I145" s="323" t="s">
        <v>3211</v>
      </c>
      <c r="J145" s="325">
        <v>44439</v>
      </c>
      <c r="K145" s="325" t="s">
        <v>2088</v>
      </c>
      <c r="L145" s="325" t="s">
        <v>2088</v>
      </c>
      <c r="M145" s="323" t="s">
        <v>2853</v>
      </c>
      <c r="N145" s="323" t="s">
        <v>2088</v>
      </c>
      <c r="O145" s="359">
        <v>44431</v>
      </c>
      <c r="P145" s="323" t="s">
        <v>4224</v>
      </c>
      <c r="Q145" s="323" t="s">
        <v>2829</v>
      </c>
      <c r="R145" s="499" t="s">
        <v>5080</v>
      </c>
      <c r="S145" s="382">
        <f>Table13723[[#This Row],[DATE  CLOSED]]-Table13723[[#This Row],[INITIATION DATE]]</f>
        <v>13</v>
      </c>
    </row>
    <row r="146" spans="1:19" ht="25.35" customHeight="1" x14ac:dyDescent="0.2">
      <c r="A146" s="323" t="s">
        <v>6382</v>
      </c>
      <c r="B146" s="325">
        <v>44418</v>
      </c>
      <c r="C146" s="328" t="s">
        <v>6384</v>
      </c>
      <c r="D146" s="328" t="s">
        <v>6383</v>
      </c>
      <c r="E146" s="323" t="s">
        <v>4033</v>
      </c>
      <c r="F146" s="323">
        <v>1</v>
      </c>
      <c r="G146" s="323" t="s">
        <v>2828</v>
      </c>
      <c r="H146" s="323" t="s">
        <v>4021</v>
      </c>
      <c r="I146" s="323" t="s">
        <v>6188</v>
      </c>
      <c r="J146" s="325">
        <v>44439</v>
      </c>
      <c r="K146" s="325" t="s">
        <v>1139</v>
      </c>
      <c r="L146" s="325" t="s">
        <v>1139</v>
      </c>
      <c r="M146" s="323" t="s">
        <v>2853</v>
      </c>
      <c r="N146" s="323" t="s">
        <v>1139</v>
      </c>
      <c r="O146" s="359">
        <v>44425</v>
      </c>
      <c r="P146" s="323" t="s">
        <v>3061</v>
      </c>
      <c r="Q146" s="323" t="s">
        <v>2829</v>
      </c>
      <c r="R146" s="500" t="s">
        <v>5080</v>
      </c>
      <c r="S146" s="382">
        <f>Table13723[[#This Row],[DATE  CLOSED]]-Table13723[[#This Row],[INITIATION DATE]]</f>
        <v>7</v>
      </c>
    </row>
    <row r="147" spans="1:19" ht="25.35" customHeight="1" x14ac:dyDescent="0.2">
      <c r="A147" s="323" t="s">
        <v>6385</v>
      </c>
      <c r="B147" s="325">
        <v>44420</v>
      </c>
      <c r="C147" s="328" t="s">
        <v>6386</v>
      </c>
      <c r="D147" s="328" t="s">
        <v>6387</v>
      </c>
      <c r="E147" s="323" t="s">
        <v>6328</v>
      </c>
      <c r="F147" s="323">
        <v>1</v>
      </c>
      <c r="G147" s="323" t="s">
        <v>2836</v>
      </c>
      <c r="H147" s="323" t="s">
        <v>3423</v>
      </c>
      <c r="I147" s="323" t="s">
        <v>3211</v>
      </c>
      <c r="J147" s="325">
        <v>44469</v>
      </c>
      <c r="K147" s="325"/>
      <c r="L147" s="325"/>
      <c r="M147" s="323" t="s">
        <v>2847</v>
      </c>
      <c r="N147" s="323"/>
      <c r="O147" s="359"/>
      <c r="P147" s="323"/>
      <c r="Q147" s="323"/>
      <c r="R147" s="501"/>
      <c r="S147" s="382">
        <f>Table13723[[#This Row],[DATE  CLOSED]]-Table13723[[#This Row],[INITIATION DATE]]</f>
        <v>-44420</v>
      </c>
    </row>
    <row r="148" spans="1:19" ht="25.35" customHeight="1" x14ac:dyDescent="0.2">
      <c r="A148" s="323" t="s">
        <v>6388</v>
      </c>
      <c r="B148" s="325">
        <v>44421</v>
      </c>
      <c r="C148" s="328" t="s">
        <v>6389</v>
      </c>
      <c r="D148" s="328" t="s">
        <v>3039</v>
      </c>
      <c r="E148" s="323" t="s">
        <v>6328</v>
      </c>
      <c r="F148" s="323">
        <v>1</v>
      </c>
      <c r="G148" s="323" t="s">
        <v>2841</v>
      </c>
      <c r="H148" s="323" t="s">
        <v>3991</v>
      </c>
      <c r="I148" s="323" t="s">
        <v>229</v>
      </c>
      <c r="J148" s="325">
        <v>44469</v>
      </c>
      <c r="K148" s="325"/>
      <c r="L148" s="325"/>
      <c r="M148" s="323" t="s">
        <v>2853</v>
      </c>
      <c r="N148" s="323"/>
      <c r="O148" s="359">
        <v>44462</v>
      </c>
      <c r="P148" s="323" t="s">
        <v>3061</v>
      </c>
      <c r="Q148" s="323" t="s">
        <v>2829</v>
      </c>
      <c r="R148" s="501"/>
      <c r="S148" s="382">
        <f>Table13723[[#This Row],[DATE  CLOSED]]-Table13723[[#This Row],[INITIATION DATE]]</f>
        <v>41</v>
      </c>
    </row>
    <row r="149" spans="1:19" ht="25.35" customHeight="1" x14ac:dyDescent="0.2">
      <c r="A149" s="323" t="s">
        <v>6390</v>
      </c>
      <c r="B149" s="325">
        <v>44424</v>
      </c>
      <c r="C149" s="328" t="s">
        <v>6391</v>
      </c>
      <c r="D149" s="328" t="s">
        <v>3039</v>
      </c>
      <c r="E149" s="323" t="s">
        <v>6328</v>
      </c>
      <c r="F149" s="323">
        <v>1</v>
      </c>
      <c r="G149" s="323" t="s">
        <v>2841</v>
      </c>
      <c r="H149" s="323" t="s">
        <v>1865</v>
      </c>
      <c r="I149" s="323" t="s">
        <v>229</v>
      </c>
      <c r="J149" s="325">
        <v>44469</v>
      </c>
      <c r="K149" s="325"/>
      <c r="L149" s="325"/>
      <c r="M149" s="323" t="s">
        <v>2847</v>
      </c>
      <c r="N149" s="323"/>
      <c r="O149" s="359"/>
      <c r="P149" s="323"/>
      <c r="Q149" s="323"/>
      <c r="R149" s="501"/>
      <c r="S149" s="382">
        <f>Table13723[[#This Row],[DATE  CLOSED]]-Table13723[[#This Row],[INITIATION DATE]]</f>
        <v>-44424</v>
      </c>
    </row>
    <row r="150" spans="1:19" ht="25.35" customHeight="1" x14ac:dyDescent="0.2">
      <c r="A150" s="323" t="s">
        <v>6392</v>
      </c>
      <c r="B150" s="325">
        <v>44428</v>
      </c>
      <c r="C150" s="328" t="s">
        <v>6393</v>
      </c>
      <c r="D150" s="328" t="s">
        <v>3039</v>
      </c>
      <c r="E150" s="323" t="s">
        <v>6328</v>
      </c>
      <c r="F150" s="323">
        <v>1</v>
      </c>
      <c r="G150" s="323" t="s">
        <v>2841</v>
      </c>
      <c r="H150" s="323" t="s">
        <v>229</v>
      </c>
      <c r="I150" s="323" t="s">
        <v>4261</v>
      </c>
      <c r="J150" s="325">
        <v>44469</v>
      </c>
      <c r="K150" s="325"/>
      <c r="L150" s="325"/>
      <c r="M150" s="326" t="s">
        <v>2853</v>
      </c>
      <c r="N150" s="323"/>
      <c r="O150" s="359">
        <v>44468</v>
      </c>
      <c r="P150" s="326" t="s">
        <v>3061</v>
      </c>
      <c r="Q150" s="326" t="s">
        <v>5991</v>
      </c>
      <c r="R150" s="501"/>
      <c r="S150" s="382">
        <f>Table13723[[#This Row],[DATE  CLOSED]]-Table13723[[#This Row],[INITIATION DATE]]</f>
        <v>40</v>
      </c>
    </row>
    <row r="151" spans="1:19" ht="25.35" customHeight="1" x14ac:dyDescent="0.2">
      <c r="A151" s="323" t="s">
        <v>6394</v>
      </c>
      <c r="B151" s="325">
        <v>44431</v>
      </c>
      <c r="C151" s="328" t="s">
        <v>6395</v>
      </c>
      <c r="D151" s="328" t="s">
        <v>3039</v>
      </c>
      <c r="E151" s="323" t="s">
        <v>6328</v>
      </c>
      <c r="F151" s="323">
        <v>1</v>
      </c>
      <c r="G151" s="323" t="s">
        <v>2841</v>
      </c>
      <c r="H151" s="323" t="s">
        <v>6313</v>
      </c>
      <c r="I151" s="323" t="s">
        <v>229</v>
      </c>
      <c r="J151" s="325">
        <v>44469</v>
      </c>
      <c r="K151" s="325"/>
      <c r="L151" s="325"/>
      <c r="M151" s="323" t="s">
        <v>2853</v>
      </c>
      <c r="N151" s="323"/>
      <c r="O151" s="359">
        <v>44461</v>
      </c>
      <c r="P151" s="323" t="s">
        <v>3061</v>
      </c>
      <c r="Q151" s="323" t="s">
        <v>2829</v>
      </c>
      <c r="R151" s="502"/>
      <c r="S151" s="382">
        <f>Table13723[[#This Row],[DATE  CLOSED]]-Table13723[[#This Row],[INITIATION DATE]]</f>
        <v>30</v>
      </c>
    </row>
    <row r="152" spans="1:19" ht="25.35" customHeight="1" x14ac:dyDescent="0.2">
      <c r="A152" s="323" t="s">
        <v>6396</v>
      </c>
      <c r="B152" s="325">
        <v>44432</v>
      </c>
      <c r="C152" s="329" t="s">
        <v>6397</v>
      </c>
      <c r="D152" s="328" t="s">
        <v>6398</v>
      </c>
      <c r="E152" s="323" t="s">
        <v>5746</v>
      </c>
      <c r="F152" s="323">
        <v>1</v>
      </c>
      <c r="G152" s="323" t="s">
        <v>2828</v>
      </c>
      <c r="H152" s="323" t="s">
        <v>4079</v>
      </c>
      <c r="I152" s="323" t="s">
        <v>3211</v>
      </c>
      <c r="J152" s="325">
        <v>44469</v>
      </c>
      <c r="K152" s="325"/>
      <c r="L152" s="325"/>
      <c r="M152" s="323" t="s">
        <v>2847</v>
      </c>
      <c r="N152" s="323"/>
      <c r="O152" s="359"/>
      <c r="P152" s="323"/>
      <c r="Q152" s="323"/>
      <c r="R152" s="502"/>
      <c r="S152" s="382">
        <f>Table13723[[#This Row],[DATE  CLOSED]]-Table13723[[#This Row],[INITIATION DATE]]</f>
        <v>-44432</v>
      </c>
    </row>
    <row r="153" spans="1:19" ht="25.35" customHeight="1" x14ac:dyDescent="0.2">
      <c r="A153" s="323" t="s">
        <v>6399</v>
      </c>
      <c r="B153" s="325">
        <v>44433</v>
      </c>
      <c r="C153" s="328" t="s">
        <v>6400</v>
      </c>
      <c r="D153" s="329" t="s">
        <v>6407</v>
      </c>
      <c r="E153" s="326" t="s">
        <v>6328</v>
      </c>
      <c r="F153" s="323">
        <v>1</v>
      </c>
      <c r="G153" s="326" t="s">
        <v>2841</v>
      </c>
      <c r="H153" s="326" t="s">
        <v>229</v>
      </c>
      <c r="I153" s="326" t="s">
        <v>4261</v>
      </c>
      <c r="J153" s="325">
        <v>44439</v>
      </c>
      <c r="K153" s="325"/>
      <c r="L153" s="325"/>
      <c r="M153" s="326" t="s">
        <v>2853</v>
      </c>
      <c r="N153" s="323"/>
      <c r="O153" s="359">
        <v>44438</v>
      </c>
      <c r="P153" s="323" t="s">
        <v>4224</v>
      </c>
      <c r="Q153" s="323" t="s">
        <v>4987</v>
      </c>
      <c r="R153" s="502"/>
      <c r="S153" s="382">
        <f>Table13723[[#This Row],[DATE  CLOSED]]-Table13723[[#This Row],[INITIATION DATE]]</f>
        <v>5</v>
      </c>
    </row>
    <row r="154" spans="1:19" ht="25.35" customHeight="1" x14ac:dyDescent="0.2">
      <c r="A154" s="323" t="s">
        <v>6401</v>
      </c>
      <c r="B154" s="325">
        <v>44435</v>
      </c>
      <c r="C154" s="328" t="s">
        <v>6402</v>
      </c>
      <c r="D154" s="328" t="s">
        <v>6403</v>
      </c>
      <c r="E154" s="323" t="s">
        <v>6328</v>
      </c>
      <c r="F154" s="323">
        <v>1</v>
      </c>
      <c r="G154" s="323" t="s">
        <v>2828</v>
      </c>
      <c r="H154" s="323" t="s">
        <v>3645</v>
      </c>
      <c r="I154" s="323" t="s">
        <v>229</v>
      </c>
      <c r="J154" s="325">
        <v>44469</v>
      </c>
      <c r="K154" s="325"/>
      <c r="L154" s="325"/>
      <c r="M154" s="323" t="s">
        <v>2853</v>
      </c>
      <c r="N154" s="323"/>
      <c r="O154" s="359">
        <v>44461</v>
      </c>
      <c r="P154" s="323" t="s">
        <v>3061</v>
      </c>
      <c r="Q154" s="323" t="s">
        <v>2829</v>
      </c>
      <c r="R154" s="503"/>
      <c r="S154" s="382">
        <f>Table13723[[#This Row],[DATE  CLOSED]]-Table13723[[#This Row],[INITIATION DATE]]</f>
        <v>26</v>
      </c>
    </row>
    <row r="155" spans="1:19" ht="25.35" customHeight="1" x14ac:dyDescent="0.2">
      <c r="A155" s="323" t="s">
        <v>6404</v>
      </c>
      <c r="B155" s="325">
        <v>44438</v>
      </c>
      <c r="C155" s="328" t="s">
        <v>6405</v>
      </c>
      <c r="D155" s="328" t="s">
        <v>6406</v>
      </c>
      <c r="E155" s="323" t="s">
        <v>6328</v>
      </c>
      <c r="F155" s="323">
        <v>1</v>
      </c>
      <c r="G155" s="323" t="s">
        <v>2828</v>
      </c>
      <c r="H155" s="323" t="s">
        <v>3423</v>
      </c>
      <c r="I155" s="323" t="s">
        <v>3211</v>
      </c>
      <c r="J155" s="325">
        <v>44500</v>
      </c>
      <c r="K155" s="325"/>
      <c r="L155" s="325"/>
      <c r="M155" s="323" t="s">
        <v>2847</v>
      </c>
      <c r="N155" s="323"/>
      <c r="O155" s="359"/>
      <c r="P155" s="323"/>
      <c r="Q155" s="323"/>
      <c r="R155" s="503"/>
      <c r="S155" s="382">
        <f>Table13723[[#This Row],[DATE  CLOSED]]-Table13723[[#This Row],[INITIATION DATE]]</f>
        <v>-44438</v>
      </c>
    </row>
    <row r="156" spans="1:19" ht="25.35" customHeight="1" x14ac:dyDescent="0.2">
      <c r="A156" s="323" t="s">
        <v>6408</v>
      </c>
      <c r="B156" s="325">
        <v>44440</v>
      </c>
      <c r="C156" s="328" t="s">
        <v>6409</v>
      </c>
      <c r="D156" s="328" t="s">
        <v>6410</v>
      </c>
      <c r="E156" s="323" t="s">
        <v>6328</v>
      </c>
      <c r="F156" s="323">
        <v>1</v>
      </c>
      <c r="G156" s="323" t="s">
        <v>2838</v>
      </c>
      <c r="H156" s="323" t="s">
        <v>685</v>
      </c>
      <c r="I156" s="323" t="s">
        <v>229</v>
      </c>
      <c r="J156" s="325">
        <v>44469</v>
      </c>
      <c r="K156" s="325"/>
      <c r="L156" s="325"/>
      <c r="M156" s="323" t="s">
        <v>2847</v>
      </c>
      <c r="N156" s="323"/>
      <c r="O156" s="359"/>
      <c r="P156" s="323"/>
      <c r="Q156" s="323"/>
      <c r="R156" s="503"/>
      <c r="S156" s="382">
        <f>Table13723[[#This Row],[DATE  CLOSED]]-Table13723[[#This Row],[INITIATION DATE]]</f>
        <v>-44440</v>
      </c>
    </row>
    <row r="157" spans="1:19" ht="25.35" customHeight="1" x14ac:dyDescent="0.2">
      <c r="A157" s="323" t="s">
        <v>6411</v>
      </c>
      <c r="B157" s="325">
        <v>44440</v>
      </c>
      <c r="C157" s="328" t="s">
        <v>6412</v>
      </c>
      <c r="D157" s="328" t="s">
        <v>3039</v>
      </c>
      <c r="E157" s="323" t="s">
        <v>6328</v>
      </c>
      <c r="F157" s="323">
        <v>1</v>
      </c>
      <c r="G157" s="323" t="s">
        <v>2841</v>
      </c>
      <c r="H157" s="323" t="s">
        <v>4354</v>
      </c>
      <c r="I157" s="323" t="s">
        <v>229</v>
      </c>
      <c r="J157" s="325">
        <v>44469</v>
      </c>
      <c r="K157" s="325"/>
      <c r="L157" s="325"/>
      <c r="M157" s="323" t="s">
        <v>2853</v>
      </c>
      <c r="N157" s="323" t="s">
        <v>2088</v>
      </c>
      <c r="O157" s="359">
        <v>44468</v>
      </c>
      <c r="P157" s="323" t="s">
        <v>3061</v>
      </c>
      <c r="Q157" s="323" t="s">
        <v>2829</v>
      </c>
      <c r="R157" s="503"/>
      <c r="S157" s="382">
        <f>Table13723[[#This Row],[DATE  CLOSED]]-Table13723[[#This Row],[INITIATION DATE]]</f>
        <v>28</v>
      </c>
    </row>
    <row r="158" spans="1:19" ht="25.35" customHeight="1" x14ac:dyDescent="0.2">
      <c r="A158" s="323" t="s">
        <v>6413</v>
      </c>
      <c r="B158" s="325">
        <v>44446</v>
      </c>
      <c r="C158" s="328" t="s">
        <v>6415</v>
      </c>
      <c r="D158" s="328" t="s">
        <v>6414</v>
      </c>
      <c r="E158" s="323" t="s">
        <v>6328</v>
      </c>
      <c r="F158" s="323">
        <v>1</v>
      </c>
      <c r="G158" s="323" t="s">
        <v>2836</v>
      </c>
      <c r="H158" s="323" t="s">
        <v>481</v>
      </c>
      <c r="I158" s="323" t="s">
        <v>3211</v>
      </c>
      <c r="J158" s="325">
        <v>44469</v>
      </c>
      <c r="K158" s="325"/>
      <c r="L158" s="325"/>
      <c r="M158" s="323" t="s">
        <v>2853</v>
      </c>
      <c r="N158" s="323" t="s">
        <v>2088</v>
      </c>
      <c r="O158" s="359">
        <v>44459</v>
      </c>
      <c r="P158" s="323" t="s">
        <v>3061</v>
      </c>
      <c r="Q158" s="323" t="s">
        <v>2829</v>
      </c>
      <c r="R158" s="503"/>
      <c r="S158" s="382">
        <f>Table13723[[#This Row],[DATE  CLOSED]]-Table13723[[#This Row],[INITIATION DATE]]</f>
        <v>13</v>
      </c>
    </row>
    <row r="159" spans="1:19" ht="25.35" customHeight="1" x14ac:dyDescent="0.2">
      <c r="A159" s="323" t="s">
        <v>6416</v>
      </c>
      <c r="B159" s="325">
        <v>44446</v>
      </c>
      <c r="C159" s="328" t="s">
        <v>6417</v>
      </c>
      <c r="D159" s="328" t="s">
        <v>6418</v>
      </c>
      <c r="E159" s="323" t="s">
        <v>5126</v>
      </c>
      <c r="F159" s="323">
        <v>1</v>
      </c>
      <c r="G159" s="323" t="s">
        <v>2828</v>
      </c>
      <c r="H159" s="323" t="s">
        <v>3423</v>
      </c>
      <c r="I159" s="323" t="s">
        <v>3211</v>
      </c>
      <c r="J159" s="325">
        <v>44469</v>
      </c>
      <c r="K159" s="325"/>
      <c r="L159" s="325"/>
      <c r="M159" s="323" t="s">
        <v>2847</v>
      </c>
      <c r="N159" s="323"/>
      <c r="O159" s="359"/>
      <c r="P159" s="323"/>
      <c r="Q159" s="323"/>
      <c r="R159" s="503"/>
      <c r="S159" s="382">
        <f>Table13723[[#This Row],[DATE  CLOSED]]-Table13723[[#This Row],[INITIATION DATE]]</f>
        <v>-44446</v>
      </c>
    </row>
    <row r="160" spans="1:19" ht="25.35" customHeight="1" x14ac:dyDescent="0.2">
      <c r="A160" s="323" t="s">
        <v>6419</v>
      </c>
      <c r="B160" s="325">
        <v>44447</v>
      </c>
      <c r="C160" s="328" t="s">
        <v>6420</v>
      </c>
      <c r="D160" s="328" t="s">
        <v>6421</v>
      </c>
      <c r="E160" s="323" t="s">
        <v>3586</v>
      </c>
      <c r="F160" s="323">
        <v>1</v>
      </c>
      <c r="G160" s="323" t="s">
        <v>2828</v>
      </c>
      <c r="H160" s="323" t="s">
        <v>3423</v>
      </c>
      <c r="I160" s="323" t="s">
        <v>3211</v>
      </c>
      <c r="J160" s="325">
        <v>44561</v>
      </c>
      <c r="K160" s="325"/>
      <c r="L160" s="325"/>
      <c r="M160" s="323" t="s">
        <v>2847</v>
      </c>
      <c r="N160" s="323"/>
      <c r="O160" s="359"/>
      <c r="P160" s="323"/>
      <c r="Q160" s="323"/>
      <c r="R160" s="504"/>
      <c r="S160" s="382">
        <f>Table13723[[#This Row],[DATE  CLOSED]]-Table13723[[#This Row],[INITIATION DATE]]</f>
        <v>-44447</v>
      </c>
    </row>
    <row r="161" spans="1:19" ht="25.35" customHeight="1" x14ac:dyDescent="0.2">
      <c r="A161" s="323" t="s">
        <v>6422</v>
      </c>
      <c r="B161" s="325">
        <v>44448</v>
      </c>
      <c r="C161" s="328" t="s">
        <v>6423</v>
      </c>
      <c r="D161" s="328" t="s">
        <v>4954</v>
      </c>
      <c r="E161" s="323" t="s">
        <v>3777</v>
      </c>
      <c r="F161" s="323">
        <v>1</v>
      </c>
      <c r="G161" s="323" t="s">
        <v>2828</v>
      </c>
      <c r="H161" s="323" t="s">
        <v>1351</v>
      </c>
      <c r="I161" s="323" t="s">
        <v>3211</v>
      </c>
      <c r="J161" s="325">
        <v>44500</v>
      </c>
      <c r="K161" s="325"/>
      <c r="L161" s="325"/>
      <c r="M161" s="323" t="s">
        <v>2847</v>
      </c>
      <c r="N161" s="323"/>
      <c r="O161" s="359"/>
      <c r="P161" s="323"/>
      <c r="Q161" s="323"/>
      <c r="R161" s="504"/>
      <c r="S161" s="382">
        <f>Table13723[[#This Row],[DATE  CLOSED]]-Table13723[[#This Row],[INITIATION DATE]]</f>
        <v>-44448</v>
      </c>
    </row>
    <row r="162" spans="1:19" ht="25.35" customHeight="1" x14ac:dyDescent="0.2">
      <c r="A162" s="323" t="s">
        <v>6424</v>
      </c>
      <c r="B162" s="325">
        <v>44452</v>
      </c>
      <c r="C162" s="328" t="s">
        <v>6425</v>
      </c>
      <c r="D162" s="328" t="s">
        <v>6426</v>
      </c>
      <c r="E162" s="323" t="s">
        <v>6328</v>
      </c>
      <c r="F162" s="323">
        <v>1</v>
      </c>
      <c r="G162" s="323" t="s">
        <v>2841</v>
      </c>
      <c r="H162" s="323" t="s">
        <v>4079</v>
      </c>
      <c r="I162" s="323" t="s">
        <v>229</v>
      </c>
      <c r="J162" s="325">
        <v>44469</v>
      </c>
      <c r="K162" s="325"/>
      <c r="L162" s="325"/>
      <c r="M162" s="323" t="s">
        <v>2847</v>
      </c>
      <c r="N162" s="323"/>
      <c r="O162" s="359"/>
      <c r="P162" s="323"/>
      <c r="Q162" s="323"/>
      <c r="R162" s="504"/>
      <c r="S162" s="382">
        <f>Table13723[[#This Row],[DATE  CLOSED]]-Table13723[[#This Row],[INITIATION DATE]]</f>
        <v>-44452</v>
      </c>
    </row>
    <row r="163" spans="1:19" ht="25.35" customHeight="1" x14ac:dyDescent="0.2">
      <c r="A163" s="323" t="s">
        <v>6427</v>
      </c>
      <c r="B163" s="325">
        <v>44454</v>
      </c>
      <c r="C163" s="329" t="s">
        <v>6429</v>
      </c>
      <c r="D163" s="329" t="s">
        <v>6430</v>
      </c>
      <c r="E163" s="326" t="s">
        <v>6328</v>
      </c>
      <c r="F163" s="323">
        <v>1</v>
      </c>
      <c r="G163" s="326" t="s">
        <v>2838</v>
      </c>
      <c r="H163" s="326" t="s">
        <v>685</v>
      </c>
      <c r="I163" s="326" t="s">
        <v>229</v>
      </c>
      <c r="J163" s="325">
        <v>44469</v>
      </c>
      <c r="K163" s="325"/>
      <c r="L163" s="325"/>
      <c r="M163" s="326" t="s">
        <v>2847</v>
      </c>
      <c r="N163" s="323"/>
      <c r="O163" s="359"/>
      <c r="P163" s="323"/>
      <c r="Q163" s="323"/>
      <c r="R163" s="504"/>
      <c r="S163" s="382">
        <f>Table13723[[#This Row],[DATE  CLOSED]]-Table13723[[#This Row],[INITIATION DATE]]</f>
        <v>-44454</v>
      </c>
    </row>
    <row r="164" spans="1:19" ht="25.35" customHeight="1" x14ac:dyDescent="0.2">
      <c r="A164" s="323" t="s">
        <v>6428</v>
      </c>
      <c r="B164" s="325">
        <v>44454</v>
      </c>
      <c r="C164" s="329" t="s">
        <v>6431</v>
      </c>
      <c r="D164" s="329" t="s">
        <v>6430</v>
      </c>
      <c r="E164" s="326" t="s">
        <v>6328</v>
      </c>
      <c r="F164" s="323">
        <v>1</v>
      </c>
      <c r="G164" s="326" t="s">
        <v>2838</v>
      </c>
      <c r="H164" s="326" t="s">
        <v>685</v>
      </c>
      <c r="I164" s="326" t="s">
        <v>229</v>
      </c>
      <c r="J164" s="325">
        <v>44469</v>
      </c>
      <c r="K164" s="325"/>
      <c r="L164" s="325"/>
      <c r="M164" s="326" t="s">
        <v>2847</v>
      </c>
      <c r="N164" s="323"/>
      <c r="O164" s="359"/>
      <c r="P164" s="323"/>
      <c r="Q164" s="323"/>
      <c r="R164" s="504"/>
      <c r="S164" s="382">
        <f>Table13723[[#This Row],[DATE  CLOSED]]-Table13723[[#This Row],[INITIATION DATE]]</f>
        <v>-44454</v>
      </c>
    </row>
    <row r="165" spans="1:19" ht="25.35" customHeight="1" x14ac:dyDescent="0.2">
      <c r="A165" s="323" t="s">
        <v>6432</v>
      </c>
      <c r="B165" s="325">
        <v>44454</v>
      </c>
      <c r="C165" s="329" t="s">
        <v>6433</v>
      </c>
      <c r="D165" s="329" t="s">
        <v>6434</v>
      </c>
      <c r="E165" s="326" t="s">
        <v>6328</v>
      </c>
      <c r="F165" s="323">
        <v>1</v>
      </c>
      <c r="G165" s="323" t="s">
        <v>2838</v>
      </c>
      <c r="H165" s="326" t="s">
        <v>4079</v>
      </c>
      <c r="I165" s="326" t="s">
        <v>6188</v>
      </c>
      <c r="J165" s="325">
        <v>44469</v>
      </c>
      <c r="K165" s="325"/>
      <c r="L165" s="325"/>
      <c r="M165" s="323" t="s">
        <v>2847</v>
      </c>
      <c r="N165" s="323"/>
      <c r="O165" s="359"/>
      <c r="P165" s="323"/>
      <c r="Q165" s="323"/>
      <c r="R165" s="504"/>
      <c r="S165" s="382">
        <f>Table13723[[#This Row],[DATE  CLOSED]]-Table13723[[#This Row],[INITIATION DATE]]</f>
        <v>-44454</v>
      </c>
    </row>
    <row r="166" spans="1:19" ht="25.35" customHeight="1" x14ac:dyDescent="0.2">
      <c r="A166" s="323" t="s">
        <v>6435</v>
      </c>
      <c r="B166" s="325">
        <v>44454</v>
      </c>
      <c r="C166" s="328" t="s">
        <v>6436</v>
      </c>
      <c r="D166" s="328" t="s">
        <v>6437</v>
      </c>
      <c r="E166" s="323" t="s">
        <v>6328</v>
      </c>
      <c r="F166" s="323">
        <v>1</v>
      </c>
      <c r="G166" s="323" t="s">
        <v>2841</v>
      </c>
      <c r="H166" s="323" t="s">
        <v>4021</v>
      </c>
      <c r="I166" s="323" t="s">
        <v>229</v>
      </c>
      <c r="J166" s="506">
        <v>44500</v>
      </c>
      <c r="K166" s="325"/>
      <c r="L166" s="325"/>
      <c r="M166" s="323" t="s">
        <v>2847</v>
      </c>
      <c r="N166" s="323"/>
      <c r="O166" s="359"/>
      <c r="P166" s="323"/>
      <c r="Q166" s="323"/>
      <c r="R166" s="504"/>
      <c r="S166" s="382">
        <f>Table13723[[#This Row],[DATE  CLOSED]]-Table13723[[#This Row],[INITIATION DATE]]</f>
        <v>-44454</v>
      </c>
    </row>
    <row r="167" spans="1:19" ht="25.35" customHeight="1" x14ac:dyDescent="0.2">
      <c r="A167" s="323" t="s">
        <v>6438</v>
      </c>
      <c r="B167" s="325">
        <v>44454</v>
      </c>
      <c r="C167" s="328" t="s">
        <v>6440</v>
      </c>
      <c r="D167" s="328" t="s">
        <v>6439</v>
      </c>
      <c r="E167" s="323" t="s">
        <v>4033</v>
      </c>
      <c r="F167" s="323">
        <v>1</v>
      </c>
      <c r="G167" s="323" t="s">
        <v>2828</v>
      </c>
      <c r="H167" s="323" t="s">
        <v>4079</v>
      </c>
      <c r="I167" s="323" t="s">
        <v>3211</v>
      </c>
      <c r="J167" s="325">
        <v>44500</v>
      </c>
      <c r="K167" s="325"/>
      <c r="L167" s="325"/>
      <c r="M167" s="323" t="s">
        <v>2847</v>
      </c>
      <c r="N167" s="323"/>
      <c r="O167" s="359"/>
      <c r="P167" s="323"/>
      <c r="Q167" s="323"/>
      <c r="R167" s="505"/>
      <c r="S167" s="382">
        <f>Table13723[[#This Row],[DATE  CLOSED]]-Table13723[[#This Row],[INITIATION DATE]]</f>
        <v>-44454</v>
      </c>
    </row>
    <row r="168" spans="1:19" ht="25.35" customHeight="1" x14ac:dyDescent="0.2">
      <c r="A168" s="323" t="s">
        <v>6441</v>
      </c>
      <c r="B168" s="325">
        <v>44456</v>
      </c>
      <c r="C168" s="328" t="s">
        <v>6443</v>
      </c>
      <c r="D168" s="328" t="s">
        <v>6442</v>
      </c>
      <c r="E168" s="323" t="s">
        <v>6328</v>
      </c>
      <c r="F168" s="323">
        <v>1</v>
      </c>
      <c r="G168" s="323" t="s">
        <v>2836</v>
      </c>
      <c r="H168" s="323" t="s">
        <v>685</v>
      </c>
      <c r="I168" s="323" t="s">
        <v>229</v>
      </c>
      <c r="J168" s="325">
        <v>44469</v>
      </c>
      <c r="K168" s="325"/>
      <c r="L168" s="325"/>
      <c r="M168" s="323" t="s">
        <v>2853</v>
      </c>
      <c r="N168" s="323" t="s">
        <v>2088</v>
      </c>
      <c r="O168" s="359">
        <v>44463</v>
      </c>
      <c r="P168" s="323" t="s">
        <v>3061</v>
      </c>
      <c r="Q168" s="323" t="s">
        <v>2829</v>
      </c>
      <c r="R168" s="505"/>
      <c r="S168" s="382">
        <f>Table13723[[#This Row],[DATE  CLOSED]]-Table13723[[#This Row],[INITIATION DATE]]</f>
        <v>7</v>
      </c>
    </row>
    <row r="169" spans="1:19" ht="25.35" customHeight="1" x14ac:dyDescent="0.2">
      <c r="A169" s="323" t="s">
        <v>6444</v>
      </c>
      <c r="B169" s="325">
        <v>44461</v>
      </c>
      <c r="C169" s="328" t="s">
        <v>6445</v>
      </c>
      <c r="D169" s="328" t="s">
        <v>3039</v>
      </c>
      <c r="E169" s="323" t="s">
        <v>6328</v>
      </c>
      <c r="F169" s="323">
        <v>1</v>
      </c>
      <c r="G169" s="323" t="s">
        <v>2841</v>
      </c>
      <c r="H169" s="323" t="s">
        <v>3991</v>
      </c>
      <c r="I169" s="323" t="s">
        <v>229</v>
      </c>
      <c r="J169" s="325">
        <v>44500</v>
      </c>
      <c r="K169" s="325"/>
      <c r="L169" s="325"/>
      <c r="M169" s="323" t="s">
        <v>2847</v>
      </c>
      <c r="N169" s="323"/>
      <c r="O169" s="359"/>
      <c r="P169" s="323"/>
      <c r="Q169" s="323"/>
      <c r="R169" s="505"/>
      <c r="S169" s="382">
        <f>Table13723[[#This Row],[DATE  CLOSED]]-Table13723[[#This Row],[INITIATION DATE]]</f>
        <v>-44461</v>
      </c>
    </row>
    <row r="170" spans="1:19" ht="25.35" customHeight="1" x14ac:dyDescent="0.2">
      <c r="A170" s="323" t="s">
        <v>6446</v>
      </c>
      <c r="B170" s="325">
        <v>44463</v>
      </c>
      <c r="C170" s="328" t="s">
        <v>6447</v>
      </c>
      <c r="D170" s="328" t="s">
        <v>5826</v>
      </c>
      <c r="E170" s="323" t="s">
        <v>6328</v>
      </c>
      <c r="F170" s="323">
        <v>1</v>
      </c>
      <c r="G170" s="323" t="s">
        <v>2841</v>
      </c>
      <c r="H170" s="323" t="s">
        <v>4079</v>
      </c>
      <c r="I170" s="323" t="s">
        <v>3211</v>
      </c>
      <c r="J170" s="325">
        <v>44500</v>
      </c>
      <c r="K170" s="325"/>
      <c r="L170" s="325"/>
      <c r="M170" s="323" t="s">
        <v>2847</v>
      </c>
      <c r="N170" s="323"/>
      <c r="O170" s="359"/>
      <c r="P170" s="323"/>
      <c r="Q170" s="323"/>
      <c r="R170" s="505"/>
      <c r="S170" s="382">
        <f>Table13723[[#This Row],[DATE  CLOSED]]-Table13723[[#This Row],[INITIATION DATE]]</f>
        <v>-44463</v>
      </c>
    </row>
    <row r="171" spans="1:19" ht="25.35" customHeight="1" x14ac:dyDescent="0.2">
      <c r="A171" s="323" t="s">
        <v>6448</v>
      </c>
      <c r="B171" s="325">
        <v>44463</v>
      </c>
      <c r="C171" s="328" t="s">
        <v>6449</v>
      </c>
      <c r="D171" s="328" t="s">
        <v>3307</v>
      </c>
      <c r="E171" s="323" t="s">
        <v>6328</v>
      </c>
      <c r="F171" s="323">
        <v>1</v>
      </c>
      <c r="G171" s="323" t="s">
        <v>2836</v>
      </c>
      <c r="H171" s="323" t="s">
        <v>4079</v>
      </c>
      <c r="I171" s="323" t="s">
        <v>229</v>
      </c>
      <c r="J171" s="325">
        <v>44530</v>
      </c>
      <c r="K171" s="325"/>
      <c r="L171" s="325"/>
      <c r="M171" s="323" t="s">
        <v>2847</v>
      </c>
      <c r="N171" s="323"/>
      <c r="O171" s="359"/>
      <c r="P171" s="323"/>
      <c r="Q171" s="323"/>
      <c r="R171" s="505"/>
      <c r="S171" s="382">
        <f>Table13723[[#This Row],[DATE  CLOSED]]-Table13723[[#This Row],[INITIATION DATE]]</f>
        <v>-44463</v>
      </c>
    </row>
    <row r="172" spans="1:19" ht="25.35" customHeight="1" x14ac:dyDescent="0.2">
      <c r="A172" s="323" t="s">
        <v>6450</v>
      </c>
      <c r="B172" s="325">
        <v>44474</v>
      </c>
      <c r="C172" s="328" t="s">
        <v>6451</v>
      </c>
      <c r="D172" s="328" t="s">
        <v>6452</v>
      </c>
      <c r="E172" s="323" t="s">
        <v>6328</v>
      </c>
      <c r="F172" s="323">
        <v>1</v>
      </c>
      <c r="G172" s="323" t="s">
        <v>2828</v>
      </c>
      <c r="H172" s="323" t="s">
        <v>4079</v>
      </c>
      <c r="I172" s="323" t="s">
        <v>6188</v>
      </c>
      <c r="J172" s="325">
        <v>44561</v>
      </c>
      <c r="K172" s="325"/>
      <c r="L172" s="325"/>
      <c r="M172" s="323" t="s">
        <v>2847</v>
      </c>
      <c r="N172" s="323"/>
      <c r="O172" s="359"/>
      <c r="P172" s="323"/>
      <c r="Q172" s="323"/>
      <c r="R172" s="507"/>
      <c r="S172" s="382">
        <f>Table13723[[#This Row],[DATE  CLOSED]]-Table13723[[#This Row],[INITIATION DATE]]</f>
        <v>-44474</v>
      </c>
    </row>
    <row r="173" spans="1:19" ht="25.35" customHeight="1" x14ac:dyDescent="0.2">
      <c r="A173" s="323" t="s">
        <v>6454</v>
      </c>
      <c r="B173" s="325">
        <v>44474</v>
      </c>
      <c r="C173" s="328" t="s">
        <v>6455</v>
      </c>
      <c r="D173" s="328" t="s">
        <v>6453</v>
      </c>
      <c r="E173" s="323" t="s">
        <v>6328</v>
      </c>
      <c r="F173" s="323">
        <v>1</v>
      </c>
      <c r="G173" s="323" t="s">
        <v>2828</v>
      </c>
      <c r="H173" s="323" t="s">
        <v>3729</v>
      </c>
      <c r="I173" s="323" t="s">
        <v>6188</v>
      </c>
      <c r="J173" s="325">
        <v>44561</v>
      </c>
      <c r="K173" s="325"/>
      <c r="L173" s="325"/>
      <c r="M173" s="323" t="s">
        <v>2847</v>
      </c>
      <c r="N173" s="323"/>
      <c r="O173" s="359"/>
      <c r="P173" s="323"/>
      <c r="Q173" s="323"/>
      <c r="R173" s="507"/>
      <c r="S173" s="382">
        <f>Table13723[[#This Row],[DATE  CLOSED]]-Table13723[[#This Row],[INITIATION DATE]]</f>
        <v>-44474</v>
      </c>
    </row>
    <row r="174" spans="1:19" ht="25.35" customHeight="1" x14ac:dyDescent="0.2">
      <c r="A174" s="323"/>
      <c r="B174" s="325"/>
      <c r="C174" s="328"/>
      <c r="D174" s="328"/>
      <c r="E174" s="323"/>
      <c r="F174" s="323"/>
      <c r="G174" s="323"/>
      <c r="H174" s="323"/>
      <c r="I174" s="323"/>
      <c r="J174" s="325"/>
      <c r="K174" s="325"/>
      <c r="L174" s="325"/>
      <c r="M174" s="323"/>
      <c r="N174" s="323"/>
      <c r="O174" s="359"/>
      <c r="P174" s="323"/>
      <c r="Q174" s="323"/>
      <c r="R174" s="507"/>
      <c r="S174" s="382">
        <f>Table13723[[#This Row],[DATE  CLOSED]]-Table13723[[#This Row],[INITIATION DATE]]</f>
        <v>0</v>
      </c>
    </row>
    <row r="175" spans="1:19" ht="25.35" customHeight="1" x14ac:dyDescent="0.2">
      <c r="A175" s="323"/>
      <c r="B175" s="325"/>
      <c r="C175" s="328"/>
      <c r="D175" s="328"/>
      <c r="E175" s="323"/>
      <c r="F175" s="323"/>
      <c r="G175" s="323"/>
      <c r="H175" s="323"/>
      <c r="I175" s="323"/>
      <c r="J175" s="325"/>
      <c r="K175" s="325"/>
      <c r="L175" s="325"/>
      <c r="M175" s="323"/>
      <c r="N175" s="323"/>
      <c r="O175" s="359"/>
      <c r="P175" s="323"/>
      <c r="Q175" s="323"/>
      <c r="R175" s="507"/>
      <c r="S175" s="382">
        <f>Table13723[[#This Row],[DATE  CLOSED]]-Table13723[[#This Row],[INITIATION DATE]]</f>
        <v>0</v>
      </c>
    </row>
    <row r="176" spans="1:19" ht="25.35" customHeight="1" x14ac:dyDescent="0.2">
      <c r="A176" s="323"/>
      <c r="B176" s="325"/>
      <c r="C176" s="328"/>
      <c r="D176" s="328"/>
      <c r="E176" s="323"/>
      <c r="F176" s="323"/>
      <c r="G176" s="323"/>
      <c r="H176" s="323"/>
      <c r="I176" s="323"/>
      <c r="J176" s="325"/>
      <c r="K176" s="325"/>
      <c r="L176" s="325"/>
      <c r="M176" s="323"/>
      <c r="N176" s="323"/>
      <c r="O176" s="359"/>
      <c r="P176" s="323"/>
      <c r="Q176" s="323"/>
      <c r="R176" s="507"/>
      <c r="S176" s="382">
        <f>Table13723[[#This Row],[DATE  CLOSED]]-Table13723[[#This Row],[INITIATION DATE]]</f>
        <v>0</v>
      </c>
    </row>
    <row r="177" spans="1:19" ht="25.35" customHeight="1" x14ac:dyDescent="0.2">
      <c r="A177" s="323"/>
      <c r="B177" s="325"/>
      <c r="C177" s="328"/>
      <c r="D177" s="328"/>
      <c r="E177" s="323"/>
      <c r="F177" s="323"/>
      <c r="G177" s="323"/>
      <c r="H177" s="323"/>
      <c r="I177" s="323"/>
      <c r="J177" s="325"/>
      <c r="K177" s="325"/>
      <c r="L177" s="325"/>
      <c r="M177" s="323"/>
      <c r="N177" s="323"/>
      <c r="O177" s="359"/>
      <c r="P177" s="323"/>
      <c r="Q177" s="323"/>
      <c r="R177" s="507"/>
      <c r="S177" s="382">
        <f>Table13723[[#This Row],[DATE  CLOSED]]-Table13723[[#This Row],[INITIATION DATE]]</f>
        <v>0</v>
      </c>
    </row>
    <row r="178" spans="1:19" ht="25.35" customHeight="1" x14ac:dyDescent="0.2">
      <c r="A178" s="323"/>
      <c r="B178" s="325"/>
      <c r="C178" s="328"/>
      <c r="D178" s="328"/>
      <c r="E178" s="323"/>
      <c r="F178" s="323"/>
      <c r="G178" s="323"/>
      <c r="H178" s="323"/>
      <c r="I178" s="323"/>
      <c r="J178" s="325"/>
      <c r="K178" s="325"/>
      <c r="L178" s="325"/>
      <c r="M178" s="323"/>
      <c r="N178" s="323"/>
      <c r="O178" s="359"/>
      <c r="P178" s="323"/>
      <c r="Q178" s="323"/>
      <c r="R178" s="507"/>
      <c r="S178" s="382">
        <f>Table13723[[#This Row],[DATE  CLOSED]]-Table13723[[#This Row],[INITIATION DATE]]</f>
        <v>0</v>
      </c>
    </row>
    <row r="179" spans="1:19" ht="25.35" customHeight="1" x14ac:dyDescent="0.2">
      <c r="A179" s="323"/>
      <c r="B179" s="325"/>
      <c r="C179" s="328"/>
      <c r="D179" s="328"/>
      <c r="E179" s="323"/>
      <c r="F179" s="323"/>
      <c r="G179" s="323"/>
      <c r="H179" s="323"/>
      <c r="I179" s="323"/>
      <c r="J179" s="325"/>
      <c r="K179" s="325"/>
      <c r="L179" s="325"/>
      <c r="M179" s="323"/>
      <c r="N179" s="323"/>
      <c r="O179" s="359"/>
      <c r="P179" s="323"/>
      <c r="Q179" s="323"/>
      <c r="R179" s="507"/>
      <c r="S179" s="382">
        <f>Table13723[[#This Row],[DATE  CLOSED]]-Table13723[[#This Row],[INITIATION DATE]]</f>
        <v>0</v>
      </c>
    </row>
    <row r="180" spans="1:19" ht="25.35" customHeight="1" x14ac:dyDescent="0.2">
      <c r="A180" s="323"/>
      <c r="B180" s="325"/>
      <c r="C180" s="328"/>
      <c r="D180" s="328"/>
      <c r="E180" s="323"/>
      <c r="F180" s="323"/>
      <c r="G180" s="323"/>
      <c r="H180" s="323"/>
      <c r="I180" s="323"/>
      <c r="J180" s="325"/>
      <c r="K180" s="325"/>
      <c r="L180" s="325"/>
      <c r="M180" s="323"/>
      <c r="N180" s="323"/>
      <c r="O180" s="359"/>
      <c r="P180" s="323"/>
      <c r="Q180" s="323"/>
      <c r="R180" s="507"/>
      <c r="S180" s="382">
        <f>Table13723[[#This Row],[DATE  CLOSED]]-Table13723[[#This Row],[INITIATION DATE]]</f>
        <v>0</v>
      </c>
    </row>
    <row r="181" spans="1:19" ht="25.35" customHeight="1" x14ac:dyDescent="0.2">
      <c r="A181" s="323"/>
      <c r="B181" s="325"/>
      <c r="C181" s="328"/>
      <c r="D181" s="328"/>
      <c r="E181" s="323"/>
      <c r="F181" s="323"/>
      <c r="G181" s="323"/>
      <c r="H181" s="323"/>
      <c r="I181" s="323"/>
      <c r="J181" s="325"/>
      <c r="K181" s="325"/>
      <c r="L181" s="325"/>
      <c r="M181" s="323"/>
      <c r="N181" s="323"/>
      <c r="O181" s="359"/>
      <c r="P181" s="323"/>
      <c r="Q181" s="323"/>
      <c r="R181" s="507"/>
      <c r="S181" s="382">
        <f>Table13723[[#This Row],[DATE  CLOSED]]-Table13723[[#This Row],[INITIATION DATE]]</f>
        <v>0</v>
      </c>
    </row>
    <row r="182" spans="1:19" ht="25.35" customHeight="1" x14ac:dyDescent="0.2">
      <c r="A182" s="323"/>
      <c r="B182" s="325"/>
      <c r="C182" s="328"/>
      <c r="D182" s="328"/>
      <c r="E182" s="323"/>
      <c r="F182" s="323"/>
      <c r="G182" s="323"/>
      <c r="H182" s="323"/>
      <c r="I182" s="323"/>
      <c r="J182" s="325"/>
      <c r="K182" s="325"/>
      <c r="L182" s="325"/>
      <c r="M182" s="323"/>
      <c r="N182" s="323"/>
      <c r="O182" s="359"/>
      <c r="P182" s="323"/>
      <c r="Q182" s="323"/>
      <c r="R182" s="507"/>
      <c r="S182" s="382">
        <f>Table13723[[#This Row],[DATE  CLOSED]]-Table13723[[#This Row],[INITIATION DATE]]</f>
        <v>0</v>
      </c>
    </row>
    <row r="183" spans="1:19" ht="25.35" customHeight="1" x14ac:dyDescent="0.2">
      <c r="A183" s="323"/>
      <c r="B183" s="325"/>
      <c r="C183" s="328"/>
      <c r="D183" s="328"/>
      <c r="E183" s="323"/>
      <c r="F183" s="323"/>
      <c r="G183" s="323"/>
      <c r="H183" s="323"/>
      <c r="I183" s="323"/>
      <c r="J183" s="325"/>
      <c r="K183" s="325"/>
      <c r="L183" s="325"/>
      <c r="M183" s="323"/>
      <c r="N183" s="323"/>
      <c r="O183" s="359"/>
      <c r="P183" s="323"/>
      <c r="Q183" s="323"/>
      <c r="R183" s="507"/>
      <c r="S183" s="382">
        <f>Table13723[[#This Row],[DATE  CLOSED]]-Table13723[[#This Row],[INITIATION DATE]]</f>
        <v>0</v>
      </c>
    </row>
    <row r="184" spans="1:19" ht="25.35" customHeight="1" x14ac:dyDescent="0.2">
      <c r="A184" s="323"/>
      <c r="B184" s="325"/>
      <c r="C184" s="328"/>
      <c r="D184" s="328"/>
      <c r="E184" s="323"/>
      <c r="F184" s="323"/>
      <c r="G184" s="323"/>
      <c r="H184" s="323"/>
      <c r="I184" s="323"/>
      <c r="J184" s="325"/>
      <c r="K184" s="325"/>
      <c r="L184" s="325"/>
      <c r="M184" s="323"/>
      <c r="N184" s="323"/>
      <c r="O184" s="359"/>
      <c r="P184" s="323"/>
      <c r="Q184" s="323"/>
      <c r="R184" s="507"/>
      <c r="S184" s="382">
        <f>Table13723[[#This Row],[DATE  CLOSED]]-Table13723[[#This Row],[INITIATION DATE]]</f>
        <v>0</v>
      </c>
    </row>
  </sheetData>
  <phoneticPr fontId="40"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0000000}">
          <x14:formula1>
            <xm:f>DropDownLists!$F$2:$F$7</xm:f>
          </x14:formula1>
          <xm:sqref>Q233:Q1048576 Q2:Q184</xm:sqref>
        </x14:dataValidation>
        <x14:dataValidation type="list" allowBlank="1" showInputMessage="1" showErrorMessage="1" xr:uid="{00000000-0002-0000-0100-000002000000}">
          <x14:formula1>
            <xm:f>DropDownLists!$E$2:$E$4</xm:f>
          </x14:formula1>
          <xm:sqref>P233:P1048576 P2:P184</xm:sqref>
        </x14:dataValidation>
        <x14:dataValidation type="list" allowBlank="1" showInputMessage="1" showErrorMessage="1" xr:uid="{00000000-0002-0000-0100-000003000000}">
          <x14:formula1>
            <xm:f>DropDownLists!$D$2:$D$4</xm:f>
          </x14:formula1>
          <xm:sqref>N233:N1048576 N2:N184</xm:sqref>
        </x14:dataValidation>
        <x14:dataValidation type="list" allowBlank="1" showInputMessage="1" showErrorMessage="1" xr:uid="{00000000-0002-0000-0100-000004000000}">
          <x14:formula1>
            <xm:f>DropDownLists!$B$2:$B$8</xm:f>
          </x14:formula1>
          <xm:sqref>G233:G1048576 G2:G184</xm:sqref>
        </x14:dataValidation>
        <x14:dataValidation type="list" allowBlank="1" showInputMessage="1" showErrorMessage="1" xr:uid="{00000000-0002-0000-0100-000001000000}">
          <x14:formula1>
            <xm:f>DropDownLists!$C$2:$C$4</xm:f>
          </x14:formula1>
          <xm:sqref>M2:M184</xm:sqref>
        </x14:dataValidation>
        <x14:dataValidation type="list" allowBlank="1" showInputMessage="1" showErrorMessage="1" xr:uid="{00000000-0002-0000-0100-000005000000}">
          <x14:formula1>
            <xm:f>DropDownLists!$A$2:$A$3</xm:f>
          </x14:formula1>
          <xm:sqref>F2:F184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S230"/>
  <sheetViews>
    <sheetView zoomScaleNormal="100" workbookViewId="0">
      <pane xSplit="1" topLeftCell="B1" activePane="topRight" state="frozen"/>
      <selection pane="topRight" activeCell="A2" sqref="A2:S230"/>
    </sheetView>
  </sheetViews>
  <sheetFormatPr defaultRowHeight="25.35" customHeight="1" x14ac:dyDescent="0.2"/>
  <cols>
    <col min="1" max="1" width="10.5703125" bestFit="1" customWidth="1"/>
    <col min="2" max="2" width="18.5703125" customWidth="1"/>
    <col min="3" max="3" width="56.42578125" customWidth="1"/>
    <col min="4" max="4" width="46.5703125" customWidth="1"/>
    <col min="5" max="5" width="21.5703125" customWidth="1"/>
    <col min="6" max="6" width="10.42578125" bestFit="1" customWidth="1"/>
    <col min="7" max="7" width="24.5703125" customWidth="1"/>
    <col min="8" max="9" width="13.5703125" bestFit="1" customWidth="1"/>
    <col min="10" max="10" width="15.42578125" customWidth="1"/>
    <col min="11" max="12" width="12.5703125" bestFit="1" customWidth="1"/>
    <col min="13" max="13" width="13.5703125" bestFit="1" customWidth="1"/>
    <col min="14" max="15" width="12.5703125" bestFit="1" customWidth="1"/>
    <col min="16" max="16" width="14.42578125" customWidth="1"/>
    <col min="17" max="17" width="13.42578125" bestFit="1" customWidth="1"/>
    <col min="18" max="18" width="17.5703125" customWidth="1"/>
  </cols>
  <sheetData>
    <row r="1" spans="1:19" ht="25.35" customHeight="1" x14ac:dyDescent="0.2">
      <c r="A1" s="351" t="s">
        <v>2808</v>
      </c>
      <c r="B1" s="320" t="s">
        <v>2809</v>
      </c>
      <c r="C1" s="319" t="s">
        <v>2810</v>
      </c>
      <c r="D1" s="319" t="s">
        <v>2811</v>
      </c>
      <c r="E1" s="319" t="s">
        <v>2812</v>
      </c>
      <c r="F1" s="319" t="s">
        <v>3408</v>
      </c>
      <c r="G1" s="319" t="s">
        <v>2814</v>
      </c>
      <c r="H1" s="319" t="s">
        <v>5528</v>
      </c>
      <c r="I1" s="319" t="s">
        <v>2816</v>
      </c>
      <c r="J1" s="320" t="s">
        <v>2817</v>
      </c>
      <c r="K1" s="320" t="s">
        <v>5011</v>
      </c>
      <c r="L1" s="320" t="s">
        <v>5012</v>
      </c>
      <c r="M1" s="319" t="s">
        <v>2818</v>
      </c>
      <c r="N1" s="321" t="s">
        <v>2819</v>
      </c>
      <c r="O1" s="322" t="s">
        <v>2820</v>
      </c>
      <c r="P1" s="321" t="s">
        <v>2821</v>
      </c>
      <c r="Q1" s="321" t="s">
        <v>2822</v>
      </c>
      <c r="R1" s="201" t="s">
        <v>2823</v>
      </c>
      <c r="S1" s="380" t="s">
        <v>4213</v>
      </c>
    </row>
    <row r="2" spans="1:19" ht="25.35" customHeight="1" x14ac:dyDescent="0.2">
      <c r="A2" s="346" t="s">
        <v>5285</v>
      </c>
      <c r="B2" s="325">
        <v>43833</v>
      </c>
      <c r="C2" s="328" t="s">
        <v>5286</v>
      </c>
      <c r="D2" s="329" t="s">
        <v>5287</v>
      </c>
      <c r="E2" s="323" t="s">
        <v>2971</v>
      </c>
      <c r="F2" s="323">
        <v>1</v>
      </c>
      <c r="G2" s="323" t="s">
        <v>2841</v>
      </c>
      <c r="H2" s="323" t="s">
        <v>834</v>
      </c>
      <c r="I2" s="323" t="s">
        <v>229</v>
      </c>
      <c r="J2" s="325">
        <v>43889</v>
      </c>
      <c r="K2" s="325"/>
      <c r="L2" s="325"/>
      <c r="M2" s="323" t="s">
        <v>2853</v>
      </c>
      <c r="N2" s="323" t="s">
        <v>2088</v>
      </c>
      <c r="O2" s="359">
        <v>43859</v>
      </c>
      <c r="P2" s="323" t="s">
        <v>3061</v>
      </c>
      <c r="Q2" s="323" t="s">
        <v>2829</v>
      </c>
      <c r="R2" s="375"/>
      <c r="S2" s="323">
        <f>Table1372[[#This Row],[DATE  CLOSED]]-Table1372[[#This Row],[INITIATION DATE]]</f>
        <v>26</v>
      </c>
    </row>
    <row r="3" spans="1:19" ht="25.35" customHeight="1" x14ac:dyDescent="0.2">
      <c r="A3" s="349" t="s">
        <v>5288</v>
      </c>
      <c r="B3" s="325">
        <v>43837</v>
      </c>
      <c r="C3" s="328" t="s">
        <v>5289</v>
      </c>
      <c r="D3" s="328" t="s">
        <v>5290</v>
      </c>
      <c r="E3" s="323" t="s">
        <v>3386</v>
      </c>
      <c r="F3" s="323">
        <v>1</v>
      </c>
      <c r="G3" s="323" t="s">
        <v>2828</v>
      </c>
      <c r="H3" s="323" t="s">
        <v>4079</v>
      </c>
      <c r="I3" s="323" t="s">
        <v>3211</v>
      </c>
      <c r="J3" s="325">
        <v>43861</v>
      </c>
      <c r="K3" s="325"/>
      <c r="L3" s="325"/>
      <c r="M3" s="326" t="s">
        <v>2853</v>
      </c>
      <c r="N3" s="326" t="s">
        <v>2088</v>
      </c>
      <c r="O3" s="359">
        <v>43843</v>
      </c>
      <c r="P3" s="326" t="s">
        <v>3061</v>
      </c>
      <c r="Q3" s="326" t="s">
        <v>2829</v>
      </c>
      <c r="R3" s="375"/>
      <c r="S3" s="323">
        <f>Table1372[[#This Row],[DATE  CLOSED]]-Table1372[[#This Row],[INITIATION DATE]]</f>
        <v>6</v>
      </c>
    </row>
    <row r="4" spans="1:19" ht="25.35" customHeight="1" x14ac:dyDescent="0.2">
      <c r="A4" s="349" t="s">
        <v>5291</v>
      </c>
      <c r="B4" s="325">
        <v>43840</v>
      </c>
      <c r="C4" s="328" t="s">
        <v>5292</v>
      </c>
      <c r="D4" s="328" t="s">
        <v>5293</v>
      </c>
      <c r="E4" s="323" t="s">
        <v>2971</v>
      </c>
      <c r="F4" s="323">
        <v>1</v>
      </c>
      <c r="G4" s="323" t="s">
        <v>2836</v>
      </c>
      <c r="H4" s="323" t="s">
        <v>481</v>
      </c>
      <c r="I4" s="323" t="s">
        <v>229</v>
      </c>
      <c r="J4" s="325">
        <v>43861</v>
      </c>
      <c r="K4" s="325"/>
      <c r="L4" s="325"/>
      <c r="M4" s="323" t="s">
        <v>2853</v>
      </c>
      <c r="N4" s="323" t="s">
        <v>2088</v>
      </c>
      <c r="O4" s="359">
        <v>43850</v>
      </c>
      <c r="P4" s="323" t="s">
        <v>3061</v>
      </c>
      <c r="Q4" s="323" t="s">
        <v>2829</v>
      </c>
      <c r="R4" s="375"/>
      <c r="S4" s="323">
        <f>Table1372[[#This Row],[DATE  CLOSED]]-Table1372[[#This Row],[INITIATION DATE]]</f>
        <v>10</v>
      </c>
    </row>
    <row r="5" spans="1:19" ht="25.35" customHeight="1" x14ac:dyDescent="0.2">
      <c r="A5" s="349" t="s">
        <v>5294</v>
      </c>
      <c r="B5" s="325">
        <v>43843</v>
      </c>
      <c r="C5" s="328" t="s">
        <v>5295</v>
      </c>
      <c r="D5" s="328" t="s">
        <v>5296</v>
      </c>
      <c r="E5" s="323" t="s">
        <v>4675</v>
      </c>
      <c r="F5" s="323">
        <v>1</v>
      </c>
      <c r="G5" s="323" t="s">
        <v>2828</v>
      </c>
      <c r="H5" s="323" t="s">
        <v>3423</v>
      </c>
      <c r="I5" s="323" t="s">
        <v>3211</v>
      </c>
      <c r="J5" s="325">
        <v>43861</v>
      </c>
      <c r="K5" s="325"/>
      <c r="L5" s="325"/>
      <c r="M5" s="323" t="s">
        <v>2853</v>
      </c>
      <c r="N5" s="323" t="s">
        <v>2088</v>
      </c>
      <c r="O5" s="359">
        <v>43843</v>
      </c>
      <c r="P5" s="323" t="s">
        <v>3061</v>
      </c>
      <c r="Q5" s="323" t="s">
        <v>2829</v>
      </c>
      <c r="R5" s="375"/>
      <c r="S5" s="323">
        <f>Table1372[[#This Row],[DATE  CLOSED]]-Table1372[[#This Row],[INITIATION DATE]]</f>
        <v>0</v>
      </c>
    </row>
    <row r="6" spans="1:19" ht="25.35" customHeight="1" x14ac:dyDescent="0.2">
      <c r="A6" s="346" t="s">
        <v>5297</v>
      </c>
      <c r="B6" s="325">
        <v>43845</v>
      </c>
      <c r="C6" s="329" t="s">
        <v>5298</v>
      </c>
      <c r="D6" s="329" t="s">
        <v>5299</v>
      </c>
      <c r="E6" s="326" t="s">
        <v>4675</v>
      </c>
      <c r="F6" s="323">
        <v>1</v>
      </c>
      <c r="G6" s="326" t="s">
        <v>2828</v>
      </c>
      <c r="H6" s="326" t="s">
        <v>3423</v>
      </c>
      <c r="I6" s="326" t="s">
        <v>3211</v>
      </c>
      <c r="J6" s="325">
        <v>43861</v>
      </c>
      <c r="K6" s="325"/>
      <c r="L6" s="325"/>
      <c r="M6" s="326" t="s">
        <v>2853</v>
      </c>
      <c r="N6" s="323" t="s">
        <v>2088</v>
      </c>
      <c r="O6" s="359">
        <v>43846</v>
      </c>
      <c r="P6" s="323" t="s">
        <v>3061</v>
      </c>
      <c r="Q6" s="323" t="s">
        <v>2829</v>
      </c>
      <c r="R6" s="375"/>
      <c r="S6" s="323">
        <f>Table1372[[#This Row],[DATE  CLOSED]]-Table1372[[#This Row],[INITIATION DATE]]</f>
        <v>1</v>
      </c>
    </row>
    <row r="7" spans="1:19" ht="25.35" customHeight="1" x14ac:dyDescent="0.2">
      <c r="A7" s="346" t="s">
        <v>5300</v>
      </c>
      <c r="B7" s="327">
        <v>43846</v>
      </c>
      <c r="C7" s="328" t="s">
        <v>5301</v>
      </c>
      <c r="D7" s="328" t="s">
        <v>5302</v>
      </c>
      <c r="E7" s="326" t="s">
        <v>2971</v>
      </c>
      <c r="F7" s="323">
        <v>1</v>
      </c>
      <c r="G7" s="326" t="s">
        <v>2841</v>
      </c>
      <c r="H7" s="326" t="s">
        <v>229</v>
      </c>
      <c r="I7" s="326" t="s">
        <v>755</v>
      </c>
      <c r="J7" s="325">
        <v>43861</v>
      </c>
      <c r="K7" s="325"/>
      <c r="L7" s="325"/>
      <c r="M7" s="326" t="s">
        <v>2853</v>
      </c>
      <c r="N7" s="326" t="s">
        <v>2088</v>
      </c>
      <c r="O7" s="359">
        <v>43859</v>
      </c>
      <c r="P7" s="326" t="s">
        <v>3061</v>
      </c>
      <c r="Q7" s="326" t="s">
        <v>2829</v>
      </c>
      <c r="R7" s="375"/>
      <c r="S7" s="323">
        <f>Table1372[[#This Row],[DATE  CLOSED]]-Table1372[[#This Row],[INITIATION DATE]]</f>
        <v>13</v>
      </c>
    </row>
    <row r="8" spans="1:19" ht="25.35" customHeight="1" x14ac:dyDescent="0.2">
      <c r="A8" s="346" t="s">
        <v>5303</v>
      </c>
      <c r="B8" s="325">
        <v>43846</v>
      </c>
      <c r="C8" s="328" t="s">
        <v>5304</v>
      </c>
      <c r="D8" s="329" t="s">
        <v>5305</v>
      </c>
      <c r="E8" s="326" t="s">
        <v>2971</v>
      </c>
      <c r="F8" s="323">
        <v>1</v>
      </c>
      <c r="G8" s="326" t="s">
        <v>2841</v>
      </c>
      <c r="H8" s="326" t="s">
        <v>229</v>
      </c>
      <c r="I8" s="326" t="s">
        <v>755</v>
      </c>
      <c r="J8" s="325">
        <v>43861</v>
      </c>
      <c r="K8" s="325"/>
      <c r="L8" s="325"/>
      <c r="M8" s="326" t="s">
        <v>2853</v>
      </c>
      <c r="N8" s="323" t="s">
        <v>2088</v>
      </c>
      <c r="O8" s="359">
        <v>43857</v>
      </c>
      <c r="P8" s="323" t="s">
        <v>3061</v>
      </c>
      <c r="Q8" s="323" t="s">
        <v>2829</v>
      </c>
      <c r="R8" s="375"/>
      <c r="S8" s="323">
        <f>Table1372[[#This Row],[DATE  CLOSED]]-Table1372[[#This Row],[INITIATION DATE]]</f>
        <v>11</v>
      </c>
    </row>
    <row r="9" spans="1:19" ht="25.35" customHeight="1" x14ac:dyDescent="0.2">
      <c r="A9" s="346" t="s">
        <v>5306</v>
      </c>
      <c r="B9" s="325">
        <v>43847</v>
      </c>
      <c r="C9" s="329" t="s">
        <v>5307</v>
      </c>
      <c r="D9" s="329" t="s">
        <v>5308</v>
      </c>
      <c r="E9" s="326" t="s">
        <v>2971</v>
      </c>
      <c r="F9" s="323">
        <v>1</v>
      </c>
      <c r="G9" s="326" t="s">
        <v>2841</v>
      </c>
      <c r="H9" s="326" t="s">
        <v>229</v>
      </c>
      <c r="I9" s="326" t="s">
        <v>755</v>
      </c>
      <c r="J9" s="325">
        <v>43861</v>
      </c>
      <c r="K9" s="325"/>
      <c r="L9" s="325"/>
      <c r="M9" s="326" t="s">
        <v>2853</v>
      </c>
      <c r="N9" s="323" t="s">
        <v>2088</v>
      </c>
      <c r="O9" s="359">
        <v>43850</v>
      </c>
      <c r="P9" s="323" t="s">
        <v>3061</v>
      </c>
      <c r="Q9" s="323" t="s">
        <v>2829</v>
      </c>
      <c r="R9" s="375"/>
      <c r="S9" s="323">
        <f>Table1372[[#This Row],[DATE  CLOSED]]-Table1372[[#This Row],[INITIATION DATE]]</f>
        <v>3</v>
      </c>
    </row>
    <row r="10" spans="1:19" ht="25.35" customHeight="1" x14ac:dyDescent="0.2">
      <c r="A10" s="346" t="s">
        <v>5309</v>
      </c>
      <c r="B10" s="325">
        <v>43851</v>
      </c>
      <c r="C10" s="328" t="s">
        <v>5310</v>
      </c>
      <c r="D10" s="328" t="s">
        <v>5311</v>
      </c>
      <c r="E10" s="323" t="s">
        <v>5312</v>
      </c>
      <c r="F10" s="323">
        <v>1</v>
      </c>
      <c r="G10" s="323" t="s">
        <v>2828</v>
      </c>
      <c r="H10" s="323" t="s">
        <v>4021</v>
      </c>
      <c r="I10" s="323" t="s">
        <v>3211</v>
      </c>
      <c r="J10" s="325">
        <v>43890</v>
      </c>
      <c r="K10" s="325"/>
      <c r="L10" s="325"/>
      <c r="M10" s="326" t="s">
        <v>2853</v>
      </c>
      <c r="N10" s="326" t="s">
        <v>2088</v>
      </c>
      <c r="O10" s="359">
        <v>43852</v>
      </c>
      <c r="P10" s="326" t="s">
        <v>3061</v>
      </c>
      <c r="Q10" s="326" t="s">
        <v>2829</v>
      </c>
      <c r="R10" s="375"/>
      <c r="S10" s="323">
        <f>Table1372[[#This Row],[DATE  CLOSED]]-Table1372[[#This Row],[INITIATION DATE]]</f>
        <v>1</v>
      </c>
    </row>
    <row r="11" spans="1:19" ht="25.35" customHeight="1" x14ac:dyDescent="0.2">
      <c r="A11" s="346" t="s">
        <v>5313</v>
      </c>
      <c r="B11" s="325">
        <v>43857</v>
      </c>
      <c r="C11" s="328" t="s">
        <v>5314</v>
      </c>
      <c r="D11" s="328" t="s">
        <v>5315</v>
      </c>
      <c r="E11" s="323" t="s">
        <v>2971</v>
      </c>
      <c r="F11" s="323">
        <v>1</v>
      </c>
      <c r="G11" s="323" t="s">
        <v>2836</v>
      </c>
      <c r="H11" s="323" t="s">
        <v>1123</v>
      </c>
      <c r="I11" s="323" t="s">
        <v>229</v>
      </c>
      <c r="J11" s="325">
        <v>43889</v>
      </c>
      <c r="K11" s="325"/>
      <c r="L11" s="325"/>
      <c r="M11" s="323" t="s">
        <v>2853</v>
      </c>
      <c r="N11" s="323" t="s">
        <v>2088</v>
      </c>
      <c r="O11" s="359">
        <v>43857</v>
      </c>
      <c r="P11" s="323" t="s">
        <v>3061</v>
      </c>
      <c r="Q11" s="323" t="s">
        <v>2829</v>
      </c>
      <c r="R11" s="375"/>
      <c r="S11" s="323">
        <f>Table1372[[#This Row],[DATE  CLOSED]]-Table1372[[#This Row],[INITIATION DATE]]</f>
        <v>0</v>
      </c>
    </row>
    <row r="12" spans="1:19" ht="25.35" customHeight="1" x14ac:dyDescent="0.2">
      <c r="A12" s="349" t="s">
        <v>5316</v>
      </c>
      <c r="B12" s="325">
        <v>43857</v>
      </c>
      <c r="C12" s="329" t="s">
        <v>5317</v>
      </c>
      <c r="D12" s="329" t="s">
        <v>5318</v>
      </c>
      <c r="E12" s="326" t="s">
        <v>3586</v>
      </c>
      <c r="F12" s="323">
        <v>1</v>
      </c>
      <c r="G12" s="326" t="s">
        <v>2828</v>
      </c>
      <c r="H12" s="326" t="s">
        <v>4079</v>
      </c>
      <c r="I12" s="326" t="s">
        <v>3211</v>
      </c>
      <c r="J12" s="325">
        <v>43859</v>
      </c>
      <c r="K12" s="325"/>
      <c r="L12" s="325"/>
      <c r="M12" s="326" t="s">
        <v>2853</v>
      </c>
      <c r="N12" s="323" t="s">
        <v>3022</v>
      </c>
      <c r="O12" s="359">
        <v>43893</v>
      </c>
      <c r="P12" s="323" t="s">
        <v>3022</v>
      </c>
      <c r="Q12" s="323" t="s">
        <v>2832</v>
      </c>
      <c r="R12" s="375"/>
      <c r="S12" s="323">
        <f>Table1372[[#This Row],[DATE  CLOSED]]-Table1372[[#This Row],[INITIATION DATE]]</f>
        <v>36</v>
      </c>
    </row>
    <row r="13" spans="1:19" ht="25.35" customHeight="1" x14ac:dyDescent="0.2">
      <c r="A13" s="349" t="s">
        <v>5319</v>
      </c>
      <c r="B13" s="325">
        <v>43857</v>
      </c>
      <c r="C13" s="329" t="s">
        <v>5320</v>
      </c>
      <c r="D13" s="329" t="s">
        <v>5321</v>
      </c>
      <c r="E13" s="326" t="s">
        <v>2971</v>
      </c>
      <c r="F13" s="323">
        <v>1</v>
      </c>
      <c r="G13" s="326" t="s">
        <v>2836</v>
      </c>
      <c r="H13" s="326" t="s">
        <v>3991</v>
      </c>
      <c r="I13" s="326" t="s">
        <v>229</v>
      </c>
      <c r="J13" s="325">
        <v>43889</v>
      </c>
      <c r="K13" s="325">
        <v>44012</v>
      </c>
      <c r="L13" s="325">
        <v>44196</v>
      </c>
      <c r="M13" s="326" t="s">
        <v>2853</v>
      </c>
      <c r="N13" s="323" t="s">
        <v>3061</v>
      </c>
      <c r="O13" s="359">
        <v>44172</v>
      </c>
      <c r="P13" s="323" t="s">
        <v>3022</v>
      </c>
      <c r="Q13" s="323" t="s">
        <v>2837</v>
      </c>
      <c r="R13" s="375"/>
      <c r="S13" s="323">
        <f>Table1372[[#This Row],[DATE  CLOSED]]-Table1372[[#This Row],[INITIATION DATE]]</f>
        <v>315</v>
      </c>
    </row>
    <row r="14" spans="1:19" ht="25.35" customHeight="1" x14ac:dyDescent="0.2">
      <c r="A14" s="346" t="s">
        <v>5322</v>
      </c>
      <c r="B14" s="325">
        <v>43858</v>
      </c>
      <c r="C14" s="329" t="s">
        <v>5324</v>
      </c>
      <c r="D14" s="329" t="s">
        <v>5323</v>
      </c>
      <c r="E14" s="326" t="s">
        <v>3825</v>
      </c>
      <c r="F14" s="323">
        <v>1</v>
      </c>
      <c r="G14" s="326" t="s">
        <v>2828</v>
      </c>
      <c r="H14" s="326" t="s">
        <v>4232</v>
      </c>
      <c r="I14" s="326" t="s">
        <v>3211</v>
      </c>
      <c r="J14" s="325">
        <v>43890</v>
      </c>
      <c r="K14" s="325"/>
      <c r="L14" s="325"/>
      <c r="M14" s="326" t="s">
        <v>2853</v>
      </c>
      <c r="N14" s="326" t="s">
        <v>2088</v>
      </c>
      <c r="O14" s="359">
        <v>43871</v>
      </c>
      <c r="P14" s="326" t="s">
        <v>3061</v>
      </c>
      <c r="Q14" s="326" t="s">
        <v>2829</v>
      </c>
      <c r="R14" s="375"/>
      <c r="S14" s="323">
        <f>Table1372[[#This Row],[DATE  CLOSED]]-Table1372[[#This Row],[INITIATION DATE]]</f>
        <v>13</v>
      </c>
    </row>
    <row r="15" spans="1:19" ht="25.35" customHeight="1" x14ac:dyDescent="0.2">
      <c r="A15" s="346" t="s">
        <v>5325</v>
      </c>
      <c r="B15" s="325">
        <v>43858</v>
      </c>
      <c r="C15" s="328" t="s">
        <v>5326</v>
      </c>
      <c r="D15" s="328" t="s">
        <v>5327</v>
      </c>
      <c r="E15" s="323" t="s">
        <v>2971</v>
      </c>
      <c r="F15" s="323">
        <v>1</v>
      </c>
      <c r="G15" s="323" t="s">
        <v>2841</v>
      </c>
      <c r="H15" s="323" t="s">
        <v>685</v>
      </c>
      <c r="I15" s="323" t="s">
        <v>755</v>
      </c>
      <c r="J15" s="325">
        <v>43890</v>
      </c>
      <c r="K15" s="325"/>
      <c r="L15" s="325"/>
      <c r="M15" s="326" t="s">
        <v>2853</v>
      </c>
      <c r="N15" s="326" t="s">
        <v>2088</v>
      </c>
      <c r="O15" s="359">
        <v>43881</v>
      </c>
      <c r="P15" s="326" t="s">
        <v>3061</v>
      </c>
      <c r="Q15" s="326" t="s">
        <v>2829</v>
      </c>
      <c r="R15" s="375"/>
      <c r="S15" s="323">
        <f>Table1372[[#This Row],[DATE  CLOSED]]-Table1372[[#This Row],[INITIATION DATE]]</f>
        <v>23</v>
      </c>
    </row>
    <row r="16" spans="1:19" ht="25.35" customHeight="1" x14ac:dyDescent="0.2">
      <c r="A16" s="346" t="s">
        <v>5328</v>
      </c>
      <c r="B16" s="325">
        <v>43859</v>
      </c>
      <c r="C16" s="328" t="s">
        <v>5329</v>
      </c>
      <c r="D16" s="329" t="s">
        <v>5330</v>
      </c>
      <c r="E16" s="326" t="s">
        <v>2971</v>
      </c>
      <c r="F16" s="323">
        <v>1</v>
      </c>
      <c r="G16" s="326" t="s">
        <v>2841</v>
      </c>
      <c r="H16" s="326" t="s">
        <v>481</v>
      </c>
      <c r="I16" s="326" t="s">
        <v>755</v>
      </c>
      <c r="J16" s="325">
        <v>43890</v>
      </c>
      <c r="K16" s="325"/>
      <c r="L16" s="325"/>
      <c r="M16" s="326" t="s">
        <v>2853</v>
      </c>
      <c r="N16" s="326" t="s">
        <v>2088</v>
      </c>
      <c r="O16" s="360">
        <v>43875</v>
      </c>
      <c r="P16" s="326" t="s">
        <v>3061</v>
      </c>
      <c r="Q16" s="326" t="s">
        <v>2829</v>
      </c>
      <c r="R16" s="375"/>
      <c r="S16" s="323">
        <f>Table1372[[#This Row],[DATE  CLOSED]]-Table1372[[#This Row],[INITIATION DATE]]</f>
        <v>16</v>
      </c>
    </row>
    <row r="17" spans="1:19" ht="25.35" customHeight="1" x14ac:dyDescent="0.2">
      <c r="A17" s="346" t="s">
        <v>5331</v>
      </c>
      <c r="B17" s="325">
        <v>43859</v>
      </c>
      <c r="C17" s="328" t="s">
        <v>5332</v>
      </c>
      <c r="D17" s="328" t="s">
        <v>5333</v>
      </c>
      <c r="E17" s="323" t="s">
        <v>2971</v>
      </c>
      <c r="F17" s="323">
        <v>1</v>
      </c>
      <c r="G17" s="323" t="s">
        <v>2841</v>
      </c>
      <c r="H17" s="323" t="s">
        <v>3842</v>
      </c>
      <c r="I17" s="323" t="s">
        <v>229</v>
      </c>
      <c r="J17" s="325">
        <v>43890</v>
      </c>
      <c r="K17" s="325"/>
      <c r="L17" s="325"/>
      <c r="M17" s="326" t="s">
        <v>2853</v>
      </c>
      <c r="N17" s="326" t="s">
        <v>3022</v>
      </c>
      <c r="O17" s="359">
        <v>43908</v>
      </c>
      <c r="P17" s="326" t="s">
        <v>3022</v>
      </c>
      <c r="Q17" s="326" t="s">
        <v>2832</v>
      </c>
      <c r="R17" s="375"/>
      <c r="S17" s="323">
        <f>Table1372[[#This Row],[DATE  CLOSED]]-Table1372[[#This Row],[INITIATION DATE]]</f>
        <v>49</v>
      </c>
    </row>
    <row r="18" spans="1:19" ht="25.35" customHeight="1" x14ac:dyDescent="0.2">
      <c r="A18" s="349" t="s">
        <v>5334</v>
      </c>
      <c r="B18" s="325">
        <v>43861</v>
      </c>
      <c r="C18" s="328" t="s">
        <v>5335</v>
      </c>
      <c r="D18" s="329" t="s">
        <v>5336</v>
      </c>
      <c r="E18" s="326" t="s">
        <v>2971</v>
      </c>
      <c r="F18" s="323">
        <v>1</v>
      </c>
      <c r="G18" s="326" t="s">
        <v>2841</v>
      </c>
      <c r="H18" s="326" t="s">
        <v>685</v>
      </c>
      <c r="I18" s="326" t="s">
        <v>755</v>
      </c>
      <c r="J18" s="325">
        <v>43890</v>
      </c>
      <c r="K18" s="325"/>
      <c r="L18" s="325"/>
      <c r="M18" s="326" t="s">
        <v>2853</v>
      </c>
      <c r="N18" s="326" t="s">
        <v>2088</v>
      </c>
      <c r="O18" s="359">
        <v>43875</v>
      </c>
      <c r="P18" s="326" t="s">
        <v>3061</v>
      </c>
      <c r="Q18" s="326" t="s">
        <v>2829</v>
      </c>
      <c r="R18" s="375"/>
      <c r="S18" s="323">
        <f>Table1372[[#This Row],[DATE  CLOSED]]-Table1372[[#This Row],[INITIATION DATE]]</f>
        <v>14</v>
      </c>
    </row>
    <row r="19" spans="1:19" ht="25.35" customHeight="1" x14ac:dyDescent="0.2">
      <c r="A19" s="349" t="s">
        <v>5337</v>
      </c>
      <c r="B19" s="325">
        <v>43861</v>
      </c>
      <c r="C19" s="329" t="s">
        <v>5338</v>
      </c>
      <c r="D19" s="329" t="s">
        <v>5339</v>
      </c>
      <c r="E19" s="326" t="s">
        <v>2971</v>
      </c>
      <c r="F19" s="323">
        <v>1</v>
      </c>
      <c r="G19" s="326" t="s">
        <v>2841</v>
      </c>
      <c r="H19" s="326" t="s">
        <v>229</v>
      </c>
      <c r="I19" s="326" t="s">
        <v>755</v>
      </c>
      <c r="J19" s="325">
        <v>43890</v>
      </c>
      <c r="K19" s="325"/>
      <c r="L19" s="325"/>
      <c r="M19" s="323" t="s">
        <v>2853</v>
      </c>
      <c r="N19" s="323"/>
      <c r="O19" s="359">
        <v>43885</v>
      </c>
      <c r="P19" s="323" t="s">
        <v>3061</v>
      </c>
      <c r="Q19" s="323" t="s">
        <v>2829</v>
      </c>
      <c r="R19" s="375"/>
      <c r="S19" s="323">
        <f>Table1372[[#This Row],[DATE  CLOSED]]-Table1372[[#This Row],[INITIATION DATE]]</f>
        <v>24</v>
      </c>
    </row>
    <row r="20" spans="1:19" ht="25.35" customHeight="1" x14ac:dyDescent="0.2">
      <c r="A20" s="349" t="s">
        <v>5340</v>
      </c>
      <c r="B20" s="325">
        <v>43861</v>
      </c>
      <c r="C20" s="328" t="s">
        <v>5341</v>
      </c>
      <c r="D20" s="328" t="s">
        <v>5342</v>
      </c>
      <c r="E20" s="323" t="s">
        <v>2971</v>
      </c>
      <c r="F20" s="323">
        <v>1</v>
      </c>
      <c r="G20" s="323" t="s">
        <v>2841</v>
      </c>
      <c r="H20" s="323" t="s">
        <v>229</v>
      </c>
      <c r="I20" s="323" t="s">
        <v>755</v>
      </c>
      <c r="J20" s="325">
        <v>43890</v>
      </c>
      <c r="K20" s="325"/>
      <c r="L20" s="325"/>
      <c r="M20" s="323" t="s">
        <v>2853</v>
      </c>
      <c r="N20" s="323"/>
      <c r="O20" s="359">
        <v>43885</v>
      </c>
      <c r="P20" s="323" t="s">
        <v>3061</v>
      </c>
      <c r="Q20" s="323" t="s">
        <v>2829</v>
      </c>
      <c r="R20" s="375"/>
      <c r="S20" s="323">
        <f>Table1372[[#This Row],[DATE  CLOSED]]-Table1372[[#This Row],[INITIATION DATE]]</f>
        <v>24</v>
      </c>
    </row>
    <row r="21" spans="1:19" ht="25.35" customHeight="1" x14ac:dyDescent="0.2">
      <c r="A21" s="346" t="s">
        <v>5921</v>
      </c>
      <c r="B21" s="325">
        <v>43864</v>
      </c>
      <c r="C21" s="329" t="s">
        <v>5343</v>
      </c>
      <c r="D21" s="329" t="s">
        <v>5344</v>
      </c>
      <c r="E21" s="326" t="s">
        <v>5345</v>
      </c>
      <c r="F21" s="323">
        <v>1</v>
      </c>
      <c r="G21" s="326" t="s">
        <v>2828</v>
      </c>
      <c r="H21" s="326" t="s">
        <v>4232</v>
      </c>
      <c r="I21" s="326" t="s">
        <v>3211</v>
      </c>
      <c r="J21" s="325">
        <v>43921</v>
      </c>
      <c r="K21" s="325"/>
      <c r="L21" s="325"/>
      <c r="M21" s="326" t="s">
        <v>2853</v>
      </c>
      <c r="N21" s="323" t="s">
        <v>2088</v>
      </c>
      <c r="O21" s="359">
        <v>43889</v>
      </c>
      <c r="P21" s="323" t="s">
        <v>3061</v>
      </c>
      <c r="Q21" s="323" t="s">
        <v>2829</v>
      </c>
      <c r="R21" s="375"/>
      <c r="S21" s="323">
        <f>Table1372[[#This Row],[DATE  CLOSED]]-Table1372[[#This Row],[INITIATION DATE]]</f>
        <v>25</v>
      </c>
    </row>
    <row r="22" spans="1:19" ht="25.35" customHeight="1" x14ac:dyDescent="0.2">
      <c r="A22" s="346" t="s">
        <v>5922</v>
      </c>
      <c r="B22" s="325">
        <v>43865</v>
      </c>
      <c r="C22" s="328" t="s">
        <v>5346</v>
      </c>
      <c r="D22" s="328" t="s">
        <v>5347</v>
      </c>
      <c r="E22" s="326" t="s">
        <v>2971</v>
      </c>
      <c r="F22" s="323">
        <v>1</v>
      </c>
      <c r="G22" s="326" t="s">
        <v>2841</v>
      </c>
      <c r="H22" s="326" t="s">
        <v>3211</v>
      </c>
      <c r="I22" s="326" t="s">
        <v>229</v>
      </c>
      <c r="J22" s="325">
        <v>43890</v>
      </c>
      <c r="K22" s="325"/>
      <c r="L22" s="325"/>
      <c r="M22" s="326" t="s">
        <v>2853</v>
      </c>
      <c r="N22" s="323"/>
      <c r="O22" s="359">
        <v>43888</v>
      </c>
      <c r="P22" s="323" t="s">
        <v>3061</v>
      </c>
      <c r="Q22" s="323" t="s">
        <v>2829</v>
      </c>
      <c r="R22" s="375"/>
      <c r="S22" s="323">
        <f>Table1372[[#This Row],[DATE  CLOSED]]-Table1372[[#This Row],[INITIATION DATE]]</f>
        <v>23</v>
      </c>
    </row>
    <row r="23" spans="1:19" ht="25.35" customHeight="1" x14ac:dyDescent="0.2">
      <c r="A23" s="346" t="s">
        <v>5923</v>
      </c>
      <c r="B23" s="325">
        <v>43867</v>
      </c>
      <c r="C23" s="328" t="s">
        <v>5348</v>
      </c>
      <c r="D23" s="328" t="s">
        <v>5349</v>
      </c>
      <c r="E23" s="323" t="s">
        <v>2971</v>
      </c>
      <c r="F23" s="323">
        <v>1</v>
      </c>
      <c r="G23" s="323" t="s">
        <v>2841</v>
      </c>
      <c r="H23" s="323" t="s">
        <v>4079</v>
      </c>
      <c r="I23" s="323" t="s">
        <v>3926</v>
      </c>
      <c r="J23" s="325">
        <v>43921</v>
      </c>
      <c r="K23" s="325"/>
      <c r="L23" s="325"/>
      <c r="M23" s="323" t="s">
        <v>2853</v>
      </c>
      <c r="N23" s="323" t="s">
        <v>2088</v>
      </c>
      <c r="O23" s="359">
        <v>43910</v>
      </c>
      <c r="P23" s="323" t="s">
        <v>3061</v>
      </c>
      <c r="Q23" s="323" t="s">
        <v>2832</v>
      </c>
      <c r="R23" s="375"/>
      <c r="S23" s="323">
        <f>Table1372[[#This Row],[DATE  CLOSED]]-Table1372[[#This Row],[INITIATION DATE]]</f>
        <v>43</v>
      </c>
    </row>
    <row r="24" spans="1:19" ht="25.35" customHeight="1" x14ac:dyDescent="0.2">
      <c r="A24" s="346" t="s">
        <v>5350</v>
      </c>
      <c r="B24" s="325">
        <v>43868</v>
      </c>
      <c r="C24" s="328" t="s">
        <v>5399</v>
      </c>
      <c r="D24" s="328" t="s">
        <v>5351</v>
      </c>
      <c r="E24" s="326" t="s">
        <v>2971</v>
      </c>
      <c r="F24" s="323">
        <v>1</v>
      </c>
      <c r="G24" s="326" t="s">
        <v>2836</v>
      </c>
      <c r="H24" s="326" t="s">
        <v>3991</v>
      </c>
      <c r="I24" s="326" t="s">
        <v>229</v>
      </c>
      <c r="J24" s="325">
        <v>43921</v>
      </c>
      <c r="K24" s="325"/>
      <c r="L24" s="325"/>
      <c r="M24" s="326" t="s">
        <v>2853</v>
      </c>
      <c r="N24" s="323" t="s">
        <v>2088</v>
      </c>
      <c r="O24" s="359">
        <v>43920</v>
      </c>
      <c r="P24" s="323" t="s">
        <v>3061</v>
      </c>
      <c r="Q24" s="323" t="s">
        <v>2832</v>
      </c>
      <c r="R24" s="375"/>
      <c r="S24" s="323">
        <f>Table1372[[#This Row],[DATE  CLOSED]]-Table1372[[#This Row],[INITIATION DATE]]</f>
        <v>52</v>
      </c>
    </row>
    <row r="25" spans="1:19" ht="25.35" customHeight="1" x14ac:dyDescent="0.2">
      <c r="A25" s="346" t="s">
        <v>5352</v>
      </c>
      <c r="B25" s="325">
        <v>43897</v>
      </c>
      <c r="C25" s="329" t="s">
        <v>5357</v>
      </c>
      <c r="D25" s="329" t="s">
        <v>5356</v>
      </c>
      <c r="E25" s="326" t="s">
        <v>2971</v>
      </c>
      <c r="F25" s="323">
        <v>1</v>
      </c>
      <c r="G25" s="326" t="s">
        <v>2841</v>
      </c>
      <c r="H25" s="326" t="s">
        <v>4644</v>
      </c>
      <c r="I25" s="326" t="s">
        <v>229</v>
      </c>
      <c r="J25" s="325">
        <v>43890</v>
      </c>
      <c r="K25" s="325"/>
      <c r="L25" s="325"/>
      <c r="M25" s="326" t="s">
        <v>2853</v>
      </c>
      <c r="N25" s="323" t="s">
        <v>2088</v>
      </c>
      <c r="O25" s="359">
        <v>43886</v>
      </c>
      <c r="P25" s="323" t="s">
        <v>3061</v>
      </c>
      <c r="Q25" s="323" t="s">
        <v>2829</v>
      </c>
      <c r="R25" s="375"/>
      <c r="S25" s="323">
        <f>Table1372[[#This Row],[DATE  CLOSED]]-Table1372[[#This Row],[INITIATION DATE]]</f>
        <v>-11</v>
      </c>
    </row>
    <row r="26" spans="1:19" ht="25.35" customHeight="1" x14ac:dyDescent="0.2">
      <c r="A26" s="346" t="s">
        <v>5353</v>
      </c>
      <c r="B26" s="325">
        <v>43871</v>
      </c>
      <c r="C26" s="329" t="s">
        <v>5381</v>
      </c>
      <c r="D26" s="329" t="s">
        <v>5354</v>
      </c>
      <c r="E26" s="326" t="s">
        <v>2971</v>
      </c>
      <c r="F26" s="323">
        <v>1</v>
      </c>
      <c r="G26" s="326" t="s">
        <v>2841</v>
      </c>
      <c r="H26" s="326" t="s">
        <v>5355</v>
      </c>
      <c r="I26" s="326" t="s">
        <v>229</v>
      </c>
      <c r="J26" s="325">
        <v>43890</v>
      </c>
      <c r="K26" s="325"/>
      <c r="L26" s="325"/>
      <c r="M26" s="326" t="s">
        <v>2853</v>
      </c>
      <c r="N26" s="323" t="s">
        <v>2088</v>
      </c>
      <c r="O26" s="359">
        <v>43882</v>
      </c>
      <c r="P26" s="323" t="s">
        <v>3061</v>
      </c>
      <c r="Q26" s="323" t="s">
        <v>2829</v>
      </c>
      <c r="R26" s="375"/>
      <c r="S26" s="323">
        <f>Table1372[[#This Row],[DATE  CLOSED]]-Table1372[[#This Row],[INITIATION DATE]]</f>
        <v>11</v>
      </c>
    </row>
    <row r="27" spans="1:19" ht="25.35" customHeight="1" x14ac:dyDescent="0.2">
      <c r="A27" s="346" t="s">
        <v>5358</v>
      </c>
      <c r="B27" s="325">
        <v>43872</v>
      </c>
      <c r="C27" s="329" t="s">
        <v>5359</v>
      </c>
      <c r="D27" s="329" t="s">
        <v>5323</v>
      </c>
      <c r="E27" s="326" t="s">
        <v>3825</v>
      </c>
      <c r="F27" s="323">
        <v>1</v>
      </c>
      <c r="G27" s="326" t="s">
        <v>2828</v>
      </c>
      <c r="H27" s="326" t="s">
        <v>4232</v>
      </c>
      <c r="I27" s="326" t="s">
        <v>3211</v>
      </c>
      <c r="J27" s="325">
        <v>43921</v>
      </c>
      <c r="K27" s="325"/>
      <c r="L27" s="325"/>
      <c r="M27" s="326" t="s">
        <v>2853</v>
      </c>
      <c r="N27" s="326" t="s">
        <v>2088</v>
      </c>
      <c r="O27" s="359">
        <v>43882</v>
      </c>
      <c r="P27" s="326" t="s">
        <v>3061</v>
      </c>
      <c r="Q27" s="326" t="s">
        <v>2829</v>
      </c>
      <c r="R27" s="375"/>
      <c r="S27" s="323">
        <f>Table1372[[#This Row],[DATE  CLOSED]]-Table1372[[#This Row],[INITIATION DATE]]</f>
        <v>10</v>
      </c>
    </row>
    <row r="28" spans="1:19" ht="25.35" customHeight="1" x14ac:dyDescent="0.2">
      <c r="A28" s="346" t="s">
        <v>5360</v>
      </c>
      <c r="B28" s="325">
        <v>43873</v>
      </c>
      <c r="C28" s="329" t="s">
        <v>5362</v>
      </c>
      <c r="D28" s="329" t="s">
        <v>5361</v>
      </c>
      <c r="E28" s="326" t="s">
        <v>4675</v>
      </c>
      <c r="F28" s="323">
        <v>1</v>
      </c>
      <c r="G28" s="326" t="s">
        <v>2828</v>
      </c>
      <c r="H28" s="326" t="s">
        <v>3975</v>
      </c>
      <c r="I28" s="326" t="s">
        <v>3926</v>
      </c>
      <c r="J28" s="325">
        <v>43921</v>
      </c>
      <c r="K28" s="325"/>
      <c r="L28" s="325"/>
      <c r="M28" s="326" t="s">
        <v>2853</v>
      </c>
      <c r="N28" s="326" t="s">
        <v>2088</v>
      </c>
      <c r="O28" s="359">
        <v>43889</v>
      </c>
      <c r="P28" s="326" t="s">
        <v>3061</v>
      </c>
      <c r="Q28" s="326" t="s">
        <v>2829</v>
      </c>
      <c r="R28" s="375"/>
      <c r="S28" s="323">
        <f>Table1372[[#This Row],[DATE  CLOSED]]-Table1372[[#This Row],[INITIATION DATE]]</f>
        <v>16</v>
      </c>
    </row>
    <row r="29" spans="1:19" ht="25.35" customHeight="1" x14ac:dyDescent="0.2">
      <c r="A29" s="349" t="s">
        <v>5363</v>
      </c>
      <c r="B29" s="325">
        <v>43874</v>
      </c>
      <c r="C29" s="328" t="s">
        <v>5364</v>
      </c>
      <c r="D29" s="328" t="s">
        <v>5365</v>
      </c>
      <c r="E29" s="323" t="s">
        <v>4174</v>
      </c>
      <c r="F29" s="323">
        <v>1</v>
      </c>
      <c r="G29" s="323" t="s">
        <v>2828</v>
      </c>
      <c r="H29" s="323" t="s">
        <v>615</v>
      </c>
      <c r="I29" s="323" t="s">
        <v>3211</v>
      </c>
      <c r="J29" s="325">
        <v>43921</v>
      </c>
      <c r="K29" s="325"/>
      <c r="L29" s="325"/>
      <c r="M29" s="323" t="s">
        <v>2853</v>
      </c>
      <c r="N29" s="323" t="s">
        <v>2088</v>
      </c>
      <c r="O29" s="359">
        <v>43915</v>
      </c>
      <c r="P29" s="323" t="s">
        <v>3061</v>
      </c>
      <c r="Q29" s="323" t="s">
        <v>2832</v>
      </c>
      <c r="R29" s="375"/>
      <c r="S29" s="323">
        <f>Table1372[[#This Row],[DATE  CLOSED]]-Table1372[[#This Row],[INITIATION DATE]]</f>
        <v>41</v>
      </c>
    </row>
    <row r="30" spans="1:19" ht="25.35" customHeight="1" x14ac:dyDescent="0.2">
      <c r="A30" s="349" t="s">
        <v>5366</v>
      </c>
      <c r="B30" s="325">
        <v>43880</v>
      </c>
      <c r="C30" s="328" t="s">
        <v>5367</v>
      </c>
      <c r="D30" s="328" t="s">
        <v>3426</v>
      </c>
      <c r="E30" s="323" t="s">
        <v>4675</v>
      </c>
      <c r="F30" s="323">
        <v>1</v>
      </c>
      <c r="G30" s="323" t="s">
        <v>2828</v>
      </c>
      <c r="H30" s="323" t="s">
        <v>3975</v>
      </c>
      <c r="I30" s="323" t="s">
        <v>3211</v>
      </c>
      <c r="J30" s="325">
        <v>43921</v>
      </c>
      <c r="K30" s="325"/>
      <c r="L30" s="325"/>
      <c r="M30" s="326" t="s">
        <v>2853</v>
      </c>
      <c r="N30" s="326" t="s">
        <v>2088</v>
      </c>
      <c r="O30" s="359">
        <v>43894</v>
      </c>
      <c r="P30" s="326" t="s">
        <v>3061</v>
      </c>
      <c r="Q30" s="326" t="s">
        <v>2829</v>
      </c>
      <c r="R30" s="375"/>
      <c r="S30" s="323">
        <f>Table1372[[#This Row],[DATE  CLOSED]]-Table1372[[#This Row],[INITIATION DATE]]</f>
        <v>14</v>
      </c>
    </row>
    <row r="31" spans="1:19" ht="25.35" customHeight="1" x14ac:dyDescent="0.2">
      <c r="A31" s="349" t="s">
        <v>5368</v>
      </c>
      <c r="B31" s="325">
        <v>43880</v>
      </c>
      <c r="C31" s="328" t="s">
        <v>5369</v>
      </c>
      <c r="D31" s="328" t="s">
        <v>3426</v>
      </c>
      <c r="E31" s="323" t="s">
        <v>2971</v>
      </c>
      <c r="F31" s="323">
        <v>1</v>
      </c>
      <c r="G31" s="323" t="s">
        <v>2828</v>
      </c>
      <c r="H31" s="323" t="s">
        <v>3842</v>
      </c>
      <c r="I31" s="323" t="s">
        <v>3211</v>
      </c>
      <c r="J31" s="325">
        <v>43921</v>
      </c>
      <c r="K31" s="325"/>
      <c r="L31" s="325"/>
      <c r="M31" s="326" t="s">
        <v>2853</v>
      </c>
      <c r="N31" s="326" t="s">
        <v>2088</v>
      </c>
      <c r="O31" s="359">
        <v>43882</v>
      </c>
      <c r="P31" s="326" t="s">
        <v>3061</v>
      </c>
      <c r="Q31" s="326" t="s">
        <v>2829</v>
      </c>
      <c r="R31" s="375"/>
      <c r="S31" s="323">
        <f>Table1372[[#This Row],[DATE  CLOSED]]-Table1372[[#This Row],[INITIATION DATE]]</f>
        <v>2</v>
      </c>
    </row>
    <row r="32" spans="1:19" ht="25.35" customHeight="1" x14ac:dyDescent="0.2">
      <c r="A32" s="349" t="s">
        <v>5370</v>
      </c>
      <c r="B32" s="325">
        <v>43880</v>
      </c>
      <c r="C32" s="328" t="s">
        <v>5371</v>
      </c>
      <c r="D32" s="328" t="s">
        <v>5372</v>
      </c>
      <c r="E32" s="323" t="s">
        <v>4033</v>
      </c>
      <c r="F32" s="323">
        <v>1</v>
      </c>
      <c r="G32" s="323" t="s">
        <v>2828</v>
      </c>
      <c r="H32" s="323" t="s">
        <v>4079</v>
      </c>
      <c r="I32" s="323" t="s">
        <v>3926</v>
      </c>
      <c r="J32" s="325">
        <v>43921</v>
      </c>
      <c r="K32" s="325"/>
      <c r="L32" s="325"/>
      <c r="M32" s="323" t="s">
        <v>2853</v>
      </c>
      <c r="N32" s="323" t="s">
        <v>2088</v>
      </c>
      <c r="O32" s="359">
        <v>43893</v>
      </c>
      <c r="P32" s="323" t="s">
        <v>3061</v>
      </c>
      <c r="Q32" s="323" t="s">
        <v>2829</v>
      </c>
      <c r="R32" s="375"/>
      <c r="S32" s="323">
        <f>Table1372[[#This Row],[DATE  CLOSED]]-Table1372[[#This Row],[INITIATION DATE]]</f>
        <v>13</v>
      </c>
    </row>
    <row r="33" spans="1:19" ht="25.35" customHeight="1" x14ac:dyDescent="0.2">
      <c r="A33" s="349" t="s">
        <v>5373</v>
      </c>
      <c r="B33" s="325">
        <v>43881</v>
      </c>
      <c r="C33" s="328" t="s">
        <v>5374</v>
      </c>
      <c r="D33" s="328" t="s">
        <v>5375</v>
      </c>
      <c r="E33" s="323" t="s">
        <v>3764</v>
      </c>
      <c r="F33" s="323">
        <v>1</v>
      </c>
      <c r="G33" s="323" t="s">
        <v>2828</v>
      </c>
      <c r="H33" s="323" t="s">
        <v>4079</v>
      </c>
      <c r="I33" s="323" t="s">
        <v>3926</v>
      </c>
      <c r="J33" s="325">
        <v>43901</v>
      </c>
      <c r="K33" s="325"/>
      <c r="L33" s="325"/>
      <c r="M33" s="323" t="s">
        <v>2853</v>
      </c>
      <c r="N33" s="323" t="s">
        <v>2088</v>
      </c>
      <c r="O33" s="359">
        <v>43882</v>
      </c>
      <c r="P33" s="323" t="s">
        <v>3061</v>
      </c>
      <c r="Q33" s="323" t="s">
        <v>2829</v>
      </c>
      <c r="R33" s="375"/>
      <c r="S33" s="323">
        <f>Table1372[[#This Row],[DATE  CLOSED]]-Table1372[[#This Row],[INITIATION DATE]]</f>
        <v>1</v>
      </c>
    </row>
    <row r="34" spans="1:19" ht="25.35" customHeight="1" x14ac:dyDescent="0.2">
      <c r="A34" s="349" t="s">
        <v>5376</v>
      </c>
      <c r="B34" s="325">
        <v>43881</v>
      </c>
      <c r="C34" s="328" t="s">
        <v>5377</v>
      </c>
      <c r="D34" s="328" t="s">
        <v>5378</v>
      </c>
      <c r="E34" s="323" t="s">
        <v>3825</v>
      </c>
      <c r="F34" s="323">
        <v>1</v>
      </c>
      <c r="G34" s="323" t="s">
        <v>2828</v>
      </c>
      <c r="H34" s="323" t="s">
        <v>4232</v>
      </c>
      <c r="I34" s="323" t="s">
        <v>3211</v>
      </c>
      <c r="J34" s="325">
        <v>43921</v>
      </c>
      <c r="K34" s="325"/>
      <c r="L34" s="325"/>
      <c r="M34" s="323" t="s">
        <v>2853</v>
      </c>
      <c r="N34" s="323" t="s">
        <v>2088</v>
      </c>
      <c r="O34" s="359">
        <v>43895</v>
      </c>
      <c r="P34" s="323" t="s">
        <v>3061</v>
      </c>
      <c r="Q34" s="323" t="s">
        <v>2829</v>
      </c>
      <c r="R34" s="375"/>
      <c r="S34" s="323">
        <f>Table1372[[#This Row],[DATE  CLOSED]]-Table1372[[#This Row],[INITIATION DATE]]</f>
        <v>14</v>
      </c>
    </row>
    <row r="35" spans="1:19" ht="25.35" customHeight="1" x14ac:dyDescent="0.2">
      <c r="A35" s="349" t="s">
        <v>5379</v>
      </c>
      <c r="B35" s="325">
        <v>43882</v>
      </c>
      <c r="C35" s="328" t="s">
        <v>5380</v>
      </c>
      <c r="D35" s="328" t="s">
        <v>5354</v>
      </c>
      <c r="E35" s="323" t="s">
        <v>2971</v>
      </c>
      <c r="F35" s="323">
        <v>1</v>
      </c>
      <c r="G35" s="323" t="s">
        <v>2841</v>
      </c>
      <c r="H35" s="323" t="s">
        <v>486</v>
      </c>
      <c r="I35" s="323" t="s">
        <v>229</v>
      </c>
      <c r="J35" s="325">
        <v>43921</v>
      </c>
      <c r="K35" s="325"/>
      <c r="L35" s="325"/>
      <c r="M35" s="323" t="s">
        <v>2853</v>
      </c>
      <c r="N35" s="323" t="s">
        <v>2088</v>
      </c>
      <c r="O35" s="359">
        <v>43907</v>
      </c>
      <c r="P35" s="323" t="s">
        <v>3061</v>
      </c>
      <c r="Q35" s="323" t="s">
        <v>2829</v>
      </c>
      <c r="R35" s="375"/>
      <c r="S35" s="323">
        <f>Table1372[[#This Row],[DATE  CLOSED]]-Table1372[[#This Row],[INITIATION DATE]]</f>
        <v>25</v>
      </c>
    </row>
    <row r="36" spans="1:19" ht="25.35" customHeight="1" x14ac:dyDescent="0.2">
      <c r="A36" s="349" t="s">
        <v>5382</v>
      </c>
      <c r="B36" s="325">
        <v>43888</v>
      </c>
      <c r="C36" s="328" t="s">
        <v>5383</v>
      </c>
      <c r="D36" s="328" t="s">
        <v>5384</v>
      </c>
      <c r="E36" s="323" t="s">
        <v>3335</v>
      </c>
      <c r="F36" s="323">
        <v>1</v>
      </c>
      <c r="G36" s="323" t="s">
        <v>2828</v>
      </c>
      <c r="H36" s="323" t="s">
        <v>4079</v>
      </c>
      <c r="I36" s="323" t="s">
        <v>3926</v>
      </c>
      <c r="J36" s="325">
        <v>43921</v>
      </c>
      <c r="K36" s="325"/>
      <c r="L36" s="325"/>
      <c r="M36" s="326" t="s">
        <v>2853</v>
      </c>
      <c r="N36" s="326" t="s">
        <v>2088</v>
      </c>
      <c r="O36" s="359">
        <v>43920</v>
      </c>
      <c r="P36" s="326" t="s">
        <v>3061</v>
      </c>
      <c r="Q36" s="326" t="s">
        <v>2829</v>
      </c>
      <c r="R36" s="375"/>
      <c r="S36" s="323">
        <f>Table1372[[#This Row],[DATE  CLOSED]]-Table1372[[#This Row],[INITIATION DATE]]</f>
        <v>32</v>
      </c>
    </row>
    <row r="37" spans="1:19" ht="25.35" customHeight="1" x14ac:dyDescent="0.2">
      <c r="A37" s="349" t="s">
        <v>5385</v>
      </c>
      <c r="B37" s="325">
        <v>43892</v>
      </c>
      <c r="C37" s="329" t="s">
        <v>5386</v>
      </c>
      <c r="D37" s="329" t="s">
        <v>5387</v>
      </c>
      <c r="E37" s="326" t="s">
        <v>2971</v>
      </c>
      <c r="F37" s="323">
        <v>1</v>
      </c>
      <c r="G37" s="326" t="s">
        <v>2841</v>
      </c>
      <c r="H37" s="326" t="s">
        <v>727</v>
      </c>
      <c r="I37" s="326" t="s">
        <v>229</v>
      </c>
      <c r="J37" s="325">
        <v>43921</v>
      </c>
      <c r="K37" s="325"/>
      <c r="L37" s="325"/>
      <c r="M37" s="326" t="s">
        <v>2853</v>
      </c>
      <c r="N37" s="323" t="s">
        <v>2088</v>
      </c>
      <c r="O37" s="359">
        <v>43920</v>
      </c>
      <c r="P37" s="323" t="s">
        <v>3061</v>
      </c>
      <c r="Q37" s="323" t="s">
        <v>2829</v>
      </c>
      <c r="R37" s="375"/>
      <c r="S37" s="323">
        <f>Table1372[[#This Row],[DATE  CLOSED]]-Table1372[[#This Row],[INITIATION DATE]]</f>
        <v>28</v>
      </c>
    </row>
    <row r="38" spans="1:19" ht="25.35" customHeight="1" x14ac:dyDescent="0.2">
      <c r="A38" s="349" t="s">
        <v>5388</v>
      </c>
      <c r="B38" s="325">
        <v>43894</v>
      </c>
      <c r="C38" s="328" t="s">
        <v>5389</v>
      </c>
      <c r="D38" s="328" t="s">
        <v>5375</v>
      </c>
      <c r="E38" s="323" t="s">
        <v>3969</v>
      </c>
      <c r="F38" s="323">
        <v>1</v>
      </c>
      <c r="G38" s="323" t="s">
        <v>2828</v>
      </c>
      <c r="H38" s="323" t="s">
        <v>3423</v>
      </c>
      <c r="I38" s="323" t="s">
        <v>3926</v>
      </c>
      <c r="J38" s="325">
        <v>43951</v>
      </c>
      <c r="K38" s="325"/>
      <c r="L38" s="325"/>
      <c r="M38" s="323" t="s">
        <v>1056</v>
      </c>
      <c r="N38" s="323" t="s">
        <v>2088</v>
      </c>
      <c r="O38" s="359" t="s">
        <v>2088</v>
      </c>
      <c r="P38" s="323" t="s">
        <v>2088</v>
      </c>
      <c r="Q38" s="323" t="s">
        <v>2088</v>
      </c>
      <c r="R38" s="375" t="s">
        <v>2088</v>
      </c>
      <c r="S38" s="323" t="e">
        <f>Table1372[[#This Row],[DATE  CLOSED]]-Table1372[[#This Row],[INITIATION DATE]]</f>
        <v>#VALUE!</v>
      </c>
    </row>
    <row r="39" spans="1:19" ht="25.35" customHeight="1" x14ac:dyDescent="0.2">
      <c r="A39" s="349" t="s">
        <v>5390</v>
      </c>
      <c r="B39" s="325">
        <v>43899</v>
      </c>
      <c r="C39" s="328" t="s">
        <v>5391</v>
      </c>
      <c r="D39" s="328" t="s">
        <v>5392</v>
      </c>
      <c r="E39" s="323" t="s">
        <v>2971</v>
      </c>
      <c r="F39" s="323">
        <v>1</v>
      </c>
      <c r="G39" s="323" t="s">
        <v>2836</v>
      </c>
      <c r="H39" s="323" t="s">
        <v>4079</v>
      </c>
      <c r="I39" s="323" t="s">
        <v>3926</v>
      </c>
      <c r="J39" s="325">
        <v>43982</v>
      </c>
      <c r="K39" s="327"/>
      <c r="L39" s="327"/>
      <c r="M39" s="323" t="s">
        <v>2853</v>
      </c>
      <c r="N39" s="326" t="s">
        <v>2088</v>
      </c>
      <c r="O39" s="359">
        <v>43977</v>
      </c>
      <c r="P39" s="326" t="s">
        <v>3061</v>
      </c>
      <c r="Q39" s="323" t="s">
        <v>2832</v>
      </c>
      <c r="R39" s="335" t="s">
        <v>2088</v>
      </c>
      <c r="S39" s="323">
        <f>Table1372[[#This Row],[DATE  CLOSED]]-Table1372[[#This Row],[INITIATION DATE]]</f>
        <v>78</v>
      </c>
    </row>
    <row r="40" spans="1:19" ht="25.35" customHeight="1" x14ac:dyDescent="0.2">
      <c r="A40" s="349" t="s">
        <v>5393</v>
      </c>
      <c r="B40" s="325">
        <v>43899</v>
      </c>
      <c r="C40" s="328" t="s">
        <v>5394</v>
      </c>
      <c r="D40" s="328" t="s">
        <v>5395</v>
      </c>
      <c r="E40" s="326" t="s">
        <v>2971</v>
      </c>
      <c r="F40" s="323">
        <v>1</v>
      </c>
      <c r="G40" s="326" t="s">
        <v>2838</v>
      </c>
      <c r="H40" s="326" t="s">
        <v>685</v>
      </c>
      <c r="I40" s="326" t="s">
        <v>229</v>
      </c>
      <c r="J40" s="325">
        <v>43903</v>
      </c>
      <c r="K40" s="325"/>
      <c r="L40" s="325"/>
      <c r="M40" s="326" t="s">
        <v>2853</v>
      </c>
      <c r="N40" s="323" t="s">
        <v>2088</v>
      </c>
      <c r="O40" s="359">
        <v>43899</v>
      </c>
      <c r="P40" s="323" t="s">
        <v>3061</v>
      </c>
      <c r="Q40" s="323" t="s">
        <v>2829</v>
      </c>
      <c r="R40" s="375" t="s">
        <v>2088</v>
      </c>
      <c r="S40" s="323">
        <f>Table1372[[#This Row],[DATE  CLOSED]]-Table1372[[#This Row],[INITIATION DATE]]</f>
        <v>0</v>
      </c>
    </row>
    <row r="41" spans="1:19" ht="25.35" customHeight="1" x14ac:dyDescent="0.2">
      <c r="A41" s="349" t="s">
        <v>5396</v>
      </c>
      <c r="B41" s="325">
        <v>43902</v>
      </c>
      <c r="C41" s="328" t="s">
        <v>5397</v>
      </c>
      <c r="D41" s="328" t="s">
        <v>5398</v>
      </c>
      <c r="E41" s="323" t="s">
        <v>4675</v>
      </c>
      <c r="F41" s="323">
        <v>1</v>
      </c>
      <c r="G41" s="323" t="s">
        <v>2828</v>
      </c>
      <c r="H41" s="323" t="s">
        <v>3423</v>
      </c>
      <c r="I41" s="323" t="s">
        <v>3211</v>
      </c>
      <c r="J41" s="325">
        <v>43951</v>
      </c>
      <c r="K41" s="325"/>
      <c r="L41" s="325"/>
      <c r="M41" s="323" t="s">
        <v>2853</v>
      </c>
      <c r="N41" s="323" t="s">
        <v>2088</v>
      </c>
      <c r="O41" s="359">
        <v>43909</v>
      </c>
      <c r="P41" s="323" t="s">
        <v>3061</v>
      </c>
      <c r="Q41" s="323" t="s">
        <v>2829</v>
      </c>
      <c r="R41" s="335" t="s">
        <v>2088</v>
      </c>
      <c r="S41" s="323">
        <f>Table1372[[#This Row],[DATE  CLOSED]]-Table1372[[#This Row],[INITIATION DATE]]</f>
        <v>7</v>
      </c>
    </row>
    <row r="42" spans="1:19" ht="25.35" customHeight="1" x14ac:dyDescent="0.2">
      <c r="A42" s="349" t="s">
        <v>5400</v>
      </c>
      <c r="B42" s="325">
        <v>43906</v>
      </c>
      <c r="C42" s="328" t="s">
        <v>5402</v>
      </c>
      <c r="D42" s="328" t="s">
        <v>5403</v>
      </c>
      <c r="E42" s="323" t="s">
        <v>5401</v>
      </c>
      <c r="F42" s="323">
        <v>1</v>
      </c>
      <c r="G42" s="323" t="s">
        <v>2840</v>
      </c>
      <c r="H42" s="323" t="s">
        <v>229</v>
      </c>
      <c r="I42" s="323" t="s">
        <v>229</v>
      </c>
      <c r="J42" s="325">
        <v>43921</v>
      </c>
      <c r="K42" s="325"/>
      <c r="L42" s="325"/>
      <c r="M42" s="323" t="s">
        <v>2853</v>
      </c>
      <c r="N42" s="323" t="s">
        <v>2088</v>
      </c>
      <c r="O42" s="359">
        <v>43907</v>
      </c>
      <c r="P42" s="323" t="s">
        <v>3061</v>
      </c>
      <c r="Q42" s="323" t="s">
        <v>2829</v>
      </c>
      <c r="R42" s="375" t="s">
        <v>2088</v>
      </c>
      <c r="S42" s="323">
        <f>Table1372[[#This Row],[DATE  CLOSED]]-Table1372[[#This Row],[INITIATION DATE]]</f>
        <v>1</v>
      </c>
    </row>
    <row r="43" spans="1:19" ht="25.35" customHeight="1" x14ac:dyDescent="0.2">
      <c r="A43" s="349" t="s">
        <v>5404</v>
      </c>
      <c r="B43" s="325">
        <v>43908</v>
      </c>
      <c r="C43" s="328" t="s">
        <v>5406</v>
      </c>
      <c r="D43" s="328" t="s">
        <v>5405</v>
      </c>
      <c r="E43" s="323" t="s">
        <v>2971</v>
      </c>
      <c r="F43" s="323">
        <v>1</v>
      </c>
      <c r="G43" s="323" t="s">
        <v>2838</v>
      </c>
      <c r="H43" s="323" t="s">
        <v>4796</v>
      </c>
      <c r="I43" s="323" t="s">
        <v>755</v>
      </c>
      <c r="J43" s="325">
        <v>43917</v>
      </c>
      <c r="K43" s="325"/>
      <c r="L43" s="325"/>
      <c r="M43" s="323" t="s">
        <v>2853</v>
      </c>
      <c r="N43" s="323" t="s">
        <v>2088</v>
      </c>
      <c r="O43" s="359">
        <v>43940</v>
      </c>
      <c r="P43" s="323" t="s">
        <v>3022</v>
      </c>
      <c r="Q43" s="323" t="s">
        <v>2832</v>
      </c>
      <c r="R43" s="375" t="s">
        <v>2088</v>
      </c>
      <c r="S43" s="323">
        <f>Table1372[[#This Row],[DATE  CLOSED]]-Table1372[[#This Row],[INITIATION DATE]]</f>
        <v>32</v>
      </c>
    </row>
    <row r="44" spans="1:19" ht="25.35" customHeight="1" x14ac:dyDescent="0.2">
      <c r="A44" s="349" t="s">
        <v>5407</v>
      </c>
      <c r="B44" s="325">
        <v>43908</v>
      </c>
      <c r="C44" s="328" t="s">
        <v>5408</v>
      </c>
      <c r="D44" s="328" t="s">
        <v>5409</v>
      </c>
      <c r="E44" s="323" t="s">
        <v>2971</v>
      </c>
      <c r="F44" s="323">
        <v>1</v>
      </c>
      <c r="G44" s="323" t="s">
        <v>2841</v>
      </c>
      <c r="H44" s="323" t="s">
        <v>229</v>
      </c>
      <c r="I44" s="323" t="s">
        <v>755</v>
      </c>
      <c r="J44" s="325">
        <v>43921</v>
      </c>
      <c r="K44" s="325"/>
      <c r="L44" s="325"/>
      <c r="M44" s="323" t="s">
        <v>2853</v>
      </c>
      <c r="N44" s="323" t="s">
        <v>2088</v>
      </c>
      <c r="O44" s="359">
        <v>43921</v>
      </c>
      <c r="P44" s="323" t="s">
        <v>3061</v>
      </c>
      <c r="Q44" s="323" t="s">
        <v>2829</v>
      </c>
      <c r="R44" s="375" t="s">
        <v>2088</v>
      </c>
      <c r="S44" s="323">
        <f>Table1372[[#This Row],[DATE  CLOSED]]-Table1372[[#This Row],[INITIATION DATE]]</f>
        <v>13</v>
      </c>
    </row>
    <row r="45" spans="1:19" ht="25.35" customHeight="1" x14ac:dyDescent="0.2">
      <c r="A45" s="349" t="s">
        <v>5410</v>
      </c>
      <c r="B45" s="325">
        <v>43909</v>
      </c>
      <c r="C45" s="328" t="s">
        <v>5411</v>
      </c>
      <c r="D45" s="328" t="s">
        <v>5412</v>
      </c>
      <c r="E45" s="323" t="s">
        <v>2971</v>
      </c>
      <c r="F45" s="323">
        <v>1</v>
      </c>
      <c r="G45" s="323" t="s">
        <v>2841</v>
      </c>
      <c r="H45" s="323" t="s">
        <v>3211</v>
      </c>
      <c r="I45" s="323" t="s">
        <v>229</v>
      </c>
      <c r="J45" s="325">
        <v>43951</v>
      </c>
      <c r="K45" s="325"/>
      <c r="L45" s="325"/>
      <c r="M45" s="323" t="s">
        <v>2853</v>
      </c>
      <c r="N45" s="323" t="s">
        <v>2088</v>
      </c>
      <c r="O45" s="359">
        <v>43929</v>
      </c>
      <c r="P45" s="323" t="s">
        <v>3061</v>
      </c>
      <c r="Q45" s="323" t="s">
        <v>2829</v>
      </c>
      <c r="R45" s="375"/>
      <c r="S45" s="323">
        <f>Table1372[[#This Row],[DATE  CLOSED]]-Table1372[[#This Row],[INITIATION DATE]]</f>
        <v>20</v>
      </c>
    </row>
    <row r="46" spans="1:19" ht="25.35" customHeight="1" x14ac:dyDescent="0.2">
      <c r="A46" s="349" t="s">
        <v>5413</v>
      </c>
      <c r="B46" s="325">
        <v>43909</v>
      </c>
      <c r="C46" s="328" t="s">
        <v>5414</v>
      </c>
      <c r="D46" s="329" t="s">
        <v>5415</v>
      </c>
      <c r="E46" s="326" t="s">
        <v>2971</v>
      </c>
      <c r="F46" s="323">
        <v>1</v>
      </c>
      <c r="G46" s="323" t="s">
        <v>2841</v>
      </c>
      <c r="H46" s="326" t="s">
        <v>3211</v>
      </c>
      <c r="I46" s="326" t="s">
        <v>229</v>
      </c>
      <c r="J46" s="325">
        <v>43951</v>
      </c>
      <c r="K46" s="325"/>
      <c r="L46" s="325"/>
      <c r="M46" s="326" t="s">
        <v>2853</v>
      </c>
      <c r="N46" s="323" t="s">
        <v>2088</v>
      </c>
      <c r="O46" s="359">
        <v>43929</v>
      </c>
      <c r="P46" s="323" t="s">
        <v>3061</v>
      </c>
      <c r="Q46" s="323" t="s">
        <v>2829</v>
      </c>
      <c r="R46" s="375"/>
      <c r="S46" s="323">
        <f>Table1372[[#This Row],[DATE  CLOSED]]-Table1372[[#This Row],[INITIATION DATE]]</f>
        <v>20</v>
      </c>
    </row>
    <row r="47" spans="1:19" ht="25.35" customHeight="1" x14ac:dyDescent="0.2">
      <c r="A47" s="346" t="s">
        <v>5416</v>
      </c>
      <c r="B47" s="325">
        <v>43915</v>
      </c>
      <c r="C47" s="328" t="s">
        <v>5417</v>
      </c>
      <c r="D47" s="328" t="s">
        <v>5418</v>
      </c>
      <c r="E47" s="323" t="s">
        <v>2971</v>
      </c>
      <c r="F47" s="323">
        <v>2</v>
      </c>
      <c r="G47" s="323" t="s">
        <v>2828</v>
      </c>
      <c r="H47" s="323" t="s">
        <v>1865</v>
      </c>
      <c r="I47" s="323" t="s">
        <v>3211</v>
      </c>
      <c r="J47" s="325">
        <v>43951</v>
      </c>
      <c r="K47" s="327"/>
      <c r="L47" s="327"/>
      <c r="M47" s="323" t="s">
        <v>2853</v>
      </c>
      <c r="N47" s="323" t="s">
        <v>2088</v>
      </c>
      <c r="O47" s="359">
        <v>43920</v>
      </c>
      <c r="P47" s="326" t="s">
        <v>3061</v>
      </c>
      <c r="Q47" s="326" t="s">
        <v>2829</v>
      </c>
      <c r="R47" s="335" t="s">
        <v>2088</v>
      </c>
      <c r="S47" s="323">
        <f>Table1372[[#This Row],[DATE  CLOSED]]-Table1372[[#This Row],[INITIATION DATE]]</f>
        <v>5</v>
      </c>
    </row>
    <row r="48" spans="1:19" ht="25.35" customHeight="1" x14ac:dyDescent="0.2">
      <c r="A48" s="346" t="s">
        <v>5419</v>
      </c>
      <c r="B48" s="325">
        <v>43915</v>
      </c>
      <c r="C48" s="329" t="s">
        <v>5420</v>
      </c>
      <c r="D48" s="329" t="s">
        <v>3039</v>
      </c>
      <c r="E48" s="326" t="s">
        <v>2971</v>
      </c>
      <c r="F48" s="323">
        <v>1</v>
      </c>
      <c r="G48" s="326" t="s">
        <v>2841</v>
      </c>
      <c r="H48" s="326" t="s">
        <v>685</v>
      </c>
      <c r="I48" s="326" t="s">
        <v>229</v>
      </c>
      <c r="J48" s="325">
        <v>43951</v>
      </c>
      <c r="K48" s="325"/>
      <c r="L48" s="325"/>
      <c r="M48" s="326" t="s">
        <v>2853</v>
      </c>
      <c r="N48" s="323" t="s">
        <v>2088</v>
      </c>
      <c r="O48" s="359">
        <v>43934</v>
      </c>
      <c r="P48" s="323" t="s">
        <v>3061</v>
      </c>
      <c r="Q48" s="323" t="s">
        <v>2829</v>
      </c>
      <c r="R48" s="375"/>
      <c r="S48" s="323">
        <f>Table1372[[#This Row],[DATE  CLOSED]]-Table1372[[#This Row],[INITIATION DATE]]</f>
        <v>19</v>
      </c>
    </row>
    <row r="49" spans="1:19" ht="25.35" customHeight="1" x14ac:dyDescent="0.2">
      <c r="A49" s="346" t="s">
        <v>5421</v>
      </c>
      <c r="B49" s="325">
        <v>43916</v>
      </c>
      <c r="C49" s="329" t="s">
        <v>5422</v>
      </c>
      <c r="D49" s="329" t="s">
        <v>5423</v>
      </c>
      <c r="E49" s="326" t="s">
        <v>2971</v>
      </c>
      <c r="F49" s="323">
        <v>1</v>
      </c>
      <c r="G49" s="326" t="s">
        <v>2836</v>
      </c>
      <c r="H49" s="326" t="s">
        <v>685</v>
      </c>
      <c r="I49" s="326" t="s">
        <v>229</v>
      </c>
      <c r="J49" s="325">
        <v>43951</v>
      </c>
      <c r="K49" s="325"/>
      <c r="L49" s="325"/>
      <c r="M49" s="326" t="s">
        <v>2853</v>
      </c>
      <c r="N49" s="323" t="s">
        <v>2088</v>
      </c>
      <c r="O49" s="359">
        <v>43922</v>
      </c>
      <c r="P49" s="323" t="s">
        <v>3061</v>
      </c>
      <c r="Q49" s="323" t="s">
        <v>2829</v>
      </c>
      <c r="R49" s="375"/>
      <c r="S49" s="323">
        <f>Table1372[[#This Row],[DATE  CLOSED]]-Table1372[[#This Row],[INITIATION DATE]]</f>
        <v>6</v>
      </c>
    </row>
    <row r="50" spans="1:19" ht="25.35" customHeight="1" x14ac:dyDescent="0.2">
      <c r="A50" s="346" t="s">
        <v>5424</v>
      </c>
      <c r="B50" s="325">
        <v>43920</v>
      </c>
      <c r="C50" s="328" t="s">
        <v>5425</v>
      </c>
      <c r="D50" s="328" t="s">
        <v>3873</v>
      </c>
      <c r="E50" s="323" t="s">
        <v>2971</v>
      </c>
      <c r="F50" s="323">
        <v>1</v>
      </c>
      <c r="G50" s="323" t="s">
        <v>2841</v>
      </c>
      <c r="H50" s="323" t="s">
        <v>2106</v>
      </c>
      <c r="I50" s="323" t="s">
        <v>229</v>
      </c>
      <c r="J50" s="325">
        <v>43921</v>
      </c>
      <c r="K50" s="325"/>
      <c r="L50" s="325"/>
      <c r="M50" s="323" t="s">
        <v>2853</v>
      </c>
      <c r="N50" s="323" t="s">
        <v>2088</v>
      </c>
      <c r="O50" s="359">
        <v>43921</v>
      </c>
      <c r="P50" s="323" t="s">
        <v>3061</v>
      </c>
      <c r="Q50" s="323" t="s">
        <v>2829</v>
      </c>
      <c r="R50" s="375"/>
      <c r="S50" s="323">
        <f>Table1372[[#This Row],[DATE  CLOSED]]-Table1372[[#This Row],[INITIATION DATE]]</f>
        <v>1</v>
      </c>
    </row>
    <row r="51" spans="1:19" ht="25.35" customHeight="1" x14ac:dyDescent="0.2">
      <c r="A51" s="346" t="s">
        <v>5426</v>
      </c>
      <c r="B51" s="325">
        <v>43921</v>
      </c>
      <c r="C51" s="328" t="s">
        <v>5427</v>
      </c>
      <c r="D51" s="328" t="s">
        <v>3873</v>
      </c>
      <c r="E51" s="323" t="s">
        <v>2971</v>
      </c>
      <c r="F51" s="323">
        <v>1</v>
      </c>
      <c r="G51" s="323" t="s">
        <v>2841</v>
      </c>
      <c r="H51" s="323" t="s">
        <v>229</v>
      </c>
      <c r="I51" s="323" t="s">
        <v>755</v>
      </c>
      <c r="J51" s="325">
        <v>43921</v>
      </c>
      <c r="K51" s="325"/>
      <c r="L51" s="325"/>
      <c r="M51" s="323" t="s">
        <v>2853</v>
      </c>
      <c r="N51" s="323" t="s">
        <v>3022</v>
      </c>
      <c r="O51" s="359">
        <v>43925</v>
      </c>
      <c r="P51" s="323" t="s">
        <v>3022</v>
      </c>
      <c r="Q51" s="323" t="s">
        <v>2829</v>
      </c>
      <c r="R51" s="375"/>
      <c r="S51" s="323">
        <f>Table1372[[#This Row],[DATE  CLOSED]]-Table1372[[#This Row],[INITIATION DATE]]</f>
        <v>4</v>
      </c>
    </row>
    <row r="52" spans="1:19" ht="25.35" customHeight="1" x14ac:dyDescent="0.2">
      <c r="A52" s="346" t="s">
        <v>5428</v>
      </c>
      <c r="B52" s="325">
        <v>43922</v>
      </c>
      <c r="C52" s="328" t="s">
        <v>5429</v>
      </c>
      <c r="D52" s="328" t="s">
        <v>4141</v>
      </c>
      <c r="E52" s="323" t="s">
        <v>2971</v>
      </c>
      <c r="F52" s="323">
        <v>1</v>
      </c>
      <c r="G52" s="323" t="s">
        <v>2841</v>
      </c>
      <c r="H52" s="323" t="s">
        <v>229</v>
      </c>
      <c r="I52" s="323" t="s">
        <v>755</v>
      </c>
      <c r="J52" s="325">
        <v>43951</v>
      </c>
      <c r="K52" s="325"/>
      <c r="L52" s="325"/>
      <c r="M52" s="323" t="s">
        <v>2853</v>
      </c>
      <c r="N52" s="323" t="s">
        <v>2088</v>
      </c>
      <c r="O52" s="359">
        <v>43949</v>
      </c>
      <c r="P52" s="323" t="s">
        <v>3061</v>
      </c>
      <c r="Q52" s="323" t="s">
        <v>2829</v>
      </c>
      <c r="R52" s="375"/>
      <c r="S52" s="323">
        <f>Table1372[[#This Row],[DATE  CLOSED]]-Table1372[[#This Row],[INITIATION DATE]]</f>
        <v>27</v>
      </c>
    </row>
    <row r="53" spans="1:19" ht="25.35" customHeight="1" x14ac:dyDescent="0.2">
      <c r="A53" s="346" t="s">
        <v>5430</v>
      </c>
      <c r="B53" s="325">
        <v>43922</v>
      </c>
      <c r="C53" s="328" t="s">
        <v>5431</v>
      </c>
      <c r="D53" s="328" t="s">
        <v>5432</v>
      </c>
      <c r="E53" s="323" t="s">
        <v>2971</v>
      </c>
      <c r="F53" s="323">
        <v>1</v>
      </c>
      <c r="G53" s="323" t="s">
        <v>2841</v>
      </c>
      <c r="H53" s="323" t="s">
        <v>229</v>
      </c>
      <c r="I53" s="323" t="s">
        <v>755</v>
      </c>
      <c r="J53" s="325">
        <v>43951</v>
      </c>
      <c r="K53" s="325"/>
      <c r="L53" s="325"/>
      <c r="M53" s="326" t="s">
        <v>2853</v>
      </c>
      <c r="N53" s="326" t="s">
        <v>2088</v>
      </c>
      <c r="O53" s="359">
        <v>43926</v>
      </c>
      <c r="P53" s="326" t="s">
        <v>3061</v>
      </c>
      <c r="Q53" s="326" t="s">
        <v>2829</v>
      </c>
      <c r="R53" s="335"/>
      <c r="S53" s="323">
        <f>Table1372[[#This Row],[DATE  CLOSED]]-Table1372[[#This Row],[INITIATION DATE]]</f>
        <v>4</v>
      </c>
    </row>
    <row r="54" spans="1:19" ht="25.35" customHeight="1" x14ac:dyDescent="0.2">
      <c r="A54" s="346" t="s">
        <v>5433</v>
      </c>
      <c r="B54" s="325">
        <v>43922</v>
      </c>
      <c r="C54" s="329" t="s">
        <v>5434</v>
      </c>
      <c r="D54" s="329" t="s">
        <v>5435</v>
      </c>
      <c r="E54" s="326" t="s">
        <v>2971</v>
      </c>
      <c r="F54" s="323">
        <v>1</v>
      </c>
      <c r="G54" s="326" t="s">
        <v>2841</v>
      </c>
      <c r="H54" s="326" t="s">
        <v>229</v>
      </c>
      <c r="I54" s="326" t="s">
        <v>755</v>
      </c>
      <c r="J54" s="325">
        <v>43951</v>
      </c>
      <c r="K54" s="325"/>
      <c r="L54" s="325"/>
      <c r="M54" s="326" t="s">
        <v>2853</v>
      </c>
      <c r="N54" s="326" t="s">
        <v>2088</v>
      </c>
      <c r="O54" s="359">
        <v>43926</v>
      </c>
      <c r="P54" s="326" t="s">
        <v>3061</v>
      </c>
      <c r="Q54" s="326" t="s">
        <v>2829</v>
      </c>
      <c r="R54" s="375"/>
      <c r="S54" s="323">
        <f>Table1372[[#This Row],[DATE  CLOSED]]-Table1372[[#This Row],[INITIATION DATE]]</f>
        <v>4</v>
      </c>
    </row>
    <row r="55" spans="1:19" ht="25.35" customHeight="1" x14ac:dyDescent="0.2">
      <c r="A55" s="346" t="s">
        <v>5436</v>
      </c>
      <c r="B55" s="325">
        <v>43922</v>
      </c>
      <c r="C55" s="329" t="s">
        <v>5437</v>
      </c>
      <c r="D55" s="329" t="s">
        <v>3225</v>
      </c>
      <c r="E55" s="326" t="s">
        <v>2971</v>
      </c>
      <c r="F55" s="323">
        <v>1</v>
      </c>
      <c r="G55" s="326" t="s">
        <v>2841</v>
      </c>
      <c r="H55" s="326" t="s">
        <v>229</v>
      </c>
      <c r="I55" s="326" t="s">
        <v>755</v>
      </c>
      <c r="J55" s="325">
        <v>43951</v>
      </c>
      <c r="K55" s="325"/>
      <c r="L55" s="325"/>
      <c r="M55" s="326" t="s">
        <v>2853</v>
      </c>
      <c r="N55" s="323" t="s">
        <v>2088</v>
      </c>
      <c r="O55" s="359">
        <v>43943</v>
      </c>
      <c r="P55" s="323" t="s">
        <v>3061</v>
      </c>
      <c r="Q55" s="323" t="s">
        <v>2829</v>
      </c>
      <c r="R55" s="375"/>
      <c r="S55" s="323">
        <f>Table1372[[#This Row],[DATE  CLOSED]]-Table1372[[#This Row],[INITIATION DATE]]</f>
        <v>21</v>
      </c>
    </row>
    <row r="56" spans="1:19" ht="25.35" customHeight="1" x14ac:dyDescent="0.2">
      <c r="A56" s="346" t="s">
        <v>5438</v>
      </c>
      <c r="B56" s="325">
        <v>43923</v>
      </c>
      <c r="C56" s="328" t="s">
        <v>5440</v>
      </c>
      <c r="D56" s="328" t="s">
        <v>5441</v>
      </c>
      <c r="E56" s="323" t="s">
        <v>4675</v>
      </c>
      <c r="F56" s="323">
        <v>1</v>
      </c>
      <c r="G56" s="323" t="s">
        <v>2828</v>
      </c>
      <c r="H56" s="323" t="s">
        <v>3975</v>
      </c>
      <c r="I56" s="323" t="s">
        <v>3926</v>
      </c>
      <c r="J56" s="325">
        <v>43951</v>
      </c>
      <c r="K56" s="325"/>
      <c r="L56" s="325"/>
      <c r="M56" s="323" t="s">
        <v>2853</v>
      </c>
      <c r="N56" s="323" t="s">
        <v>2088</v>
      </c>
      <c r="O56" s="359">
        <v>43949</v>
      </c>
      <c r="P56" s="323" t="s">
        <v>3061</v>
      </c>
      <c r="Q56" s="323" t="s">
        <v>2829</v>
      </c>
      <c r="R56" s="375"/>
      <c r="S56" s="323">
        <f>Table1372[[#This Row],[DATE  CLOSED]]-Table1372[[#This Row],[INITIATION DATE]]</f>
        <v>26</v>
      </c>
    </row>
    <row r="57" spans="1:19" ht="25.35" customHeight="1" x14ac:dyDescent="0.2">
      <c r="A57" s="346" t="s">
        <v>5439</v>
      </c>
      <c r="B57" s="325">
        <v>43923</v>
      </c>
      <c r="C57" s="328" t="s">
        <v>5442</v>
      </c>
      <c r="D57" s="328" t="s">
        <v>5443</v>
      </c>
      <c r="E57" s="323" t="s">
        <v>4256</v>
      </c>
      <c r="F57" s="323">
        <v>1</v>
      </c>
      <c r="G57" s="323" t="s">
        <v>2828</v>
      </c>
      <c r="H57" s="323" t="s">
        <v>4232</v>
      </c>
      <c r="I57" s="323" t="s">
        <v>3211</v>
      </c>
      <c r="J57" s="325">
        <v>43982</v>
      </c>
      <c r="K57" s="325"/>
      <c r="L57" s="325"/>
      <c r="M57" s="323" t="s">
        <v>2853</v>
      </c>
      <c r="N57" s="323" t="s">
        <v>2088</v>
      </c>
      <c r="O57" s="359">
        <v>43943</v>
      </c>
      <c r="P57" s="323" t="s">
        <v>3061</v>
      </c>
      <c r="Q57" s="323" t="s">
        <v>2829</v>
      </c>
      <c r="R57" s="375"/>
      <c r="S57" s="323">
        <f>Table1372[[#This Row],[DATE  CLOSED]]-Table1372[[#This Row],[INITIATION DATE]]</f>
        <v>20</v>
      </c>
    </row>
    <row r="58" spans="1:19" ht="25.35" customHeight="1" x14ac:dyDescent="0.2">
      <c r="A58" s="349" t="s">
        <v>5444</v>
      </c>
      <c r="B58" s="325">
        <v>43924</v>
      </c>
      <c r="C58" s="328" t="s">
        <v>5445</v>
      </c>
      <c r="D58" s="328" t="s">
        <v>3873</v>
      </c>
      <c r="E58" s="323" t="s">
        <v>5345</v>
      </c>
      <c r="F58" s="323">
        <v>1</v>
      </c>
      <c r="G58" s="323" t="s">
        <v>2828</v>
      </c>
      <c r="H58" s="323" t="s">
        <v>4232</v>
      </c>
      <c r="I58" s="323" t="s">
        <v>3211</v>
      </c>
      <c r="J58" s="325">
        <v>43982</v>
      </c>
      <c r="K58" s="325"/>
      <c r="L58" s="325"/>
      <c r="M58" s="323" t="s">
        <v>2853</v>
      </c>
      <c r="N58" s="323" t="s">
        <v>2088</v>
      </c>
      <c r="O58" s="359">
        <v>43958</v>
      </c>
      <c r="P58" s="323" t="s">
        <v>3061</v>
      </c>
      <c r="Q58" s="323" t="s">
        <v>2832</v>
      </c>
      <c r="R58" s="375"/>
      <c r="S58" s="323">
        <f>Table1372[[#This Row],[DATE  CLOSED]]-Table1372[[#This Row],[INITIATION DATE]]</f>
        <v>34</v>
      </c>
    </row>
    <row r="59" spans="1:19" ht="25.35" customHeight="1" x14ac:dyDescent="0.2">
      <c r="A59" s="349" t="s">
        <v>5446</v>
      </c>
      <c r="B59" s="325">
        <v>43924</v>
      </c>
      <c r="C59" s="328" t="s">
        <v>5450</v>
      </c>
      <c r="D59" s="328" t="s">
        <v>5463</v>
      </c>
      <c r="E59" s="323" t="s">
        <v>3777</v>
      </c>
      <c r="F59" s="323">
        <v>1</v>
      </c>
      <c r="G59" s="323" t="s">
        <v>2828</v>
      </c>
      <c r="H59" s="323" t="s">
        <v>4079</v>
      </c>
      <c r="I59" s="323" t="s">
        <v>3211</v>
      </c>
      <c r="J59" s="325" t="s">
        <v>2088</v>
      </c>
      <c r="K59" s="325"/>
      <c r="L59" s="325"/>
      <c r="M59" s="323" t="s">
        <v>1056</v>
      </c>
      <c r="N59" s="323"/>
      <c r="O59" s="359"/>
      <c r="P59" s="323"/>
      <c r="Q59" s="323"/>
      <c r="R59" s="376" t="s">
        <v>5464</v>
      </c>
      <c r="S59" s="323">
        <f>Table1372[[#This Row],[DATE  CLOSED]]-Table1372[[#This Row],[INITIATION DATE]]</f>
        <v>-43924</v>
      </c>
    </row>
    <row r="60" spans="1:19" ht="25.35" customHeight="1" x14ac:dyDescent="0.2">
      <c r="A60" s="349" t="s">
        <v>5449</v>
      </c>
      <c r="B60" s="325">
        <v>43925</v>
      </c>
      <c r="C60" s="328" t="s">
        <v>5447</v>
      </c>
      <c r="D60" s="328" t="s">
        <v>5448</v>
      </c>
      <c r="E60" s="323" t="s">
        <v>2971</v>
      </c>
      <c r="F60" s="323">
        <v>1</v>
      </c>
      <c r="G60" s="323" t="s">
        <v>2840</v>
      </c>
      <c r="H60" s="323" t="s">
        <v>4261</v>
      </c>
      <c r="I60" s="323" t="s">
        <v>229</v>
      </c>
      <c r="J60" s="325">
        <v>43951</v>
      </c>
      <c r="K60" s="325"/>
      <c r="L60" s="325"/>
      <c r="M60" s="323" t="s">
        <v>2853</v>
      </c>
      <c r="N60" s="323" t="s">
        <v>2088</v>
      </c>
      <c r="O60" s="359">
        <v>43928</v>
      </c>
      <c r="P60" s="323" t="s">
        <v>3061</v>
      </c>
      <c r="Q60" s="323" t="s">
        <v>2829</v>
      </c>
      <c r="R60" s="375"/>
      <c r="S60" s="323">
        <f>Table1372[[#This Row],[DATE  CLOSED]]-Table1372[[#This Row],[INITIATION DATE]]</f>
        <v>3</v>
      </c>
    </row>
    <row r="61" spans="1:19" ht="25.35" customHeight="1" x14ac:dyDescent="0.2">
      <c r="A61" s="349" t="s">
        <v>5451</v>
      </c>
      <c r="B61" s="325">
        <v>43926</v>
      </c>
      <c r="C61" s="329" t="s">
        <v>5452</v>
      </c>
      <c r="D61" s="329" t="s">
        <v>3039</v>
      </c>
      <c r="E61" s="326" t="s">
        <v>2971</v>
      </c>
      <c r="F61" s="323">
        <v>1</v>
      </c>
      <c r="G61" s="326" t="s">
        <v>2841</v>
      </c>
      <c r="H61" s="326" t="s">
        <v>1461</v>
      </c>
      <c r="I61" s="326" t="s">
        <v>755</v>
      </c>
      <c r="J61" s="325">
        <v>43982</v>
      </c>
      <c r="K61" s="325"/>
      <c r="L61" s="325"/>
      <c r="M61" s="326" t="s">
        <v>2853</v>
      </c>
      <c r="N61" s="323" t="s">
        <v>2088</v>
      </c>
      <c r="O61" s="359">
        <v>43944</v>
      </c>
      <c r="P61" s="323" t="s">
        <v>3061</v>
      </c>
      <c r="Q61" s="323" t="s">
        <v>2829</v>
      </c>
      <c r="R61" s="375"/>
      <c r="S61" s="323">
        <f>Table1372[[#This Row],[DATE  CLOSED]]-Table1372[[#This Row],[INITIATION DATE]]</f>
        <v>18</v>
      </c>
    </row>
    <row r="62" spans="1:19" ht="25.35" customHeight="1" x14ac:dyDescent="0.2">
      <c r="A62" s="349" t="s">
        <v>5453</v>
      </c>
      <c r="B62" s="325">
        <v>43935</v>
      </c>
      <c r="C62" s="328" t="s">
        <v>5454</v>
      </c>
      <c r="D62" s="328" t="s">
        <v>5455</v>
      </c>
      <c r="E62" s="323" t="s">
        <v>3825</v>
      </c>
      <c r="F62" s="323">
        <v>1</v>
      </c>
      <c r="G62" s="323" t="s">
        <v>2828</v>
      </c>
      <c r="H62" s="323" t="s">
        <v>4232</v>
      </c>
      <c r="I62" s="323" t="s">
        <v>3211</v>
      </c>
      <c r="J62" s="325">
        <v>43982</v>
      </c>
      <c r="K62" s="325"/>
      <c r="L62" s="325"/>
      <c r="M62" s="323" t="s">
        <v>2853</v>
      </c>
      <c r="N62" s="323" t="s">
        <v>2088</v>
      </c>
      <c r="O62" s="359">
        <v>43963</v>
      </c>
      <c r="P62" s="323" t="s">
        <v>3061</v>
      </c>
      <c r="Q62" s="323" t="s">
        <v>2829</v>
      </c>
      <c r="R62" s="375"/>
      <c r="S62" s="323">
        <f>Table1372[[#This Row],[DATE  CLOSED]]-Table1372[[#This Row],[INITIATION DATE]]</f>
        <v>28</v>
      </c>
    </row>
    <row r="63" spans="1:19" ht="25.35" customHeight="1" x14ac:dyDescent="0.2">
      <c r="A63" s="349" t="s">
        <v>5456</v>
      </c>
      <c r="B63" s="325">
        <v>43936</v>
      </c>
      <c r="C63" s="329" t="s">
        <v>5457</v>
      </c>
      <c r="D63" s="329" t="s">
        <v>5458</v>
      </c>
      <c r="E63" s="326" t="s">
        <v>2971</v>
      </c>
      <c r="F63" s="323">
        <v>1</v>
      </c>
      <c r="G63" s="326" t="s">
        <v>2836</v>
      </c>
      <c r="H63" s="326" t="s">
        <v>685</v>
      </c>
      <c r="I63" s="326" t="s">
        <v>229</v>
      </c>
      <c r="J63" s="325">
        <v>43951</v>
      </c>
      <c r="K63" s="325"/>
      <c r="L63" s="325"/>
      <c r="M63" s="326" t="s">
        <v>2853</v>
      </c>
      <c r="N63" s="323" t="s">
        <v>2088</v>
      </c>
      <c r="O63" s="359">
        <v>43949</v>
      </c>
      <c r="P63" s="323" t="s">
        <v>3061</v>
      </c>
      <c r="Q63" s="323" t="s">
        <v>2829</v>
      </c>
      <c r="R63" s="375"/>
      <c r="S63" s="323">
        <f>Table1372[[#This Row],[DATE  CLOSED]]-Table1372[[#This Row],[INITIATION DATE]]</f>
        <v>13</v>
      </c>
    </row>
    <row r="64" spans="1:19" ht="25.35" customHeight="1" x14ac:dyDescent="0.2">
      <c r="A64" s="349" t="s">
        <v>5470</v>
      </c>
      <c r="B64" s="325">
        <v>43937</v>
      </c>
      <c r="C64" s="328" t="s">
        <v>5459</v>
      </c>
      <c r="D64" s="328" t="s">
        <v>5460</v>
      </c>
      <c r="E64" s="323" t="s">
        <v>2971</v>
      </c>
      <c r="F64" s="323">
        <v>1</v>
      </c>
      <c r="G64" s="323" t="s">
        <v>2828</v>
      </c>
      <c r="H64" s="323" t="s">
        <v>3842</v>
      </c>
      <c r="I64" s="323" t="s">
        <v>3211</v>
      </c>
      <c r="J64" s="325">
        <v>43982</v>
      </c>
      <c r="K64" s="325"/>
      <c r="L64" s="325"/>
      <c r="M64" s="323" t="s">
        <v>2853</v>
      </c>
      <c r="N64" s="323" t="s">
        <v>2088</v>
      </c>
      <c r="O64" s="359">
        <v>43971</v>
      </c>
      <c r="P64" s="323" t="s">
        <v>3061</v>
      </c>
      <c r="Q64" s="323" t="s">
        <v>2832</v>
      </c>
      <c r="R64" s="375"/>
      <c r="S64" s="323">
        <f>Table1372[[#This Row],[DATE  CLOSED]]-Table1372[[#This Row],[INITIATION DATE]]</f>
        <v>34</v>
      </c>
    </row>
    <row r="65" spans="1:19" ht="25.35" customHeight="1" x14ac:dyDescent="0.2">
      <c r="A65" s="346" t="s">
        <v>5919</v>
      </c>
      <c r="B65" s="325">
        <v>43937</v>
      </c>
      <c r="C65" s="328" t="s">
        <v>5461</v>
      </c>
      <c r="D65" s="328" t="s">
        <v>5462</v>
      </c>
      <c r="E65" s="323" t="s">
        <v>4256</v>
      </c>
      <c r="F65" s="323">
        <v>1</v>
      </c>
      <c r="G65" s="323" t="s">
        <v>2828</v>
      </c>
      <c r="H65" s="323" t="s">
        <v>4232</v>
      </c>
      <c r="I65" s="323" t="s">
        <v>3211</v>
      </c>
      <c r="J65" s="325">
        <v>43982</v>
      </c>
      <c r="K65" s="325"/>
      <c r="L65" s="325"/>
      <c r="M65" s="323" t="s">
        <v>2853</v>
      </c>
      <c r="N65" s="323" t="s">
        <v>2088</v>
      </c>
      <c r="O65" s="359">
        <v>43943</v>
      </c>
      <c r="P65" s="323" t="s">
        <v>3061</v>
      </c>
      <c r="Q65" s="323" t="s">
        <v>2829</v>
      </c>
      <c r="R65" s="375"/>
      <c r="S65" s="323">
        <f>Table1372[[#This Row],[DATE  CLOSED]]-Table1372[[#This Row],[INITIATION DATE]]</f>
        <v>6</v>
      </c>
    </row>
    <row r="66" spans="1:19" ht="25.35" customHeight="1" x14ac:dyDescent="0.2">
      <c r="A66" s="346" t="s">
        <v>5920</v>
      </c>
      <c r="B66" s="325">
        <v>43937</v>
      </c>
      <c r="C66" s="328" t="s">
        <v>5465</v>
      </c>
      <c r="D66" s="328" t="s">
        <v>5466</v>
      </c>
      <c r="E66" s="323" t="s">
        <v>4610</v>
      </c>
      <c r="F66" s="323">
        <v>1</v>
      </c>
      <c r="G66" s="323" t="s">
        <v>2828</v>
      </c>
      <c r="H66" s="323" t="s">
        <v>4021</v>
      </c>
      <c r="I66" s="323" t="s">
        <v>3211</v>
      </c>
      <c r="J66" s="325">
        <v>43982</v>
      </c>
      <c r="K66" s="325"/>
      <c r="L66" s="325"/>
      <c r="M66" s="323" t="s">
        <v>2853</v>
      </c>
      <c r="N66" s="323" t="s">
        <v>2088</v>
      </c>
      <c r="O66" s="359">
        <v>43941</v>
      </c>
      <c r="P66" s="323" t="s">
        <v>3061</v>
      </c>
      <c r="Q66" s="323" t="s">
        <v>2829</v>
      </c>
      <c r="R66" s="375"/>
      <c r="S66" s="323">
        <f>Table1372[[#This Row],[DATE  CLOSED]]-Table1372[[#This Row],[INITIATION DATE]]</f>
        <v>4</v>
      </c>
    </row>
    <row r="67" spans="1:19" ht="25.35" customHeight="1" x14ac:dyDescent="0.2">
      <c r="A67" s="349" t="s">
        <v>5467</v>
      </c>
      <c r="B67" s="325">
        <v>43941</v>
      </c>
      <c r="C67" s="328" t="s">
        <v>5468</v>
      </c>
      <c r="D67" s="328" t="s">
        <v>5469</v>
      </c>
      <c r="E67" s="323" t="s">
        <v>3386</v>
      </c>
      <c r="F67" s="323">
        <v>1</v>
      </c>
      <c r="G67" s="323" t="s">
        <v>2828</v>
      </c>
      <c r="H67" s="323" t="s">
        <v>4079</v>
      </c>
      <c r="I67" s="326" t="s">
        <v>3926</v>
      </c>
      <c r="J67" s="325">
        <v>43982</v>
      </c>
      <c r="K67" s="327"/>
      <c r="L67" s="327"/>
      <c r="M67" s="323" t="s">
        <v>2853</v>
      </c>
      <c r="N67" s="326" t="s">
        <v>2088</v>
      </c>
      <c r="O67" s="359">
        <v>43977</v>
      </c>
      <c r="P67" s="323" t="s">
        <v>3061</v>
      </c>
      <c r="Q67" s="323" t="s">
        <v>2832</v>
      </c>
      <c r="R67" s="375"/>
      <c r="S67" s="323">
        <f>Table1372[[#This Row],[DATE  CLOSED]]-Table1372[[#This Row],[INITIATION DATE]]</f>
        <v>36</v>
      </c>
    </row>
    <row r="68" spans="1:19" ht="25.35" customHeight="1" x14ac:dyDescent="0.2">
      <c r="A68" s="349" t="s">
        <v>5471</v>
      </c>
      <c r="B68" s="325">
        <v>43949</v>
      </c>
      <c r="C68" s="328" t="s">
        <v>5474</v>
      </c>
      <c r="D68" s="328" t="s">
        <v>5473</v>
      </c>
      <c r="E68" s="323" t="s">
        <v>2971</v>
      </c>
      <c r="F68" s="323">
        <v>1</v>
      </c>
      <c r="G68" s="323" t="s">
        <v>2838</v>
      </c>
      <c r="H68" s="323" t="s">
        <v>685</v>
      </c>
      <c r="I68" s="323" t="s">
        <v>229</v>
      </c>
      <c r="J68" s="325">
        <v>43982</v>
      </c>
      <c r="K68" s="325"/>
      <c r="L68" s="325"/>
      <c r="M68" s="323" t="s">
        <v>2853</v>
      </c>
      <c r="N68" s="323" t="s">
        <v>2088</v>
      </c>
      <c r="O68" s="359">
        <v>43950</v>
      </c>
      <c r="P68" s="323" t="s">
        <v>3061</v>
      </c>
      <c r="Q68" s="323" t="s">
        <v>2829</v>
      </c>
      <c r="R68" s="375"/>
      <c r="S68" s="323">
        <f>Table1372[[#This Row],[DATE  CLOSED]]-Table1372[[#This Row],[INITIATION DATE]]</f>
        <v>1</v>
      </c>
    </row>
    <row r="69" spans="1:19" ht="25.35" customHeight="1" x14ac:dyDescent="0.2">
      <c r="A69" s="349" t="s">
        <v>5472</v>
      </c>
      <c r="B69" s="325">
        <v>43949</v>
      </c>
      <c r="C69" s="328" t="s">
        <v>5474</v>
      </c>
      <c r="D69" s="328" t="s">
        <v>5475</v>
      </c>
      <c r="E69" s="323" t="s">
        <v>2971</v>
      </c>
      <c r="F69" s="323">
        <v>1</v>
      </c>
      <c r="G69" s="323" t="s">
        <v>2838</v>
      </c>
      <c r="H69" s="323" t="s">
        <v>685</v>
      </c>
      <c r="I69" s="323" t="s">
        <v>229</v>
      </c>
      <c r="J69" s="325">
        <v>43982</v>
      </c>
      <c r="K69" s="325"/>
      <c r="L69" s="325"/>
      <c r="M69" s="323" t="s">
        <v>2853</v>
      </c>
      <c r="N69" s="323" t="s">
        <v>2088</v>
      </c>
      <c r="O69" s="359">
        <v>43950</v>
      </c>
      <c r="P69" s="323" t="s">
        <v>3061</v>
      </c>
      <c r="Q69" s="323" t="s">
        <v>2829</v>
      </c>
      <c r="R69" s="375"/>
      <c r="S69" s="323">
        <f>Table1372[[#This Row],[DATE  CLOSED]]-Table1372[[#This Row],[INITIATION DATE]]</f>
        <v>1</v>
      </c>
    </row>
    <row r="70" spans="1:19" ht="25.35" customHeight="1" x14ac:dyDescent="0.2">
      <c r="A70" s="349" t="s">
        <v>5476</v>
      </c>
      <c r="B70" s="325">
        <v>43949</v>
      </c>
      <c r="C70" s="329" t="s">
        <v>5477</v>
      </c>
      <c r="D70" s="328" t="s">
        <v>3039</v>
      </c>
      <c r="E70" s="323" t="s">
        <v>2971</v>
      </c>
      <c r="F70" s="323">
        <v>1</v>
      </c>
      <c r="G70" s="323" t="s">
        <v>2841</v>
      </c>
      <c r="H70" s="323" t="s">
        <v>4079</v>
      </c>
      <c r="I70" s="323" t="s">
        <v>3211</v>
      </c>
      <c r="J70" s="325">
        <v>44043</v>
      </c>
      <c r="K70" s="325"/>
      <c r="L70" s="325"/>
      <c r="M70" s="323" t="s">
        <v>2853</v>
      </c>
      <c r="N70" s="323" t="s">
        <v>3061</v>
      </c>
      <c r="O70" s="359">
        <v>44018</v>
      </c>
      <c r="P70" s="326" t="s">
        <v>3061</v>
      </c>
      <c r="Q70" s="323" t="s">
        <v>2832</v>
      </c>
      <c r="R70" s="375"/>
      <c r="S70" s="323">
        <f>Table1372[[#This Row],[DATE  CLOSED]]-Table1372[[#This Row],[INITIATION DATE]]</f>
        <v>69</v>
      </c>
    </row>
    <row r="71" spans="1:19" ht="25.35" customHeight="1" x14ac:dyDescent="0.2">
      <c r="A71" s="346" t="s">
        <v>5478</v>
      </c>
      <c r="B71" s="325">
        <v>43951</v>
      </c>
      <c r="C71" s="329" t="s">
        <v>5479</v>
      </c>
      <c r="D71" s="329" t="s">
        <v>5480</v>
      </c>
      <c r="E71" s="326" t="s">
        <v>4610</v>
      </c>
      <c r="F71" s="323">
        <v>1</v>
      </c>
      <c r="G71" s="326" t="s">
        <v>2828</v>
      </c>
      <c r="H71" s="326" t="s">
        <v>3211</v>
      </c>
      <c r="I71" s="326" t="s">
        <v>229</v>
      </c>
      <c r="J71" s="325">
        <v>43982</v>
      </c>
      <c r="K71" s="325"/>
      <c r="L71" s="325"/>
      <c r="M71" s="326" t="s">
        <v>2853</v>
      </c>
      <c r="N71" s="323" t="s">
        <v>2088</v>
      </c>
      <c r="O71" s="359">
        <v>43956</v>
      </c>
      <c r="P71" s="323" t="s">
        <v>3061</v>
      </c>
      <c r="Q71" s="323" t="s">
        <v>2829</v>
      </c>
      <c r="R71" s="375"/>
      <c r="S71" s="323">
        <f>Table1372[[#This Row],[DATE  CLOSED]]-Table1372[[#This Row],[INITIATION DATE]]</f>
        <v>5</v>
      </c>
    </row>
    <row r="72" spans="1:19" ht="25.35" customHeight="1" x14ac:dyDescent="0.2">
      <c r="A72" s="349" t="s">
        <v>5481</v>
      </c>
      <c r="B72" s="325">
        <v>43951</v>
      </c>
      <c r="C72" s="328" t="s">
        <v>5482</v>
      </c>
      <c r="D72" s="328" t="s">
        <v>5483</v>
      </c>
      <c r="E72" s="323" t="s">
        <v>3825</v>
      </c>
      <c r="F72" s="323">
        <v>1</v>
      </c>
      <c r="G72" s="323" t="s">
        <v>2840</v>
      </c>
      <c r="H72" s="323" t="s">
        <v>3747</v>
      </c>
      <c r="I72" s="323" t="s">
        <v>755</v>
      </c>
      <c r="J72" s="325">
        <v>43982</v>
      </c>
      <c r="K72" s="325"/>
      <c r="L72" s="325"/>
      <c r="M72" s="323" t="s">
        <v>2853</v>
      </c>
      <c r="N72" s="323" t="s">
        <v>2088</v>
      </c>
      <c r="O72" s="359">
        <v>43951</v>
      </c>
      <c r="P72" s="323" t="s">
        <v>3061</v>
      </c>
      <c r="Q72" s="323" t="s">
        <v>2829</v>
      </c>
      <c r="R72" s="375"/>
      <c r="S72" s="323">
        <f>Table1372[[#This Row],[DATE  CLOSED]]-Table1372[[#This Row],[INITIATION DATE]]</f>
        <v>0</v>
      </c>
    </row>
    <row r="73" spans="1:19" ht="25.35" customHeight="1" x14ac:dyDescent="0.2">
      <c r="A73" s="349" t="s">
        <v>5484</v>
      </c>
      <c r="B73" s="325">
        <v>43955</v>
      </c>
      <c r="C73" s="328" t="s">
        <v>5485</v>
      </c>
      <c r="D73" s="328" t="s">
        <v>5486</v>
      </c>
      <c r="E73" s="323" t="s">
        <v>2971</v>
      </c>
      <c r="F73" s="323">
        <v>1</v>
      </c>
      <c r="G73" s="323" t="s">
        <v>2840</v>
      </c>
      <c r="H73" s="323" t="s">
        <v>441</v>
      </c>
      <c r="I73" s="323" t="s">
        <v>755</v>
      </c>
      <c r="J73" s="325">
        <v>43982</v>
      </c>
      <c r="K73" s="325"/>
      <c r="L73" s="325"/>
      <c r="M73" s="323" t="s">
        <v>2853</v>
      </c>
      <c r="N73" s="323" t="s">
        <v>2088</v>
      </c>
      <c r="O73" s="359">
        <v>43955</v>
      </c>
      <c r="P73" s="323" t="s">
        <v>3061</v>
      </c>
      <c r="Q73" s="323" t="s">
        <v>2829</v>
      </c>
      <c r="R73" s="375" t="s">
        <v>5080</v>
      </c>
      <c r="S73" s="323">
        <f>Table1372[[#This Row],[DATE  CLOSED]]-Table1372[[#This Row],[INITIATION DATE]]</f>
        <v>0</v>
      </c>
    </row>
    <row r="74" spans="1:19" ht="25.35" customHeight="1" x14ac:dyDescent="0.2">
      <c r="A74" s="349" t="s">
        <v>5487</v>
      </c>
      <c r="B74" s="325">
        <v>43956</v>
      </c>
      <c r="C74" s="328" t="s">
        <v>5488</v>
      </c>
      <c r="D74" s="328" t="s">
        <v>5489</v>
      </c>
      <c r="E74" s="323" t="s">
        <v>2971</v>
      </c>
      <c r="F74" s="323">
        <v>1</v>
      </c>
      <c r="G74" s="323" t="s">
        <v>2841</v>
      </c>
      <c r="H74" s="323" t="s">
        <v>4232</v>
      </c>
      <c r="I74" s="323" t="s">
        <v>3211</v>
      </c>
      <c r="J74" s="325">
        <v>44196</v>
      </c>
      <c r="K74" s="325"/>
      <c r="L74" s="325"/>
      <c r="M74" s="323" t="s">
        <v>2853</v>
      </c>
      <c r="N74" s="323" t="s">
        <v>2088</v>
      </c>
      <c r="O74" s="359">
        <v>44187</v>
      </c>
      <c r="P74" s="323" t="s">
        <v>3061</v>
      </c>
      <c r="Q74" s="323" t="s">
        <v>2837</v>
      </c>
      <c r="R74" s="375" t="s">
        <v>5080</v>
      </c>
      <c r="S74" s="323">
        <f>Table1372[[#This Row],[DATE  CLOSED]]-Table1372[[#This Row],[INITIATION DATE]]</f>
        <v>231</v>
      </c>
    </row>
    <row r="75" spans="1:19" ht="25.35" customHeight="1" x14ac:dyDescent="0.2">
      <c r="A75" s="349" t="s">
        <v>5490</v>
      </c>
      <c r="B75" s="325">
        <v>43960</v>
      </c>
      <c r="C75" s="328" t="s">
        <v>5491</v>
      </c>
      <c r="D75" s="328" t="s">
        <v>5492</v>
      </c>
      <c r="E75" s="323" t="s">
        <v>2971</v>
      </c>
      <c r="F75" s="323">
        <v>1</v>
      </c>
      <c r="G75" s="323" t="s">
        <v>2840</v>
      </c>
      <c r="H75" s="323" t="s">
        <v>2106</v>
      </c>
      <c r="I75" s="323" t="s">
        <v>229</v>
      </c>
      <c r="J75" s="325">
        <v>44012</v>
      </c>
      <c r="K75" s="325"/>
      <c r="L75" s="325"/>
      <c r="M75" s="323" t="s">
        <v>2853</v>
      </c>
      <c r="N75" s="323" t="s">
        <v>2088</v>
      </c>
      <c r="O75" s="359">
        <v>43992</v>
      </c>
      <c r="P75" s="323" t="s">
        <v>3061</v>
      </c>
      <c r="Q75" s="323" t="s">
        <v>2829</v>
      </c>
      <c r="R75" s="375"/>
      <c r="S75" s="323">
        <f>Table1372[[#This Row],[DATE  CLOSED]]-Table1372[[#This Row],[INITIATION DATE]]</f>
        <v>32</v>
      </c>
    </row>
    <row r="76" spans="1:19" ht="25.35" customHeight="1" x14ac:dyDescent="0.2">
      <c r="A76" s="349" t="s">
        <v>5493</v>
      </c>
      <c r="B76" s="325">
        <v>43960</v>
      </c>
      <c r="C76" s="328" t="s">
        <v>5495</v>
      </c>
      <c r="D76" s="328" t="s">
        <v>5494</v>
      </c>
      <c r="E76" s="323" t="s">
        <v>2971</v>
      </c>
      <c r="F76" s="323">
        <v>1</v>
      </c>
      <c r="G76" s="323" t="s">
        <v>2840</v>
      </c>
      <c r="H76" s="323" t="s">
        <v>441</v>
      </c>
      <c r="I76" s="323" t="s">
        <v>229</v>
      </c>
      <c r="J76" s="325">
        <v>43982</v>
      </c>
      <c r="K76" s="325"/>
      <c r="L76" s="325"/>
      <c r="M76" s="323" t="s">
        <v>2853</v>
      </c>
      <c r="N76" s="323" t="s">
        <v>2088</v>
      </c>
      <c r="O76" s="359">
        <v>43979</v>
      </c>
      <c r="P76" s="323" t="s">
        <v>3061</v>
      </c>
      <c r="Q76" s="323" t="s">
        <v>2829</v>
      </c>
      <c r="R76" s="375"/>
      <c r="S76" s="323">
        <f>Table1372[[#This Row],[DATE  CLOSED]]-Table1372[[#This Row],[INITIATION DATE]]</f>
        <v>19</v>
      </c>
    </row>
    <row r="77" spans="1:19" ht="25.35" customHeight="1" x14ac:dyDescent="0.2">
      <c r="A77" s="346" t="s">
        <v>5496</v>
      </c>
      <c r="B77" s="325">
        <v>43965</v>
      </c>
      <c r="C77" s="329" t="s">
        <v>5498</v>
      </c>
      <c r="D77" s="329" t="s">
        <v>5497</v>
      </c>
      <c r="E77" s="326" t="s">
        <v>3386</v>
      </c>
      <c r="F77" s="323">
        <v>1</v>
      </c>
      <c r="G77" s="326" t="s">
        <v>2828</v>
      </c>
      <c r="H77" s="326" t="s">
        <v>3842</v>
      </c>
      <c r="I77" s="326" t="s">
        <v>3211</v>
      </c>
      <c r="J77" s="325">
        <v>43982</v>
      </c>
      <c r="K77" s="325"/>
      <c r="L77" s="325"/>
      <c r="M77" s="326" t="s">
        <v>2853</v>
      </c>
      <c r="N77" s="323" t="s">
        <v>2088</v>
      </c>
      <c r="O77" s="359">
        <v>43965</v>
      </c>
      <c r="P77" s="323" t="s">
        <v>3061</v>
      </c>
      <c r="Q77" s="323" t="s">
        <v>2829</v>
      </c>
      <c r="R77" s="375"/>
      <c r="S77" s="323">
        <f>Table1372[[#This Row],[DATE  CLOSED]]-Table1372[[#This Row],[INITIATION DATE]]</f>
        <v>0</v>
      </c>
    </row>
    <row r="78" spans="1:19" ht="25.35" customHeight="1" x14ac:dyDescent="0.2">
      <c r="A78" s="346" t="s">
        <v>5499</v>
      </c>
      <c r="B78" s="325">
        <v>43968</v>
      </c>
      <c r="C78" s="328" t="s">
        <v>5500</v>
      </c>
      <c r="D78" s="328" t="s">
        <v>5501</v>
      </c>
      <c r="E78" s="323" t="s">
        <v>2971</v>
      </c>
      <c r="F78" s="323">
        <v>1</v>
      </c>
      <c r="G78" s="323" t="s">
        <v>2841</v>
      </c>
      <c r="H78" s="323" t="s">
        <v>229</v>
      </c>
      <c r="I78" s="323" t="s">
        <v>4261</v>
      </c>
      <c r="J78" s="325">
        <v>43982</v>
      </c>
      <c r="K78" s="325"/>
      <c r="L78" s="325"/>
      <c r="M78" s="323" t="s">
        <v>2853</v>
      </c>
      <c r="N78" s="323" t="s">
        <v>2088</v>
      </c>
      <c r="O78" s="359">
        <v>43992</v>
      </c>
      <c r="P78" s="323" t="s">
        <v>3061</v>
      </c>
      <c r="Q78" s="323" t="s">
        <v>2829</v>
      </c>
      <c r="R78" s="375"/>
      <c r="S78" s="323">
        <f>Table1372[[#This Row],[DATE  CLOSED]]-Table1372[[#This Row],[INITIATION DATE]]</f>
        <v>24</v>
      </c>
    </row>
    <row r="79" spans="1:19" ht="25.35" customHeight="1" x14ac:dyDescent="0.2">
      <c r="A79" s="346" t="s">
        <v>5502</v>
      </c>
      <c r="B79" s="325">
        <v>43968</v>
      </c>
      <c r="C79" s="328" t="s">
        <v>5503</v>
      </c>
      <c r="D79" s="329" t="s">
        <v>5392</v>
      </c>
      <c r="E79" s="323" t="s">
        <v>2971</v>
      </c>
      <c r="F79" s="323">
        <v>1</v>
      </c>
      <c r="G79" s="323" t="s">
        <v>2841</v>
      </c>
      <c r="H79" s="323" t="s">
        <v>2282</v>
      </c>
      <c r="I79" s="323" t="s">
        <v>229</v>
      </c>
      <c r="J79" s="325">
        <v>43982</v>
      </c>
      <c r="K79" s="325"/>
      <c r="L79" s="325"/>
      <c r="M79" s="323" t="s">
        <v>2853</v>
      </c>
      <c r="N79" s="323" t="s">
        <v>2088</v>
      </c>
      <c r="O79" s="359">
        <v>43992</v>
      </c>
      <c r="P79" s="323" t="s">
        <v>3061</v>
      </c>
      <c r="Q79" s="323" t="s">
        <v>2829</v>
      </c>
      <c r="R79" s="375"/>
      <c r="S79" s="323">
        <f>Table1372[[#This Row],[DATE  CLOSED]]-Table1372[[#This Row],[INITIATION DATE]]</f>
        <v>24</v>
      </c>
    </row>
    <row r="80" spans="1:19" ht="25.35" customHeight="1" x14ac:dyDescent="0.2">
      <c r="A80" s="346" t="s">
        <v>5504</v>
      </c>
      <c r="B80" s="325">
        <v>43969</v>
      </c>
      <c r="C80" s="328" t="s">
        <v>5505</v>
      </c>
      <c r="D80" s="328" t="s">
        <v>5506</v>
      </c>
      <c r="E80" s="323" t="s">
        <v>2971</v>
      </c>
      <c r="F80" s="323">
        <v>1</v>
      </c>
      <c r="G80" s="323" t="s">
        <v>2841</v>
      </c>
      <c r="H80" s="323" t="s">
        <v>229</v>
      </c>
      <c r="I80" s="323" t="s">
        <v>4261</v>
      </c>
      <c r="J80" s="325">
        <v>43982</v>
      </c>
      <c r="K80" s="325"/>
      <c r="L80" s="325"/>
      <c r="M80" s="323" t="s">
        <v>2853</v>
      </c>
      <c r="N80" s="323" t="s">
        <v>2088</v>
      </c>
      <c r="O80" s="359">
        <v>43986</v>
      </c>
      <c r="P80" s="323" t="s">
        <v>3061</v>
      </c>
      <c r="Q80" s="323" t="s">
        <v>2829</v>
      </c>
      <c r="R80" s="375"/>
      <c r="S80" s="323">
        <f>Table1372[[#This Row],[DATE  CLOSED]]-Table1372[[#This Row],[INITIATION DATE]]</f>
        <v>17</v>
      </c>
    </row>
    <row r="81" spans="1:19" ht="25.35" customHeight="1" x14ac:dyDescent="0.2">
      <c r="A81" s="346" t="s">
        <v>5507</v>
      </c>
      <c r="B81" s="325">
        <v>43969</v>
      </c>
      <c r="C81" s="328" t="s">
        <v>5509</v>
      </c>
      <c r="D81" s="328" t="s">
        <v>5510</v>
      </c>
      <c r="E81" s="323" t="s">
        <v>2971</v>
      </c>
      <c r="F81" s="323">
        <v>1</v>
      </c>
      <c r="G81" s="323" t="s">
        <v>2841</v>
      </c>
      <c r="H81" s="323" t="s">
        <v>229</v>
      </c>
      <c r="I81" s="323" t="s">
        <v>4261</v>
      </c>
      <c r="J81" s="325">
        <v>43982</v>
      </c>
      <c r="K81" s="325"/>
      <c r="L81" s="325"/>
      <c r="M81" s="323" t="s">
        <v>2853</v>
      </c>
      <c r="N81" s="323" t="s">
        <v>2088</v>
      </c>
      <c r="O81" s="359">
        <v>43993</v>
      </c>
      <c r="P81" s="323" t="s">
        <v>3061</v>
      </c>
      <c r="Q81" s="323" t="s">
        <v>2829</v>
      </c>
      <c r="R81" s="375"/>
      <c r="S81" s="323">
        <f>Table1372[[#This Row],[DATE  CLOSED]]-Table1372[[#This Row],[INITIATION DATE]]</f>
        <v>24</v>
      </c>
    </row>
    <row r="82" spans="1:19" ht="25.35" customHeight="1" x14ac:dyDescent="0.2">
      <c r="A82" s="346" t="s">
        <v>5508</v>
      </c>
      <c r="B82" s="325">
        <v>43969</v>
      </c>
      <c r="C82" s="328" t="s">
        <v>5511</v>
      </c>
      <c r="D82" s="328" t="s">
        <v>5506</v>
      </c>
      <c r="E82" s="323" t="s">
        <v>2971</v>
      </c>
      <c r="F82" s="323">
        <v>1</v>
      </c>
      <c r="G82" s="323" t="s">
        <v>2841</v>
      </c>
      <c r="H82" s="323" t="s">
        <v>229</v>
      </c>
      <c r="I82" s="323" t="s">
        <v>755</v>
      </c>
      <c r="J82" s="325">
        <v>44012</v>
      </c>
      <c r="K82" s="325"/>
      <c r="L82" s="325"/>
      <c r="M82" s="323" t="s">
        <v>2853</v>
      </c>
      <c r="N82" s="323" t="s">
        <v>2088</v>
      </c>
      <c r="O82" s="359">
        <v>44007</v>
      </c>
      <c r="P82" s="323" t="s">
        <v>3061</v>
      </c>
      <c r="Q82" s="323" t="s">
        <v>2832</v>
      </c>
      <c r="R82" s="375" t="s">
        <v>5080</v>
      </c>
      <c r="S82" s="323">
        <f>Table1372[[#This Row],[DATE  CLOSED]]-Table1372[[#This Row],[INITIATION DATE]]</f>
        <v>38</v>
      </c>
    </row>
    <row r="83" spans="1:19" ht="25.35" customHeight="1" x14ac:dyDescent="0.2">
      <c r="A83" s="346" t="s">
        <v>5512</v>
      </c>
      <c r="B83" s="325">
        <v>43977</v>
      </c>
      <c r="C83" s="329" t="s">
        <v>5513</v>
      </c>
      <c r="D83" s="329" t="s">
        <v>5514</v>
      </c>
      <c r="E83" s="326" t="s">
        <v>2971</v>
      </c>
      <c r="F83" s="323">
        <v>1</v>
      </c>
      <c r="G83" s="326" t="s">
        <v>2840</v>
      </c>
      <c r="H83" s="326" t="s">
        <v>229</v>
      </c>
      <c r="I83" s="326" t="s">
        <v>755</v>
      </c>
      <c r="J83" s="325">
        <v>43982</v>
      </c>
      <c r="K83" s="325"/>
      <c r="L83" s="325"/>
      <c r="M83" s="326" t="s">
        <v>2853</v>
      </c>
      <c r="N83" s="323" t="s">
        <v>2088</v>
      </c>
      <c r="O83" s="359">
        <v>43981</v>
      </c>
      <c r="P83" s="323" t="s">
        <v>3061</v>
      </c>
      <c r="Q83" s="323" t="s">
        <v>2829</v>
      </c>
      <c r="R83" s="375" t="s">
        <v>5080</v>
      </c>
      <c r="S83" s="323">
        <f>Table1372[[#This Row],[DATE  CLOSED]]-Table1372[[#This Row],[INITIATION DATE]]</f>
        <v>4</v>
      </c>
    </row>
    <row r="84" spans="1:19" ht="25.35" customHeight="1" x14ac:dyDescent="0.2">
      <c r="A84" s="346" t="s">
        <v>5515</v>
      </c>
      <c r="B84" s="325">
        <v>43980</v>
      </c>
      <c r="C84" s="328" t="s">
        <v>5517</v>
      </c>
      <c r="D84" s="328" t="s">
        <v>5516</v>
      </c>
      <c r="E84" s="323" t="s">
        <v>2971</v>
      </c>
      <c r="F84" s="323">
        <v>1</v>
      </c>
      <c r="G84" s="323" t="s">
        <v>2838</v>
      </c>
      <c r="H84" s="323" t="s">
        <v>685</v>
      </c>
      <c r="I84" s="323" t="s">
        <v>229</v>
      </c>
      <c r="J84" s="325">
        <v>44012</v>
      </c>
      <c r="K84" s="325"/>
      <c r="L84" s="325"/>
      <c r="M84" s="323" t="s">
        <v>2853</v>
      </c>
      <c r="N84" s="323" t="s">
        <v>2088</v>
      </c>
      <c r="O84" s="359">
        <v>43980</v>
      </c>
      <c r="P84" s="323" t="s">
        <v>3061</v>
      </c>
      <c r="Q84" s="323" t="s">
        <v>2832</v>
      </c>
      <c r="R84" s="375" t="s">
        <v>5080</v>
      </c>
      <c r="S84" s="323">
        <f>Table1372[[#This Row],[DATE  CLOSED]]-Table1372[[#This Row],[INITIATION DATE]]</f>
        <v>0</v>
      </c>
    </row>
    <row r="85" spans="1:19" ht="25.35" customHeight="1" x14ac:dyDescent="0.2">
      <c r="A85" s="346" t="s">
        <v>5518</v>
      </c>
      <c r="B85" s="325">
        <v>43980</v>
      </c>
      <c r="C85" s="328" t="s">
        <v>5519</v>
      </c>
      <c r="D85" s="328" t="s">
        <v>5520</v>
      </c>
      <c r="E85" s="323" t="s">
        <v>2971</v>
      </c>
      <c r="F85" s="323">
        <v>1</v>
      </c>
      <c r="G85" s="323" t="s">
        <v>2838</v>
      </c>
      <c r="H85" s="323" t="s">
        <v>685</v>
      </c>
      <c r="I85" s="323" t="s">
        <v>229</v>
      </c>
      <c r="J85" s="325">
        <v>44012</v>
      </c>
      <c r="K85" s="325"/>
      <c r="L85" s="325"/>
      <c r="M85" s="323" t="s">
        <v>2853</v>
      </c>
      <c r="N85" s="323" t="s">
        <v>2088</v>
      </c>
      <c r="O85" s="359">
        <v>44012</v>
      </c>
      <c r="P85" s="323" t="s">
        <v>3061</v>
      </c>
      <c r="Q85" s="323" t="s">
        <v>2832</v>
      </c>
      <c r="R85" s="375" t="s">
        <v>5080</v>
      </c>
      <c r="S85" s="323">
        <f>Table1372[[#This Row],[DATE  CLOSED]]-Table1372[[#This Row],[INITIATION DATE]]</f>
        <v>32</v>
      </c>
    </row>
    <row r="86" spans="1:19" ht="25.35" customHeight="1" x14ac:dyDescent="0.2">
      <c r="A86" s="346" t="s">
        <v>5521</v>
      </c>
      <c r="B86" s="325">
        <v>43984</v>
      </c>
      <c r="C86" s="328" t="s">
        <v>5522</v>
      </c>
      <c r="D86" s="328" t="s">
        <v>5523</v>
      </c>
      <c r="E86" s="323" t="s">
        <v>2971</v>
      </c>
      <c r="F86" s="323">
        <v>1</v>
      </c>
      <c r="G86" s="323" t="s">
        <v>2841</v>
      </c>
      <c r="H86" s="323" t="s">
        <v>229</v>
      </c>
      <c r="I86" s="323" t="s">
        <v>755</v>
      </c>
      <c r="J86" s="325">
        <v>44012</v>
      </c>
      <c r="K86" s="325"/>
      <c r="L86" s="325"/>
      <c r="M86" s="323" t="s">
        <v>2853</v>
      </c>
      <c r="N86" s="323" t="s">
        <v>2088</v>
      </c>
      <c r="O86" s="359">
        <v>44000</v>
      </c>
      <c r="P86" s="323" t="s">
        <v>3061</v>
      </c>
      <c r="Q86" s="323" t="s">
        <v>2829</v>
      </c>
      <c r="R86" s="375" t="s">
        <v>5080</v>
      </c>
      <c r="S86" s="323">
        <f>Table1372[[#This Row],[DATE  CLOSED]]-Table1372[[#This Row],[INITIATION DATE]]</f>
        <v>16</v>
      </c>
    </row>
    <row r="87" spans="1:19" ht="25.35" customHeight="1" x14ac:dyDescent="0.2">
      <c r="A87" s="346" t="s">
        <v>5924</v>
      </c>
      <c r="B87" s="325">
        <v>43984</v>
      </c>
      <c r="C87" s="328" t="s">
        <v>5524</v>
      </c>
      <c r="D87" s="328" t="s">
        <v>5525</v>
      </c>
      <c r="E87" s="323" t="s">
        <v>3519</v>
      </c>
      <c r="F87" s="323">
        <v>1</v>
      </c>
      <c r="G87" s="323" t="s">
        <v>2828</v>
      </c>
      <c r="H87" s="323" t="s">
        <v>4079</v>
      </c>
      <c r="I87" s="323" t="s">
        <v>3211</v>
      </c>
      <c r="J87" s="325">
        <v>44043</v>
      </c>
      <c r="K87" s="325"/>
      <c r="L87" s="325"/>
      <c r="M87" s="323" t="s">
        <v>2853</v>
      </c>
      <c r="N87" s="323" t="s">
        <v>2088</v>
      </c>
      <c r="O87" s="359">
        <v>44018</v>
      </c>
      <c r="P87" s="323" t="s">
        <v>3061</v>
      </c>
      <c r="Q87" s="323" t="s">
        <v>2832</v>
      </c>
      <c r="R87" s="375" t="s">
        <v>5080</v>
      </c>
      <c r="S87" s="323">
        <f>Table1372[[#This Row],[DATE  CLOSED]]-Table1372[[#This Row],[INITIATION DATE]]</f>
        <v>34</v>
      </c>
    </row>
    <row r="88" spans="1:19" ht="25.35" customHeight="1" x14ac:dyDescent="0.2">
      <c r="A88" s="346" t="s">
        <v>5925</v>
      </c>
      <c r="B88" s="325">
        <v>43984</v>
      </c>
      <c r="C88" s="328" t="s">
        <v>5526</v>
      </c>
      <c r="D88" s="328" t="s">
        <v>5527</v>
      </c>
      <c r="E88" s="323" t="s">
        <v>2971</v>
      </c>
      <c r="F88" s="323">
        <v>1</v>
      </c>
      <c r="G88" s="323" t="s">
        <v>2841</v>
      </c>
      <c r="H88" s="323" t="s">
        <v>229</v>
      </c>
      <c r="I88" s="323" t="s">
        <v>755</v>
      </c>
      <c r="J88" s="325">
        <v>44012</v>
      </c>
      <c r="K88" s="325"/>
      <c r="L88" s="325"/>
      <c r="M88" s="323" t="s">
        <v>2853</v>
      </c>
      <c r="N88" s="323" t="s">
        <v>3022</v>
      </c>
      <c r="O88" s="359">
        <v>44032</v>
      </c>
      <c r="P88" s="323" t="s">
        <v>3022</v>
      </c>
      <c r="Q88" s="323" t="s">
        <v>2832</v>
      </c>
      <c r="R88" s="375" t="s">
        <v>5634</v>
      </c>
      <c r="S88" s="323">
        <f>Table1372[[#This Row],[DATE  CLOSED]]-Table1372[[#This Row],[INITIATION DATE]]</f>
        <v>48</v>
      </c>
    </row>
    <row r="89" spans="1:19" ht="25.35" customHeight="1" x14ac:dyDescent="0.2">
      <c r="A89" s="346" t="s">
        <v>5529</v>
      </c>
      <c r="B89" s="325">
        <v>43990</v>
      </c>
      <c r="C89" s="328" t="s">
        <v>5530</v>
      </c>
      <c r="D89" s="328" t="s">
        <v>5531</v>
      </c>
      <c r="E89" s="323" t="s">
        <v>3586</v>
      </c>
      <c r="F89" s="323">
        <v>1</v>
      </c>
      <c r="G89" s="323" t="s">
        <v>2840</v>
      </c>
      <c r="H89" s="323" t="s">
        <v>1339</v>
      </c>
      <c r="I89" s="323" t="s">
        <v>3645</v>
      </c>
      <c r="J89" s="325">
        <v>44020</v>
      </c>
      <c r="K89" s="325"/>
      <c r="L89" s="325"/>
      <c r="M89" s="323" t="s">
        <v>2853</v>
      </c>
      <c r="N89" s="323" t="s">
        <v>2088</v>
      </c>
      <c r="O89" s="359">
        <v>43995</v>
      </c>
      <c r="P89" s="323" t="s">
        <v>3061</v>
      </c>
      <c r="Q89" s="323" t="s">
        <v>2829</v>
      </c>
      <c r="R89" s="375" t="s">
        <v>5080</v>
      </c>
      <c r="S89" s="323">
        <f>Table1372[[#This Row],[DATE  CLOSED]]-Table1372[[#This Row],[INITIATION DATE]]</f>
        <v>5</v>
      </c>
    </row>
    <row r="90" spans="1:19" ht="25.35" customHeight="1" x14ac:dyDescent="0.2">
      <c r="A90" s="346" t="s">
        <v>5532</v>
      </c>
      <c r="B90" s="325">
        <v>43991</v>
      </c>
      <c r="C90" s="328" t="s">
        <v>5533</v>
      </c>
      <c r="D90" s="328" t="s">
        <v>5534</v>
      </c>
      <c r="E90" s="323" t="s">
        <v>4033</v>
      </c>
      <c r="F90" s="323">
        <v>1</v>
      </c>
      <c r="G90" s="323" t="s">
        <v>2828</v>
      </c>
      <c r="H90" s="323" t="s">
        <v>4232</v>
      </c>
      <c r="I90" s="323" t="s">
        <v>3926</v>
      </c>
      <c r="J90" s="325">
        <v>44043</v>
      </c>
      <c r="K90" s="325"/>
      <c r="L90" s="325"/>
      <c r="M90" s="323" t="s">
        <v>2853</v>
      </c>
      <c r="N90" s="323" t="s">
        <v>2088</v>
      </c>
      <c r="O90" s="359">
        <v>44019</v>
      </c>
      <c r="P90" s="323" t="s">
        <v>3061</v>
      </c>
      <c r="Q90" s="323" t="s">
        <v>2829</v>
      </c>
      <c r="R90" s="375" t="s">
        <v>5080</v>
      </c>
      <c r="S90" s="323">
        <f>Table1372[[#This Row],[DATE  CLOSED]]-Table1372[[#This Row],[INITIATION DATE]]</f>
        <v>28</v>
      </c>
    </row>
    <row r="91" spans="1:19" ht="25.35" customHeight="1" x14ac:dyDescent="0.2">
      <c r="A91" s="349" t="s">
        <v>5535</v>
      </c>
      <c r="B91" s="325">
        <v>43992</v>
      </c>
      <c r="C91" s="328" t="s">
        <v>5536</v>
      </c>
      <c r="D91" s="328" t="s">
        <v>5537</v>
      </c>
      <c r="E91" s="323" t="s">
        <v>3386</v>
      </c>
      <c r="F91" s="323">
        <v>1</v>
      </c>
      <c r="G91" s="323" t="s">
        <v>2828</v>
      </c>
      <c r="H91" s="323" t="s">
        <v>4079</v>
      </c>
      <c r="I91" s="323" t="s">
        <v>3211</v>
      </c>
      <c r="J91" s="325">
        <v>44043</v>
      </c>
      <c r="K91" s="325"/>
      <c r="L91" s="325"/>
      <c r="M91" s="323" t="s">
        <v>2853</v>
      </c>
      <c r="N91" s="323" t="s">
        <v>2088</v>
      </c>
      <c r="O91" s="359">
        <v>44006</v>
      </c>
      <c r="P91" s="323" t="s">
        <v>3061</v>
      </c>
      <c r="Q91" s="323" t="s">
        <v>2829</v>
      </c>
      <c r="R91" s="375" t="s">
        <v>5080</v>
      </c>
      <c r="S91" s="323">
        <f>Table1372[[#This Row],[DATE  CLOSED]]-Table1372[[#This Row],[INITIATION DATE]]</f>
        <v>14</v>
      </c>
    </row>
    <row r="92" spans="1:19" ht="25.35" customHeight="1" x14ac:dyDescent="0.2">
      <c r="A92" s="349" t="s">
        <v>5538</v>
      </c>
      <c r="B92" s="325">
        <v>43992</v>
      </c>
      <c r="C92" s="329" t="s">
        <v>5539</v>
      </c>
      <c r="D92" s="329" t="s">
        <v>5540</v>
      </c>
      <c r="E92" s="326" t="s">
        <v>3825</v>
      </c>
      <c r="F92" s="323">
        <v>1</v>
      </c>
      <c r="G92" s="326" t="s">
        <v>2828</v>
      </c>
      <c r="H92" s="326" t="s">
        <v>4232</v>
      </c>
      <c r="I92" s="326" t="s">
        <v>3211</v>
      </c>
      <c r="J92" s="325">
        <v>44012</v>
      </c>
      <c r="K92" s="325"/>
      <c r="L92" s="325"/>
      <c r="M92" s="326" t="s">
        <v>2853</v>
      </c>
      <c r="N92" s="323" t="s">
        <v>2088</v>
      </c>
      <c r="O92" s="359">
        <v>43999</v>
      </c>
      <c r="P92" s="323" t="s">
        <v>3061</v>
      </c>
      <c r="Q92" s="323" t="s">
        <v>2829</v>
      </c>
      <c r="R92" s="375" t="s">
        <v>5080</v>
      </c>
      <c r="S92" s="323">
        <f>Table1372[[#This Row],[DATE  CLOSED]]-Table1372[[#This Row],[INITIATION DATE]]</f>
        <v>7</v>
      </c>
    </row>
    <row r="93" spans="1:19" ht="25.35" customHeight="1" x14ac:dyDescent="0.2">
      <c r="A93" s="349" t="s">
        <v>5541</v>
      </c>
      <c r="B93" s="325">
        <v>43992</v>
      </c>
      <c r="C93" s="329" t="s">
        <v>5542</v>
      </c>
      <c r="D93" s="329" t="s">
        <v>5543</v>
      </c>
      <c r="E93" s="326" t="s">
        <v>2971</v>
      </c>
      <c r="F93" s="323">
        <v>1</v>
      </c>
      <c r="G93" s="326" t="s">
        <v>2840</v>
      </c>
      <c r="H93" s="326" t="s">
        <v>441</v>
      </c>
      <c r="I93" s="326" t="s">
        <v>229</v>
      </c>
      <c r="J93" s="325">
        <v>43998</v>
      </c>
      <c r="K93" s="325"/>
      <c r="L93" s="325"/>
      <c r="M93" s="326" t="s">
        <v>2853</v>
      </c>
      <c r="N93" s="323" t="s">
        <v>2088</v>
      </c>
      <c r="O93" s="359">
        <v>43998</v>
      </c>
      <c r="P93" s="323" t="s">
        <v>3061</v>
      </c>
      <c r="Q93" s="323" t="s">
        <v>2829</v>
      </c>
      <c r="R93" s="375" t="s">
        <v>5080</v>
      </c>
      <c r="S93" s="323">
        <f>Table1372[[#This Row],[DATE  CLOSED]]-Table1372[[#This Row],[INITIATION DATE]]</f>
        <v>6</v>
      </c>
    </row>
    <row r="94" spans="1:19" ht="25.35" customHeight="1" x14ac:dyDescent="0.2">
      <c r="A94" s="349" t="s">
        <v>5544</v>
      </c>
      <c r="B94" s="325">
        <v>43998</v>
      </c>
      <c r="C94" s="328" t="s">
        <v>5545</v>
      </c>
      <c r="D94" s="328" t="s">
        <v>5546</v>
      </c>
      <c r="E94" s="323" t="s">
        <v>3386</v>
      </c>
      <c r="F94" s="323">
        <v>1</v>
      </c>
      <c r="G94" s="323" t="s">
        <v>2828</v>
      </c>
      <c r="H94" s="323" t="s">
        <v>4079</v>
      </c>
      <c r="I94" s="323" t="s">
        <v>3211</v>
      </c>
      <c r="J94" s="325">
        <v>44043</v>
      </c>
      <c r="K94" s="325"/>
      <c r="L94" s="325"/>
      <c r="M94" s="323" t="s">
        <v>2853</v>
      </c>
      <c r="N94" s="323" t="s">
        <v>2088</v>
      </c>
      <c r="O94" s="359">
        <v>43999</v>
      </c>
      <c r="P94" s="323" t="s">
        <v>3061</v>
      </c>
      <c r="Q94" s="323" t="s">
        <v>2829</v>
      </c>
      <c r="R94" s="375" t="s">
        <v>5080</v>
      </c>
      <c r="S94" s="323">
        <f>Table1372[[#This Row],[DATE  CLOSED]]-Table1372[[#This Row],[INITIATION DATE]]</f>
        <v>1</v>
      </c>
    </row>
    <row r="95" spans="1:19" ht="25.35" customHeight="1" x14ac:dyDescent="0.2">
      <c r="A95" s="349" t="s">
        <v>5547</v>
      </c>
      <c r="B95" s="325">
        <v>43998</v>
      </c>
      <c r="C95" s="328" t="s">
        <v>5550</v>
      </c>
      <c r="D95" s="328" t="s">
        <v>5552</v>
      </c>
      <c r="E95" s="323" t="s">
        <v>4675</v>
      </c>
      <c r="F95" s="323">
        <v>1</v>
      </c>
      <c r="G95" s="323" t="s">
        <v>2828</v>
      </c>
      <c r="H95" s="323" t="s">
        <v>3423</v>
      </c>
      <c r="I95" s="323" t="s">
        <v>3926</v>
      </c>
      <c r="J95" s="325">
        <v>44043</v>
      </c>
      <c r="K95" s="325"/>
      <c r="L95" s="325"/>
      <c r="M95" s="323" t="s">
        <v>2853</v>
      </c>
      <c r="N95" s="323" t="s">
        <v>2088</v>
      </c>
      <c r="O95" s="359">
        <v>44020</v>
      </c>
      <c r="P95" s="323" t="s">
        <v>3061</v>
      </c>
      <c r="Q95" s="323" t="s">
        <v>2829</v>
      </c>
      <c r="R95" s="375" t="s">
        <v>5080</v>
      </c>
      <c r="S95" s="323">
        <f>Table1372[[#This Row],[DATE  CLOSED]]-Table1372[[#This Row],[INITIATION DATE]]</f>
        <v>22</v>
      </c>
    </row>
    <row r="96" spans="1:19" ht="25.35" customHeight="1" x14ac:dyDescent="0.2">
      <c r="A96" s="349" t="s">
        <v>5548</v>
      </c>
      <c r="B96" s="325">
        <v>43998</v>
      </c>
      <c r="C96" s="328" t="s">
        <v>5551</v>
      </c>
      <c r="D96" s="328" t="s">
        <v>5553</v>
      </c>
      <c r="E96" s="323" t="s">
        <v>4675</v>
      </c>
      <c r="F96" s="323">
        <v>1</v>
      </c>
      <c r="G96" s="323" t="s">
        <v>2828</v>
      </c>
      <c r="H96" s="323" t="s">
        <v>3423</v>
      </c>
      <c r="I96" s="323" t="s">
        <v>3926</v>
      </c>
      <c r="J96" s="325">
        <v>44043</v>
      </c>
      <c r="K96" s="325"/>
      <c r="L96" s="325"/>
      <c r="M96" s="323" t="s">
        <v>2853</v>
      </c>
      <c r="N96" s="323" t="s">
        <v>2088</v>
      </c>
      <c r="O96" s="359">
        <v>44020</v>
      </c>
      <c r="P96" s="323" t="s">
        <v>3061</v>
      </c>
      <c r="Q96" s="323" t="s">
        <v>2829</v>
      </c>
      <c r="R96" s="377" t="s">
        <v>5080</v>
      </c>
      <c r="S96" s="323">
        <f>Table1372[[#This Row],[DATE  CLOSED]]-Table1372[[#This Row],[INITIATION DATE]]</f>
        <v>22</v>
      </c>
    </row>
    <row r="97" spans="1:19" ht="25.35" customHeight="1" x14ac:dyDescent="0.2">
      <c r="A97" s="349" t="s">
        <v>5549</v>
      </c>
      <c r="B97" s="325">
        <v>43998</v>
      </c>
      <c r="C97" s="328" t="s">
        <v>5554</v>
      </c>
      <c r="D97" s="328" t="s">
        <v>3606</v>
      </c>
      <c r="E97" s="323" t="s">
        <v>4675</v>
      </c>
      <c r="F97" s="323">
        <v>1</v>
      </c>
      <c r="G97" s="323" t="s">
        <v>2828</v>
      </c>
      <c r="H97" s="323" t="s">
        <v>3423</v>
      </c>
      <c r="I97" s="323" t="s">
        <v>3926</v>
      </c>
      <c r="J97" s="325">
        <v>44043</v>
      </c>
      <c r="K97" s="325"/>
      <c r="L97" s="325"/>
      <c r="M97" s="323" t="s">
        <v>2853</v>
      </c>
      <c r="N97" s="323" t="s">
        <v>2088</v>
      </c>
      <c r="O97" s="359">
        <v>44020</v>
      </c>
      <c r="P97" s="323" t="s">
        <v>3061</v>
      </c>
      <c r="Q97" s="323" t="s">
        <v>2829</v>
      </c>
      <c r="R97" s="378" t="s">
        <v>5080</v>
      </c>
      <c r="S97" s="323">
        <f>Table1372[[#This Row],[DATE  CLOSED]]-Table1372[[#This Row],[INITIATION DATE]]</f>
        <v>22</v>
      </c>
    </row>
    <row r="98" spans="1:19" ht="25.35" customHeight="1" x14ac:dyDescent="0.2">
      <c r="A98" s="349" t="s">
        <v>5555</v>
      </c>
      <c r="B98" s="325">
        <v>44005</v>
      </c>
      <c r="C98" s="329" t="s">
        <v>5556</v>
      </c>
      <c r="D98" s="329" t="s">
        <v>5557</v>
      </c>
      <c r="E98" s="326" t="s">
        <v>2971</v>
      </c>
      <c r="F98" s="323">
        <v>1</v>
      </c>
      <c r="G98" s="326" t="s">
        <v>2841</v>
      </c>
      <c r="H98" s="326" t="s">
        <v>229</v>
      </c>
      <c r="I98" s="326" t="s">
        <v>755</v>
      </c>
      <c r="J98" s="325">
        <v>44043</v>
      </c>
      <c r="K98" s="325"/>
      <c r="L98" s="325"/>
      <c r="M98" s="326" t="s">
        <v>2853</v>
      </c>
      <c r="N98" s="323" t="s">
        <v>2088</v>
      </c>
      <c r="O98" s="359">
        <v>44025</v>
      </c>
      <c r="P98" s="323" t="s">
        <v>3061</v>
      </c>
      <c r="Q98" s="323" t="s">
        <v>2829</v>
      </c>
      <c r="R98" s="375" t="s">
        <v>5080</v>
      </c>
      <c r="S98" s="323">
        <f>Table1372[[#This Row],[DATE  CLOSED]]-Table1372[[#This Row],[INITIATION DATE]]</f>
        <v>20</v>
      </c>
    </row>
    <row r="99" spans="1:19" ht="25.35" customHeight="1" x14ac:dyDescent="0.2">
      <c r="A99" s="349" t="s">
        <v>5558</v>
      </c>
      <c r="B99" s="325">
        <v>44005</v>
      </c>
      <c r="C99" s="329" t="s">
        <v>5559</v>
      </c>
      <c r="D99" s="329" t="s">
        <v>4456</v>
      </c>
      <c r="E99" s="326" t="s">
        <v>2971</v>
      </c>
      <c r="F99" s="323">
        <v>1</v>
      </c>
      <c r="G99" s="326" t="s">
        <v>2841</v>
      </c>
      <c r="H99" s="326" t="s">
        <v>4079</v>
      </c>
      <c r="I99" s="326" t="s">
        <v>3926</v>
      </c>
      <c r="J99" s="325">
        <v>44043</v>
      </c>
      <c r="K99" s="325"/>
      <c r="L99" s="325"/>
      <c r="M99" s="326" t="s">
        <v>2853</v>
      </c>
      <c r="N99" s="323" t="s">
        <v>2088</v>
      </c>
      <c r="O99" s="359">
        <v>44032</v>
      </c>
      <c r="P99" s="323" t="s">
        <v>3061</v>
      </c>
      <c r="Q99" s="323" t="s">
        <v>2829</v>
      </c>
      <c r="R99" s="375" t="s">
        <v>5080</v>
      </c>
      <c r="S99" s="323">
        <f>Table1372[[#This Row],[DATE  CLOSED]]-Table1372[[#This Row],[INITIATION DATE]]</f>
        <v>27</v>
      </c>
    </row>
    <row r="100" spans="1:19" ht="25.35" customHeight="1" x14ac:dyDescent="0.2">
      <c r="A100" s="346" t="s">
        <v>5560</v>
      </c>
      <c r="B100" s="325">
        <v>44006</v>
      </c>
      <c r="C100" s="329" t="s">
        <v>5561</v>
      </c>
      <c r="D100" s="329" t="s">
        <v>5562</v>
      </c>
      <c r="E100" s="326" t="s">
        <v>3825</v>
      </c>
      <c r="F100" s="323">
        <v>1</v>
      </c>
      <c r="G100" s="326" t="s">
        <v>2828</v>
      </c>
      <c r="H100" s="326" t="s">
        <v>4232</v>
      </c>
      <c r="I100" s="326" t="s">
        <v>3211</v>
      </c>
      <c r="J100" s="325">
        <v>44043</v>
      </c>
      <c r="K100" s="325"/>
      <c r="L100" s="325"/>
      <c r="M100" s="326" t="s">
        <v>2853</v>
      </c>
      <c r="N100" s="323" t="s">
        <v>2088</v>
      </c>
      <c r="O100" s="359">
        <v>44014</v>
      </c>
      <c r="P100" s="323" t="s">
        <v>3061</v>
      </c>
      <c r="Q100" s="323" t="s">
        <v>2829</v>
      </c>
      <c r="R100" s="375" t="s">
        <v>5080</v>
      </c>
      <c r="S100" s="323">
        <f>Table1372[[#This Row],[DATE  CLOSED]]-Table1372[[#This Row],[INITIATION DATE]]</f>
        <v>8</v>
      </c>
    </row>
    <row r="101" spans="1:19" ht="25.35" customHeight="1" x14ac:dyDescent="0.2">
      <c r="A101" s="346" t="s">
        <v>5563</v>
      </c>
      <c r="B101" s="325">
        <v>44011</v>
      </c>
      <c r="C101" s="328" t="s">
        <v>5564</v>
      </c>
      <c r="D101" s="328" t="s">
        <v>5565</v>
      </c>
      <c r="E101" s="323" t="s">
        <v>2971</v>
      </c>
      <c r="F101" s="323">
        <v>1</v>
      </c>
      <c r="G101" s="323" t="s">
        <v>2841</v>
      </c>
      <c r="H101" s="323" t="s">
        <v>3842</v>
      </c>
      <c r="I101" s="323" t="s">
        <v>3645</v>
      </c>
      <c r="J101" s="325">
        <v>44043</v>
      </c>
      <c r="K101" s="325"/>
      <c r="L101" s="325"/>
      <c r="M101" s="323" t="s">
        <v>2853</v>
      </c>
      <c r="N101" s="323" t="s">
        <v>2088</v>
      </c>
      <c r="O101" s="359">
        <v>44032</v>
      </c>
      <c r="P101" s="323" t="s">
        <v>3061</v>
      </c>
      <c r="Q101" s="323" t="s">
        <v>2829</v>
      </c>
      <c r="R101" s="375" t="s">
        <v>5635</v>
      </c>
      <c r="S101" s="323">
        <f>Table1372[[#This Row],[DATE  CLOSED]]-Table1372[[#This Row],[INITIATION DATE]]</f>
        <v>21</v>
      </c>
    </row>
    <row r="102" spans="1:19" ht="25.35" customHeight="1" x14ac:dyDescent="0.2">
      <c r="A102" s="346" t="s">
        <v>5566</v>
      </c>
      <c r="B102" s="325">
        <v>44012</v>
      </c>
      <c r="C102" s="328" t="s">
        <v>5567</v>
      </c>
      <c r="D102" s="328" t="s">
        <v>5568</v>
      </c>
      <c r="E102" s="323" t="s">
        <v>2971</v>
      </c>
      <c r="F102" s="323">
        <v>1</v>
      </c>
      <c r="G102" s="323" t="s">
        <v>2834</v>
      </c>
      <c r="H102" s="323" t="s">
        <v>755</v>
      </c>
      <c r="I102" s="323" t="s">
        <v>441</v>
      </c>
      <c r="J102" s="325">
        <v>44043</v>
      </c>
      <c r="K102" s="325"/>
      <c r="L102" s="325"/>
      <c r="M102" s="323" t="s">
        <v>2853</v>
      </c>
      <c r="N102" s="323" t="s">
        <v>2088</v>
      </c>
      <c r="O102" s="359">
        <v>44041</v>
      </c>
      <c r="P102" s="323" t="s">
        <v>3061</v>
      </c>
      <c r="Q102" s="323" t="s">
        <v>2829</v>
      </c>
      <c r="R102" s="375"/>
      <c r="S102" s="323">
        <f>Table1372[[#This Row],[DATE  CLOSED]]-Table1372[[#This Row],[INITIATION DATE]]</f>
        <v>29</v>
      </c>
    </row>
    <row r="103" spans="1:19" ht="25.35" customHeight="1" x14ac:dyDescent="0.2">
      <c r="A103" s="346" t="s">
        <v>5569</v>
      </c>
      <c r="B103" s="325">
        <v>44013</v>
      </c>
      <c r="C103" s="328" t="s">
        <v>5570</v>
      </c>
      <c r="D103" s="328" t="s">
        <v>5375</v>
      </c>
      <c r="E103" s="323" t="s">
        <v>2917</v>
      </c>
      <c r="F103" s="323">
        <v>1</v>
      </c>
      <c r="G103" s="323" t="s">
        <v>2828</v>
      </c>
      <c r="H103" s="323" t="s">
        <v>4079</v>
      </c>
      <c r="I103" s="323" t="s">
        <v>3926</v>
      </c>
      <c r="J103" s="325">
        <v>44074</v>
      </c>
      <c r="K103" s="325"/>
      <c r="L103" s="325"/>
      <c r="M103" s="323" t="s">
        <v>2853</v>
      </c>
      <c r="N103" s="323" t="s">
        <v>2088</v>
      </c>
      <c r="O103" s="359">
        <v>44018</v>
      </c>
      <c r="P103" s="323" t="s">
        <v>3061</v>
      </c>
      <c r="Q103" s="323" t="s">
        <v>2829</v>
      </c>
      <c r="R103" s="375"/>
      <c r="S103" s="323">
        <f>Table1372[[#This Row],[DATE  CLOSED]]-Table1372[[#This Row],[INITIATION DATE]]</f>
        <v>5</v>
      </c>
    </row>
    <row r="104" spans="1:19" ht="25.35" customHeight="1" x14ac:dyDescent="0.2">
      <c r="A104" s="349" t="s">
        <v>5571</v>
      </c>
      <c r="B104" s="325">
        <v>44014</v>
      </c>
      <c r="C104" s="328" t="s">
        <v>5575</v>
      </c>
      <c r="D104" s="328" t="s">
        <v>5576</v>
      </c>
      <c r="E104" s="323" t="s">
        <v>2971</v>
      </c>
      <c r="F104" s="323">
        <v>1</v>
      </c>
      <c r="G104" s="323" t="s">
        <v>2838</v>
      </c>
      <c r="H104" s="323" t="s">
        <v>481</v>
      </c>
      <c r="I104" s="323" t="s">
        <v>755</v>
      </c>
      <c r="J104" s="325">
        <v>44043</v>
      </c>
      <c r="K104" s="325"/>
      <c r="L104" s="325"/>
      <c r="M104" s="323" t="s">
        <v>2853</v>
      </c>
      <c r="N104" s="323" t="s">
        <v>2088</v>
      </c>
      <c r="O104" s="359">
        <v>44023</v>
      </c>
      <c r="P104" s="323" t="s">
        <v>3061</v>
      </c>
      <c r="Q104" s="323" t="s">
        <v>2829</v>
      </c>
      <c r="R104" s="375" t="s">
        <v>5080</v>
      </c>
      <c r="S104" s="323">
        <f>Table1372[[#This Row],[DATE  CLOSED]]-Table1372[[#This Row],[INITIATION DATE]]</f>
        <v>9</v>
      </c>
    </row>
    <row r="105" spans="1:19" ht="25.35" customHeight="1" x14ac:dyDescent="0.2">
      <c r="A105" s="349" t="s">
        <v>5572</v>
      </c>
      <c r="B105" s="325">
        <v>44014</v>
      </c>
      <c r="C105" s="328" t="s">
        <v>5573</v>
      </c>
      <c r="D105" s="328" t="s">
        <v>5574</v>
      </c>
      <c r="E105" s="323" t="s">
        <v>2971</v>
      </c>
      <c r="F105" s="323">
        <v>1</v>
      </c>
      <c r="G105" s="323" t="s">
        <v>2838</v>
      </c>
      <c r="H105" s="323" t="s">
        <v>1123</v>
      </c>
      <c r="I105" s="323" t="s">
        <v>755</v>
      </c>
      <c r="J105" s="325">
        <v>44022</v>
      </c>
      <c r="K105" s="325"/>
      <c r="L105" s="325"/>
      <c r="M105" s="323" t="s">
        <v>2853</v>
      </c>
      <c r="N105" s="323" t="s">
        <v>2088</v>
      </c>
      <c r="O105" s="359">
        <v>44014</v>
      </c>
      <c r="P105" s="323" t="s">
        <v>3061</v>
      </c>
      <c r="Q105" s="323" t="s">
        <v>2829</v>
      </c>
      <c r="R105" s="375" t="s">
        <v>5080</v>
      </c>
      <c r="S105" s="323">
        <f>Table1372[[#This Row],[DATE  CLOSED]]-Table1372[[#This Row],[INITIATION DATE]]</f>
        <v>0</v>
      </c>
    </row>
    <row r="106" spans="1:19" ht="25.35" customHeight="1" x14ac:dyDescent="0.2">
      <c r="A106" s="349" t="s">
        <v>5577</v>
      </c>
      <c r="B106" s="325">
        <v>44020</v>
      </c>
      <c r="C106" s="328" t="s">
        <v>5578</v>
      </c>
      <c r="D106" s="328" t="s">
        <v>3039</v>
      </c>
      <c r="E106" s="323" t="s">
        <v>2971</v>
      </c>
      <c r="F106" s="323">
        <v>1</v>
      </c>
      <c r="G106" s="323" t="s">
        <v>2841</v>
      </c>
      <c r="H106" s="323" t="s">
        <v>229</v>
      </c>
      <c r="I106" s="323" t="s">
        <v>755</v>
      </c>
      <c r="J106" s="325">
        <v>44043</v>
      </c>
      <c r="K106" s="325"/>
      <c r="L106" s="325"/>
      <c r="M106" s="323" t="s">
        <v>2853</v>
      </c>
      <c r="N106" s="323" t="s">
        <v>2088</v>
      </c>
      <c r="O106" s="359">
        <v>44035</v>
      </c>
      <c r="P106" s="323" t="s">
        <v>3061</v>
      </c>
      <c r="Q106" s="323" t="s">
        <v>2829</v>
      </c>
      <c r="R106" s="375"/>
      <c r="S106" s="323">
        <f>Table1372[[#This Row],[DATE  CLOSED]]-Table1372[[#This Row],[INITIATION DATE]]</f>
        <v>15</v>
      </c>
    </row>
    <row r="107" spans="1:19" ht="25.35" customHeight="1" x14ac:dyDescent="0.2">
      <c r="A107" s="349" t="s">
        <v>5579</v>
      </c>
      <c r="B107" s="325">
        <v>44020</v>
      </c>
      <c r="C107" s="328" t="s">
        <v>5580</v>
      </c>
      <c r="D107" s="328" t="s">
        <v>5581</v>
      </c>
      <c r="E107" s="323" t="s">
        <v>2971</v>
      </c>
      <c r="F107" s="323">
        <v>1</v>
      </c>
      <c r="G107" s="323" t="s">
        <v>2841</v>
      </c>
      <c r="H107" s="323" t="s">
        <v>229</v>
      </c>
      <c r="I107" s="323" t="s">
        <v>755</v>
      </c>
      <c r="J107" s="325">
        <v>44043</v>
      </c>
      <c r="K107" s="325"/>
      <c r="L107" s="325"/>
      <c r="M107" s="323" t="s">
        <v>2853</v>
      </c>
      <c r="N107" s="323" t="s">
        <v>2088</v>
      </c>
      <c r="O107" s="359">
        <v>44032</v>
      </c>
      <c r="P107" s="323" t="s">
        <v>3061</v>
      </c>
      <c r="Q107" s="323" t="s">
        <v>2829</v>
      </c>
      <c r="R107" s="375"/>
      <c r="S107" s="323">
        <f>Table1372[[#This Row],[DATE  CLOSED]]-Table1372[[#This Row],[INITIATION DATE]]</f>
        <v>12</v>
      </c>
    </row>
    <row r="108" spans="1:19" ht="25.35" customHeight="1" x14ac:dyDescent="0.2">
      <c r="A108" s="349" t="s">
        <v>5582</v>
      </c>
      <c r="B108" s="325">
        <v>44021</v>
      </c>
      <c r="C108" s="328" t="s">
        <v>5583</v>
      </c>
      <c r="D108" s="328" t="s">
        <v>5584</v>
      </c>
      <c r="E108" s="323" t="s">
        <v>2971</v>
      </c>
      <c r="F108" s="323">
        <v>1</v>
      </c>
      <c r="G108" s="323" t="s">
        <v>2841</v>
      </c>
      <c r="H108" s="323" t="s">
        <v>615</v>
      </c>
      <c r="I108" s="323" t="s">
        <v>3211</v>
      </c>
      <c r="J108" s="325">
        <v>44043</v>
      </c>
      <c r="K108" s="325"/>
      <c r="L108" s="325"/>
      <c r="M108" s="323" t="s">
        <v>2853</v>
      </c>
      <c r="N108" s="323" t="s">
        <v>2088</v>
      </c>
      <c r="O108" s="359">
        <v>44025</v>
      </c>
      <c r="P108" s="323" t="s">
        <v>3061</v>
      </c>
      <c r="Q108" s="323" t="s">
        <v>2829</v>
      </c>
      <c r="R108" s="375" t="s">
        <v>5080</v>
      </c>
      <c r="S108" s="323">
        <f>Table1372[[#This Row],[DATE  CLOSED]]-Table1372[[#This Row],[INITIATION DATE]]</f>
        <v>4</v>
      </c>
    </row>
    <row r="109" spans="1:19" ht="25.35" customHeight="1" x14ac:dyDescent="0.2">
      <c r="A109" s="349" t="s">
        <v>5585</v>
      </c>
      <c r="B109" s="325">
        <v>44021</v>
      </c>
      <c r="C109" s="328" t="s">
        <v>5586</v>
      </c>
      <c r="D109" s="328" t="s">
        <v>5676</v>
      </c>
      <c r="E109" s="323" t="s">
        <v>4675</v>
      </c>
      <c r="F109" s="323">
        <v>1</v>
      </c>
      <c r="G109" s="323" t="s">
        <v>2841</v>
      </c>
      <c r="H109" s="323" t="s">
        <v>3975</v>
      </c>
      <c r="I109" s="323" t="s">
        <v>3211</v>
      </c>
      <c r="J109" s="325">
        <v>44043</v>
      </c>
      <c r="K109" s="325"/>
      <c r="L109" s="325"/>
      <c r="M109" s="323" t="s">
        <v>2853</v>
      </c>
      <c r="N109" s="323" t="s">
        <v>2088</v>
      </c>
      <c r="O109" s="359">
        <v>44028</v>
      </c>
      <c r="P109" s="323" t="s">
        <v>3061</v>
      </c>
      <c r="Q109" s="323" t="s">
        <v>2829</v>
      </c>
      <c r="R109" s="375"/>
      <c r="S109" s="323">
        <f>Table1372[[#This Row],[DATE  CLOSED]]-Table1372[[#This Row],[INITIATION DATE]]</f>
        <v>7</v>
      </c>
    </row>
    <row r="110" spans="1:19" ht="25.35" customHeight="1" x14ac:dyDescent="0.2">
      <c r="A110" s="346" t="s">
        <v>5587</v>
      </c>
      <c r="B110" s="325">
        <v>44021</v>
      </c>
      <c r="C110" s="329" t="s">
        <v>5588</v>
      </c>
      <c r="D110" s="329" t="s">
        <v>5589</v>
      </c>
      <c r="E110" s="326" t="s">
        <v>3532</v>
      </c>
      <c r="F110" s="323">
        <v>1</v>
      </c>
      <c r="G110" s="326" t="s">
        <v>2828</v>
      </c>
      <c r="H110" s="326" t="s">
        <v>3423</v>
      </c>
      <c r="I110" s="326" t="s">
        <v>3211</v>
      </c>
      <c r="J110" s="325">
        <v>44074</v>
      </c>
      <c r="K110" s="325"/>
      <c r="L110" s="325"/>
      <c r="M110" s="326" t="s">
        <v>2853</v>
      </c>
      <c r="N110" s="323" t="s">
        <v>2088</v>
      </c>
      <c r="O110" s="359">
        <v>44068</v>
      </c>
      <c r="P110" s="326" t="s">
        <v>3061</v>
      </c>
      <c r="Q110" s="323" t="s">
        <v>2832</v>
      </c>
      <c r="R110" s="375" t="s">
        <v>5080</v>
      </c>
      <c r="S110" s="323">
        <f>Table1372[[#This Row],[DATE  CLOSED]]-Table1372[[#This Row],[INITIATION DATE]]</f>
        <v>47</v>
      </c>
    </row>
    <row r="111" spans="1:19" ht="25.35" customHeight="1" x14ac:dyDescent="0.2">
      <c r="A111" s="346" t="s">
        <v>5590</v>
      </c>
      <c r="B111" s="325">
        <v>44022</v>
      </c>
      <c r="C111" s="329" t="s">
        <v>5591</v>
      </c>
      <c r="D111" s="329" t="s">
        <v>5592</v>
      </c>
      <c r="E111" s="326" t="s">
        <v>2971</v>
      </c>
      <c r="F111" s="323">
        <v>1</v>
      </c>
      <c r="G111" s="326" t="s">
        <v>2838</v>
      </c>
      <c r="H111" s="326" t="s">
        <v>685</v>
      </c>
      <c r="I111" s="326" t="s">
        <v>229</v>
      </c>
      <c r="J111" s="325">
        <v>44043</v>
      </c>
      <c r="K111" s="325">
        <v>44134</v>
      </c>
      <c r="L111" s="327"/>
      <c r="M111" s="326" t="s">
        <v>2853</v>
      </c>
      <c r="N111" s="323" t="s">
        <v>3061</v>
      </c>
      <c r="O111" s="359">
        <v>44127</v>
      </c>
      <c r="P111" s="326" t="s">
        <v>3061</v>
      </c>
      <c r="Q111" s="323" t="s">
        <v>2835</v>
      </c>
      <c r="R111" s="375"/>
      <c r="S111" s="323">
        <f>Table1372[[#This Row],[DATE  CLOSED]]-Table1372[[#This Row],[INITIATION DATE]]</f>
        <v>105</v>
      </c>
    </row>
    <row r="112" spans="1:19" ht="25.35" customHeight="1" x14ac:dyDescent="0.2">
      <c r="A112" s="346" t="s">
        <v>5593</v>
      </c>
      <c r="B112" s="325">
        <v>44022</v>
      </c>
      <c r="C112" s="329" t="s">
        <v>5594</v>
      </c>
      <c r="D112" s="329" t="s">
        <v>5595</v>
      </c>
      <c r="E112" s="326" t="s">
        <v>3335</v>
      </c>
      <c r="F112" s="323">
        <v>1</v>
      </c>
      <c r="G112" s="326" t="s">
        <v>2828</v>
      </c>
      <c r="H112" s="326" t="s">
        <v>3423</v>
      </c>
      <c r="I112" s="326" t="s">
        <v>3211</v>
      </c>
      <c r="J112" s="325">
        <v>44074</v>
      </c>
      <c r="K112" s="325"/>
      <c r="L112" s="325"/>
      <c r="M112" s="326" t="s">
        <v>2853</v>
      </c>
      <c r="N112" s="323" t="s">
        <v>2088</v>
      </c>
      <c r="O112" s="359">
        <v>44026</v>
      </c>
      <c r="P112" s="326" t="s">
        <v>3061</v>
      </c>
      <c r="Q112" s="323" t="s">
        <v>2829</v>
      </c>
      <c r="R112" s="375" t="s">
        <v>5080</v>
      </c>
      <c r="S112" s="323">
        <f>Table1372[[#This Row],[DATE  CLOSED]]-Table1372[[#This Row],[INITIATION DATE]]</f>
        <v>4</v>
      </c>
    </row>
    <row r="113" spans="1:19" ht="25.35" customHeight="1" x14ac:dyDescent="0.2">
      <c r="A113" s="346" t="s">
        <v>5596</v>
      </c>
      <c r="B113" s="325">
        <v>44025</v>
      </c>
      <c r="C113" s="329" t="s">
        <v>5597</v>
      </c>
      <c r="D113" s="329" t="s">
        <v>5598</v>
      </c>
      <c r="E113" s="326" t="s">
        <v>2971</v>
      </c>
      <c r="F113" s="323">
        <v>1</v>
      </c>
      <c r="G113" s="326" t="s">
        <v>2836</v>
      </c>
      <c r="H113" s="326" t="s">
        <v>4079</v>
      </c>
      <c r="I113" s="326" t="s">
        <v>3926</v>
      </c>
      <c r="J113" s="325">
        <v>44196</v>
      </c>
      <c r="K113" s="325"/>
      <c r="L113" s="325"/>
      <c r="M113" s="326" t="s">
        <v>2853</v>
      </c>
      <c r="N113" s="323" t="s">
        <v>2088</v>
      </c>
      <c r="O113" s="359">
        <v>44169</v>
      </c>
      <c r="P113" s="326" t="s">
        <v>3061</v>
      </c>
      <c r="Q113" s="323" t="s">
        <v>2835</v>
      </c>
      <c r="R113" s="375" t="s">
        <v>5080</v>
      </c>
      <c r="S113" s="323">
        <f>Table1372[[#This Row],[DATE  CLOSED]]-Table1372[[#This Row],[INITIATION DATE]]</f>
        <v>144</v>
      </c>
    </row>
    <row r="114" spans="1:19" ht="25.35" customHeight="1" x14ac:dyDescent="0.2">
      <c r="A114" s="346" t="s">
        <v>5599</v>
      </c>
      <c r="B114" s="325">
        <v>44025</v>
      </c>
      <c r="C114" s="329" t="s">
        <v>5600</v>
      </c>
      <c r="D114" s="329" t="s">
        <v>5601</v>
      </c>
      <c r="E114" s="326" t="s">
        <v>5602</v>
      </c>
      <c r="F114" s="323">
        <v>1</v>
      </c>
      <c r="G114" s="326" t="s">
        <v>2828</v>
      </c>
      <c r="H114" s="326" t="s">
        <v>5163</v>
      </c>
      <c r="I114" s="326" t="s">
        <v>3926</v>
      </c>
      <c r="J114" s="325">
        <v>44114</v>
      </c>
      <c r="K114" s="325" t="s">
        <v>5769</v>
      </c>
      <c r="L114" s="325" t="s">
        <v>5769</v>
      </c>
      <c r="M114" s="326" t="s">
        <v>5769</v>
      </c>
      <c r="N114" s="323" t="s">
        <v>2088</v>
      </c>
      <c r="O114" s="359" t="s">
        <v>5769</v>
      </c>
      <c r="P114" s="326" t="s">
        <v>2088</v>
      </c>
      <c r="Q114" s="323" t="s">
        <v>2088</v>
      </c>
      <c r="R114" s="375" t="s">
        <v>5769</v>
      </c>
      <c r="S114" s="323" t="e">
        <f>Table1372[[#This Row],[DATE  CLOSED]]-Table1372[[#This Row],[INITIATION DATE]]</f>
        <v>#VALUE!</v>
      </c>
    </row>
    <row r="115" spans="1:19" ht="25.35" customHeight="1" x14ac:dyDescent="0.2">
      <c r="A115" s="346" t="s">
        <v>5603</v>
      </c>
      <c r="B115" s="325">
        <v>44027</v>
      </c>
      <c r="C115" s="328" t="s">
        <v>5604</v>
      </c>
      <c r="D115" s="328" t="s">
        <v>5605</v>
      </c>
      <c r="E115" s="323" t="s">
        <v>5606</v>
      </c>
      <c r="F115" s="323">
        <v>1</v>
      </c>
      <c r="G115" s="323" t="s">
        <v>2828</v>
      </c>
      <c r="H115" s="323" t="s">
        <v>615</v>
      </c>
      <c r="I115" s="323" t="s">
        <v>3211</v>
      </c>
      <c r="J115" s="325">
        <v>44074</v>
      </c>
      <c r="K115" s="325"/>
      <c r="L115" s="325"/>
      <c r="M115" s="323" t="s">
        <v>2853</v>
      </c>
      <c r="N115" s="323" t="s">
        <v>2088</v>
      </c>
      <c r="O115" s="359">
        <v>44029</v>
      </c>
      <c r="P115" s="323" t="s">
        <v>3061</v>
      </c>
      <c r="Q115" s="323" t="s">
        <v>2829</v>
      </c>
      <c r="R115" s="375" t="s">
        <v>5080</v>
      </c>
      <c r="S115" s="323">
        <f>Table1372[[#This Row],[DATE  CLOSED]]-Table1372[[#This Row],[INITIATION DATE]]</f>
        <v>2</v>
      </c>
    </row>
    <row r="116" spans="1:19" ht="25.35" customHeight="1" x14ac:dyDescent="0.2">
      <c r="A116" s="346" t="s">
        <v>5607</v>
      </c>
      <c r="B116" s="325">
        <v>44027</v>
      </c>
      <c r="C116" s="328" t="s">
        <v>5609</v>
      </c>
      <c r="D116" s="328" t="s">
        <v>3606</v>
      </c>
      <c r="E116" s="323" t="s">
        <v>5608</v>
      </c>
      <c r="F116" s="323">
        <v>1</v>
      </c>
      <c r="G116" s="323" t="s">
        <v>2828</v>
      </c>
      <c r="H116" s="323" t="s">
        <v>4232</v>
      </c>
      <c r="I116" s="323" t="s">
        <v>3211</v>
      </c>
      <c r="J116" s="325">
        <v>44074</v>
      </c>
      <c r="K116" s="325"/>
      <c r="L116" s="325"/>
      <c r="M116" s="323" t="s">
        <v>2853</v>
      </c>
      <c r="N116" s="323" t="s">
        <v>2088</v>
      </c>
      <c r="O116" s="359">
        <v>44029</v>
      </c>
      <c r="P116" s="323" t="s">
        <v>3061</v>
      </c>
      <c r="Q116" s="323" t="s">
        <v>2829</v>
      </c>
      <c r="R116" s="375" t="s">
        <v>5080</v>
      </c>
      <c r="S116" s="323">
        <f>Table1372[[#This Row],[DATE  CLOSED]]-Table1372[[#This Row],[INITIATION DATE]]</f>
        <v>2</v>
      </c>
    </row>
    <row r="117" spans="1:19" ht="25.35" customHeight="1" x14ac:dyDescent="0.2">
      <c r="A117" s="346" t="s">
        <v>5610</v>
      </c>
      <c r="B117" s="325">
        <v>44027</v>
      </c>
      <c r="C117" s="328" t="s">
        <v>5611</v>
      </c>
      <c r="D117" s="328" t="s">
        <v>5612</v>
      </c>
      <c r="E117" s="323" t="s">
        <v>2971</v>
      </c>
      <c r="F117" s="323">
        <v>1</v>
      </c>
      <c r="G117" s="323" t="s">
        <v>2841</v>
      </c>
      <c r="H117" s="323" t="s">
        <v>3227</v>
      </c>
      <c r="I117" s="323" t="s">
        <v>3211</v>
      </c>
      <c r="J117" s="325">
        <v>44043</v>
      </c>
      <c r="K117" s="325">
        <v>44074</v>
      </c>
      <c r="L117" s="325"/>
      <c r="M117" s="323" t="s">
        <v>2853</v>
      </c>
      <c r="N117" s="323" t="s">
        <v>3061</v>
      </c>
      <c r="O117" s="359">
        <v>44067</v>
      </c>
      <c r="P117" s="323" t="s">
        <v>3061</v>
      </c>
      <c r="Q117" s="323" t="s">
        <v>2832</v>
      </c>
      <c r="R117" s="375" t="s">
        <v>5080</v>
      </c>
      <c r="S117" s="323">
        <f>Table1372[[#This Row],[DATE  CLOSED]]-Table1372[[#This Row],[INITIATION DATE]]</f>
        <v>40</v>
      </c>
    </row>
    <row r="118" spans="1:19" ht="25.35" customHeight="1" x14ac:dyDescent="0.2">
      <c r="A118" s="346" t="s">
        <v>5613</v>
      </c>
      <c r="B118" s="325">
        <v>44034</v>
      </c>
      <c r="C118" s="328" t="s">
        <v>5614</v>
      </c>
      <c r="D118" s="328" t="s">
        <v>4624</v>
      </c>
      <c r="E118" s="323" t="s">
        <v>4256</v>
      </c>
      <c r="F118" s="323">
        <v>1</v>
      </c>
      <c r="G118" s="323" t="s">
        <v>2828</v>
      </c>
      <c r="H118" s="323" t="s">
        <v>4232</v>
      </c>
      <c r="I118" s="323" t="s">
        <v>3926</v>
      </c>
      <c r="J118" s="325">
        <v>44074</v>
      </c>
      <c r="K118" s="325"/>
      <c r="L118" s="325"/>
      <c r="M118" s="323" t="s">
        <v>2853</v>
      </c>
      <c r="N118" s="323" t="s">
        <v>2088</v>
      </c>
      <c r="O118" s="359">
        <v>44056</v>
      </c>
      <c r="P118" s="323" t="s">
        <v>3061</v>
      </c>
      <c r="Q118" s="323" t="s">
        <v>2829</v>
      </c>
      <c r="R118" s="375" t="s">
        <v>5080</v>
      </c>
      <c r="S118" s="323">
        <f>Table1372[[#This Row],[DATE  CLOSED]]-Table1372[[#This Row],[INITIATION DATE]]</f>
        <v>22</v>
      </c>
    </row>
    <row r="119" spans="1:19" ht="25.35" customHeight="1" x14ac:dyDescent="0.2">
      <c r="A119" s="346" t="s">
        <v>5615</v>
      </c>
      <c r="B119" s="325">
        <v>44034</v>
      </c>
      <c r="C119" s="329" t="s">
        <v>5616</v>
      </c>
      <c r="D119" s="329" t="s">
        <v>5617</v>
      </c>
      <c r="E119" s="326" t="s">
        <v>2971</v>
      </c>
      <c r="F119" s="323">
        <v>1</v>
      </c>
      <c r="G119" s="323" t="s">
        <v>2841</v>
      </c>
      <c r="H119" s="326" t="s">
        <v>486</v>
      </c>
      <c r="I119" s="326" t="s">
        <v>229</v>
      </c>
      <c r="J119" s="325">
        <v>44074</v>
      </c>
      <c r="K119" s="325"/>
      <c r="L119" s="325"/>
      <c r="M119" s="326" t="s">
        <v>2853</v>
      </c>
      <c r="N119" s="323" t="s">
        <v>2088</v>
      </c>
      <c r="O119" s="359">
        <v>44061</v>
      </c>
      <c r="P119" s="323" t="s">
        <v>3061</v>
      </c>
      <c r="Q119" s="323" t="s">
        <v>2829</v>
      </c>
      <c r="R119" s="375"/>
      <c r="S119" s="323">
        <f>Table1372[[#This Row],[DATE  CLOSED]]-Table1372[[#This Row],[INITIATION DATE]]</f>
        <v>27</v>
      </c>
    </row>
    <row r="120" spans="1:19" ht="25.35" customHeight="1" x14ac:dyDescent="0.2">
      <c r="A120" s="346" t="s">
        <v>5618</v>
      </c>
      <c r="B120" s="325">
        <v>44035</v>
      </c>
      <c r="C120" s="328" t="s">
        <v>5619</v>
      </c>
      <c r="D120" s="328" t="s">
        <v>5562</v>
      </c>
      <c r="E120" s="323" t="s">
        <v>5608</v>
      </c>
      <c r="F120" s="323">
        <v>1</v>
      </c>
      <c r="G120" s="323" t="s">
        <v>2828</v>
      </c>
      <c r="H120" s="323" t="s">
        <v>4232</v>
      </c>
      <c r="I120" s="323" t="s">
        <v>3211</v>
      </c>
      <c r="J120" s="325">
        <v>44074</v>
      </c>
      <c r="K120" s="325"/>
      <c r="L120" s="325"/>
      <c r="M120" s="323" t="s">
        <v>2853</v>
      </c>
      <c r="N120" s="323" t="s">
        <v>2088</v>
      </c>
      <c r="O120" s="359">
        <v>44056</v>
      </c>
      <c r="P120" s="323" t="s">
        <v>3061</v>
      </c>
      <c r="Q120" s="323" t="s">
        <v>2829</v>
      </c>
      <c r="R120" s="375" t="s">
        <v>5080</v>
      </c>
      <c r="S120" s="323">
        <f>Table1372[[#This Row],[DATE  CLOSED]]-Table1372[[#This Row],[INITIATION DATE]]</f>
        <v>21</v>
      </c>
    </row>
    <row r="121" spans="1:19" ht="25.35" customHeight="1" x14ac:dyDescent="0.2">
      <c r="A121" s="346" t="s">
        <v>5620</v>
      </c>
      <c r="B121" s="325">
        <v>44035</v>
      </c>
      <c r="C121" s="328" t="s">
        <v>5622</v>
      </c>
      <c r="D121" s="328" t="s">
        <v>5623</v>
      </c>
      <c r="E121" s="323" t="s">
        <v>2971</v>
      </c>
      <c r="F121" s="323">
        <v>1</v>
      </c>
      <c r="G121" s="323" t="s">
        <v>2841</v>
      </c>
      <c r="H121" s="323" t="s">
        <v>486</v>
      </c>
      <c r="I121" s="323" t="s">
        <v>229</v>
      </c>
      <c r="J121" s="325">
        <v>44074</v>
      </c>
      <c r="K121" s="325"/>
      <c r="L121" s="325"/>
      <c r="M121" s="323" t="s">
        <v>2853</v>
      </c>
      <c r="N121" s="323" t="s">
        <v>2088</v>
      </c>
      <c r="O121" s="359">
        <v>44070</v>
      </c>
      <c r="P121" s="323" t="s">
        <v>3061</v>
      </c>
      <c r="Q121" s="323" t="s">
        <v>2829</v>
      </c>
      <c r="R121" s="375" t="s">
        <v>5080</v>
      </c>
      <c r="S121" s="323">
        <f>Table1372[[#This Row],[DATE  CLOSED]]-Table1372[[#This Row],[INITIATION DATE]]</f>
        <v>35</v>
      </c>
    </row>
    <row r="122" spans="1:19" ht="25.35" customHeight="1" x14ac:dyDescent="0.2">
      <c r="A122" s="346" t="s">
        <v>5621</v>
      </c>
      <c r="B122" s="325">
        <v>44036</v>
      </c>
      <c r="C122" s="328" t="s">
        <v>5703</v>
      </c>
      <c r="D122" s="328" t="s">
        <v>3039</v>
      </c>
      <c r="E122" s="323" t="s">
        <v>2971</v>
      </c>
      <c r="F122" s="323">
        <v>1</v>
      </c>
      <c r="G122" s="323" t="s">
        <v>2841</v>
      </c>
      <c r="H122" s="323" t="s">
        <v>1339</v>
      </c>
      <c r="I122" s="323" t="s">
        <v>229</v>
      </c>
      <c r="J122" s="325">
        <v>44074</v>
      </c>
      <c r="K122" s="325"/>
      <c r="L122" s="325"/>
      <c r="M122" s="323" t="s">
        <v>2853</v>
      </c>
      <c r="N122" s="323" t="s">
        <v>2088</v>
      </c>
      <c r="O122" s="359">
        <v>44067</v>
      </c>
      <c r="P122" s="323" t="s">
        <v>3061</v>
      </c>
      <c r="Q122" s="323" t="s">
        <v>2829</v>
      </c>
      <c r="R122" s="375"/>
      <c r="S122" s="323">
        <f>Table1372[[#This Row],[DATE  CLOSED]]-Table1372[[#This Row],[INITIATION DATE]]</f>
        <v>31</v>
      </c>
    </row>
    <row r="123" spans="1:19" ht="25.35" customHeight="1" x14ac:dyDescent="0.2">
      <c r="A123" s="346" t="s">
        <v>5624</v>
      </c>
      <c r="B123" s="347">
        <v>44041</v>
      </c>
      <c r="C123" s="348" t="s">
        <v>5625</v>
      </c>
      <c r="D123" s="348" t="s">
        <v>5626</v>
      </c>
      <c r="E123" s="349" t="s">
        <v>3825</v>
      </c>
      <c r="F123" s="349">
        <v>1</v>
      </c>
      <c r="G123" s="349" t="s">
        <v>2828</v>
      </c>
      <c r="H123" s="349" t="s">
        <v>4232</v>
      </c>
      <c r="I123" s="349" t="s">
        <v>3211</v>
      </c>
      <c r="J123" s="347">
        <v>44104</v>
      </c>
      <c r="K123" s="347">
        <v>44286</v>
      </c>
      <c r="L123" s="347"/>
      <c r="M123" s="349" t="s">
        <v>2847</v>
      </c>
      <c r="N123" s="349"/>
      <c r="O123" s="361"/>
      <c r="P123" s="349"/>
      <c r="Q123" s="349"/>
      <c r="R123" s="350"/>
      <c r="S123" s="323">
        <f>Table1372[[#This Row],[DATE  CLOSED]]-Table1372[[#This Row],[INITIATION DATE]]</f>
        <v>-44041</v>
      </c>
    </row>
    <row r="124" spans="1:19" s="369" customFormat="1" ht="25.35" customHeight="1" x14ac:dyDescent="0.2">
      <c r="A124" s="346" t="s">
        <v>5627</v>
      </c>
      <c r="B124" s="347">
        <v>44042</v>
      </c>
      <c r="C124" s="366" t="s">
        <v>5628</v>
      </c>
      <c r="D124" s="366" t="s">
        <v>3606</v>
      </c>
      <c r="E124" s="346" t="s">
        <v>3323</v>
      </c>
      <c r="F124" s="346">
        <v>1</v>
      </c>
      <c r="G124" s="349" t="s">
        <v>2828</v>
      </c>
      <c r="H124" s="346" t="s">
        <v>4021</v>
      </c>
      <c r="I124" s="346" t="s">
        <v>3211</v>
      </c>
      <c r="J124" s="347">
        <v>44074</v>
      </c>
      <c r="K124" s="367"/>
      <c r="L124" s="346"/>
      <c r="M124" s="347" t="s">
        <v>2853</v>
      </c>
      <c r="N124" s="346" t="s">
        <v>2088</v>
      </c>
      <c r="O124" s="368">
        <v>44053</v>
      </c>
      <c r="P124" s="349" t="s">
        <v>3061</v>
      </c>
      <c r="Q124" s="323" t="s">
        <v>2829</v>
      </c>
      <c r="R124" s="326" t="s">
        <v>5080</v>
      </c>
      <c r="S124" s="323">
        <f>Table1372[[#This Row],[DATE  CLOSED]]-Table1372[[#This Row],[INITIATION DATE]]</f>
        <v>11</v>
      </c>
    </row>
    <row r="125" spans="1:19" ht="25.35" customHeight="1" x14ac:dyDescent="0.2">
      <c r="A125" s="346" t="s">
        <v>5629</v>
      </c>
      <c r="B125" s="325">
        <v>44042</v>
      </c>
      <c r="C125" s="328" t="s">
        <v>5630</v>
      </c>
      <c r="D125" s="328" t="s">
        <v>3606</v>
      </c>
      <c r="E125" s="323" t="s">
        <v>4610</v>
      </c>
      <c r="F125" s="323">
        <v>1</v>
      </c>
      <c r="G125" s="323" t="s">
        <v>2828</v>
      </c>
      <c r="H125" s="323" t="s">
        <v>4021</v>
      </c>
      <c r="I125" s="323" t="s">
        <v>3211</v>
      </c>
      <c r="J125" s="325">
        <v>44074</v>
      </c>
      <c r="K125" s="325"/>
      <c r="L125" s="325"/>
      <c r="M125" s="323" t="s">
        <v>2853</v>
      </c>
      <c r="N125" s="323" t="s">
        <v>2088</v>
      </c>
      <c r="O125" s="359">
        <v>44057</v>
      </c>
      <c r="P125" s="323" t="s">
        <v>3061</v>
      </c>
      <c r="Q125" s="323" t="s">
        <v>2829</v>
      </c>
      <c r="R125" s="375" t="s">
        <v>5080</v>
      </c>
      <c r="S125" s="323">
        <f>Table1372[[#This Row],[DATE  CLOSED]]-Table1372[[#This Row],[INITIATION DATE]]</f>
        <v>15</v>
      </c>
    </row>
    <row r="126" spans="1:19" ht="25.35" customHeight="1" x14ac:dyDescent="0.2">
      <c r="A126" s="346" t="s">
        <v>5631</v>
      </c>
      <c r="B126" s="325">
        <v>44042</v>
      </c>
      <c r="C126" s="328" t="s">
        <v>5633</v>
      </c>
      <c r="D126" s="328" t="s">
        <v>5632</v>
      </c>
      <c r="E126" s="323" t="s">
        <v>5608</v>
      </c>
      <c r="F126" s="323">
        <v>1</v>
      </c>
      <c r="G126" s="323" t="s">
        <v>2828</v>
      </c>
      <c r="H126" s="323" t="s">
        <v>4232</v>
      </c>
      <c r="I126" s="323" t="s">
        <v>3211</v>
      </c>
      <c r="J126" s="325">
        <v>44074</v>
      </c>
      <c r="K126" s="325"/>
      <c r="L126" s="325"/>
      <c r="M126" s="323" t="s">
        <v>2853</v>
      </c>
      <c r="N126" s="323" t="s">
        <v>2088</v>
      </c>
      <c r="O126" s="359">
        <v>44049</v>
      </c>
      <c r="P126" s="323" t="s">
        <v>3061</v>
      </c>
      <c r="Q126" s="323" t="s">
        <v>2829</v>
      </c>
      <c r="R126" s="375" t="s">
        <v>5080</v>
      </c>
      <c r="S126" s="323">
        <f>Table1372[[#This Row],[DATE  CLOSED]]-Table1372[[#This Row],[INITIATION DATE]]</f>
        <v>7</v>
      </c>
    </row>
    <row r="127" spans="1:19" ht="25.35" customHeight="1" x14ac:dyDescent="0.2">
      <c r="A127" s="346" t="s">
        <v>5636</v>
      </c>
      <c r="B127" s="325">
        <v>44048</v>
      </c>
      <c r="C127" s="328" t="s">
        <v>5637</v>
      </c>
      <c r="D127" s="328" t="s">
        <v>3873</v>
      </c>
      <c r="E127" s="323" t="s">
        <v>2971</v>
      </c>
      <c r="F127" s="323">
        <v>1</v>
      </c>
      <c r="G127" s="323" t="s">
        <v>2841</v>
      </c>
      <c r="H127" s="323" t="s">
        <v>229</v>
      </c>
      <c r="I127" s="323" t="s">
        <v>755</v>
      </c>
      <c r="J127" s="325">
        <v>44074</v>
      </c>
      <c r="K127" s="325"/>
      <c r="L127" s="325"/>
      <c r="M127" s="323" t="s">
        <v>2853</v>
      </c>
      <c r="N127" s="323" t="s">
        <v>2088</v>
      </c>
      <c r="O127" s="359">
        <v>44074</v>
      </c>
      <c r="P127" s="323" t="s">
        <v>3061</v>
      </c>
      <c r="Q127" s="323" t="s">
        <v>2829</v>
      </c>
      <c r="R127" s="375"/>
      <c r="S127" s="323">
        <f>Table1372[[#This Row],[DATE  CLOSED]]-Table1372[[#This Row],[INITIATION DATE]]</f>
        <v>26</v>
      </c>
    </row>
    <row r="128" spans="1:19" ht="25.35" customHeight="1" x14ac:dyDescent="0.2">
      <c r="A128" s="346" t="s">
        <v>5638</v>
      </c>
      <c r="B128" s="325">
        <v>44048</v>
      </c>
      <c r="C128" s="328" t="s">
        <v>5641</v>
      </c>
      <c r="D128" s="328" t="s">
        <v>3873</v>
      </c>
      <c r="E128" s="323" t="s">
        <v>2971</v>
      </c>
      <c r="F128" s="323">
        <v>1</v>
      </c>
      <c r="G128" s="323" t="s">
        <v>2841</v>
      </c>
      <c r="H128" s="323" t="s">
        <v>229</v>
      </c>
      <c r="I128" s="323" t="s">
        <v>755</v>
      </c>
      <c r="J128" s="325">
        <v>44074</v>
      </c>
      <c r="K128" s="325"/>
      <c r="L128" s="325"/>
      <c r="M128" s="323" t="s">
        <v>2853</v>
      </c>
      <c r="N128" s="323" t="s">
        <v>2088</v>
      </c>
      <c r="O128" s="359">
        <v>44067</v>
      </c>
      <c r="P128" s="323" t="s">
        <v>3061</v>
      </c>
      <c r="Q128" s="323" t="s">
        <v>2829</v>
      </c>
      <c r="R128" s="375" t="s">
        <v>5080</v>
      </c>
      <c r="S128" s="323">
        <f>Table1372[[#This Row],[DATE  CLOSED]]-Table1372[[#This Row],[INITIATION DATE]]</f>
        <v>19</v>
      </c>
    </row>
    <row r="129" spans="1:19" ht="25.35" customHeight="1" x14ac:dyDescent="0.2">
      <c r="A129" s="346" t="s">
        <v>5639</v>
      </c>
      <c r="B129" s="325">
        <v>44048</v>
      </c>
      <c r="C129" s="328" t="s">
        <v>5642</v>
      </c>
      <c r="D129" s="328" t="s">
        <v>3039</v>
      </c>
      <c r="E129" s="323" t="s">
        <v>2971</v>
      </c>
      <c r="F129" s="323">
        <v>1</v>
      </c>
      <c r="G129" s="323" t="s">
        <v>2841</v>
      </c>
      <c r="H129" s="323" t="s">
        <v>229</v>
      </c>
      <c r="I129" s="323" t="s">
        <v>755</v>
      </c>
      <c r="J129" s="325">
        <v>44074</v>
      </c>
      <c r="K129" s="325"/>
      <c r="L129" s="325"/>
      <c r="M129" s="323" t="s">
        <v>2853</v>
      </c>
      <c r="N129" s="323" t="s">
        <v>2088</v>
      </c>
      <c r="O129" s="359">
        <v>44067</v>
      </c>
      <c r="P129" s="323" t="s">
        <v>3061</v>
      </c>
      <c r="Q129" s="323" t="s">
        <v>2829</v>
      </c>
      <c r="R129" s="375"/>
      <c r="S129" s="323">
        <f>Table1372[[#This Row],[DATE  CLOSED]]-Table1372[[#This Row],[INITIATION DATE]]</f>
        <v>19</v>
      </c>
    </row>
    <row r="130" spans="1:19" ht="25.35" customHeight="1" x14ac:dyDescent="0.2">
      <c r="A130" s="346" t="s">
        <v>5640</v>
      </c>
      <c r="B130" s="325">
        <v>44048</v>
      </c>
      <c r="C130" s="328" t="s">
        <v>5643</v>
      </c>
      <c r="D130" s="328" t="s">
        <v>3873</v>
      </c>
      <c r="E130" s="323" t="s">
        <v>2971</v>
      </c>
      <c r="F130" s="323">
        <v>1</v>
      </c>
      <c r="G130" s="323" t="s">
        <v>2841</v>
      </c>
      <c r="H130" s="323" t="s">
        <v>229</v>
      </c>
      <c r="I130" s="323" t="s">
        <v>755</v>
      </c>
      <c r="J130" s="325">
        <v>44074</v>
      </c>
      <c r="K130" s="325"/>
      <c r="L130" s="325"/>
      <c r="M130" s="323" t="s">
        <v>2853</v>
      </c>
      <c r="N130" s="323" t="s">
        <v>2088</v>
      </c>
      <c r="O130" s="359">
        <v>44071</v>
      </c>
      <c r="P130" s="323" t="s">
        <v>3061</v>
      </c>
      <c r="Q130" s="323" t="s">
        <v>2829</v>
      </c>
      <c r="R130" s="375"/>
      <c r="S130" s="323">
        <f>Table1372[[#This Row],[DATE  CLOSED]]-Table1372[[#This Row],[INITIATION DATE]]</f>
        <v>23</v>
      </c>
    </row>
    <row r="131" spans="1:19" ht="25.35" customHeight="1" x14ac:dyDescent="0.2">
      <c r="A131" s="346" t="s">
        <v>5644</v>
      </c>
      <c r="B131" s="325">
        <v>44049</v>
      </c>
      <c r="C131" s="329" t="s">
        <v>5645</v>
      </c>
      <c r="D131" s="329" t="s">
        <v>5646</v>
      </c>
      <c r="E131" s="326" t="s">
        <v>2971</v>
      </c>
      <c r="F131" s="323">
        <v>1</v>
      </c>
      <c r="G131" s="326" t="s">
        <v>2836</v>
      </c>
      <c r="H131" s="326" t="s">
        <v>229</v>
      </c>
      <c r="I131" s="326" t="s">
        <v>755</v>
      </c>
      <c r="J131" s="325">
        <v>44074</v>
      </c>
      <c r="K131" s="325"/>
      <c r="L131" s="325"/>
      <c r="M131" s="326" t="s">
        <v>2853</v>
      </c>
      <c r="N131" s="323" t="s">
        <v>2088</v>
      </c>
      <c r="O131" s="359">
        <v>44070</v>
      </c>
      <c r="P131" s="323" t="s">
        <v>3061</v>
      </c>
      <c r="Q131" s="323" t="s">
        <v>2829</v>
      </c>
      <c r="R131" s="375" t="s">
        <v>5080</v>
      </c>
      <c r="S131" s="323">
        <f>Table1372[[#This Row],[DATE  CLOSED]]-Table1372[[#This Row],[INITIATION DATE]]</f>
        <v>21</v>
      </c>
    </row>
    <row r="132" spans="1:19" ht="25.35" customHeight="1" x14ac:dyDescent="0.2">
      <c r="A132" s="346" t="s">
        <v>5647</v>
      </c>
      <c r="B132" s="325">
        <v>44054</v>
      </c>
      <c r="C132" s="328" t="s">
        <v>5648</v>
      </c>
      <c r="D132" s="328" t="s">
        <v>5649</v>
      </c>
      <c r="E132" s="323" t="s">
        <v>5606</v>
      </c>
      <c r="F132" s="323">
        <v>1</v>
      </c>
      <c r="G132" s="323" t="s">
        <v>2828</v>
      </c>
      <c r="H132" s="323" t="s">
        <v>615</v>
      </c>
      <c r="I132" s="323" t="s">
        <v>3211</v>
      </c>
      <c r="J132" s="325">
        <v>44074</v>
      </c>
      <c r="K132" s="325"/>
      <c r="L132" s="325"/>
      <c r="M132" s="323" t="s">
        <v>2853</v>
      </c>
      <c r="N132" s="323" t="s">
        <v>2088</v>
      </c>
      <c r="O132" s="359">
        <v>44056</v>
      </c>
      <c r="P132" s="323" t="s">
        <v>3061</v>
      </c>
      <c r="Q132" s="323" t="s">
        <v>2829</v>
      </c>
      <c r="R132" s="375" t="s">
        <v>5080</v>
      </c>
      <c r="S132" s="323">
        <f>Table1372[[#This Row],[DATE  CLOSED]]-Table1372[[#This Row],[INITIATION DATE]]</f>
        <v>2</v>
      </c>
    </row>
    <row r="133" spans="1:19" ht="25.35" customHeight="1" x14ac:dyDescent="0.2">
      <c r="A133" s="346" t="s">
        <v>5650</v>
      </c>
      <c r="B133" s="325">
        <v>44054</v>
      </c>
      <c r="C133" s="329" t="s">
        <v>5651</v>
      </c>
      <c r="D133" s="329" t="s">
        <v>5652</v>
      </c>
      <c r="E133" s="326" t="s">
        <v>3586</v>
      </c>
      <c r="F133" s="323">
        <v>1</v>
      </c>
      <c r="G133" s="326" t="s">
        <v>2828</v>
      </c>
      <c r="H133" s="326" t="s">
        <v>3423</v>
      </c>
      <c r="I133" s="326" t="s">
        <v>3211</v>
      </c>
      <c r="J133" s="325">
        <v>44074</v>
      </c>
      <c r="K133" s="325"/>
      <c r="L133" s="325"/>
      <c r="M133" s="326" t="s">
        <v>2853</v>
      </c>
      <c r="N133" s="323" t="s">
        <v>2088</v>
      </c>
      <c r="O133" s="359">
        <v>44056</v>
      </c>
      <c r="P133" s="323" t="s">
        <v>3061</v>
      </c>
      <c r="Q133" s="323" t="s">
        <v>2829</v>
      </c>
      <c r="R133" s="375" t="s">
        <v>5080</v>
      </c>
      <c r="S133" s="323">
        <f>Table1372[[#This Row],[DATE  CLOSED]]-Table1372[[#This Row],[INITIATION DATE]]</f>
        <v>2</v>
      </c>
    </row>
    <row r="134" spans="1:19" ht="25.35" customHeight="1" x14ac:dyDescent="0.2">
      <c r="A134" s="346" t="s">
        <v>5653</v>
      </c>
      <c r="B134" s="325">
        <v>44055</v>
      </c>
      <c r="C134" s="329" t="s">
        <v>5654</v>
      </c>
      <c r="D134" s="329" t="s">
        <v>5655</v>
      </c>
      <c r="E134" s="326" t="s">
        <v>4610</v>
      </c>
      <c r="F134" s="323">
        <v>1</v>
      </c>
      <c r="G134" s="326" t="s">
        <v>2828</v>
      </c>
      <c r="H134" s="326" t="s">
        <v>4021</v>
      </c>
      <c r="I134" s="326" t="s">
        <v>3211</v>
      </c>
      <c r="J134" s="325">
        <v>44104</v>
      </c>
      <c r="K134" s="325"/>
      <c r="L134" s="325"/>
      <c r="M134" s="323" t="s">
        <v>2853</v>
      </c>
      <c r="N134" s="323" t="s">
        <v>2088</v>
      </c>
      <c r="O134" s="359">
        <v>44089</v>
      </c>
      <c r="P134" s="323" t="s">
        <v>3061</v>
      </c>
      <c r="Q134" s="323" t="s">
        <v>2832</v>
      </c>
      <c r="R134" s="375" t="s">
        <v>5080</v>
      </c>
      <c r="S134" s="323">
        <f>Table1372[[#This Row],[DATE  CLOSED]]-Table1372[[#This Row],[INITIATION DATE]]</f>
        <v>34</v>
      </c>
    </row>
    <row r="135" spans="1:19" ht="25.35" customHeight="1" x14ac:dyDescent="0.2">
      <c r="A135" s="346" t="s">
        <v>5656</v>
      </c>
      <c r="B135" s="325">
        <v>44056</v>
      </c>
      <c r="C135" s="329" t="s">
        <v>5657</v>
      </c>
      <c r="D135" s="329" t="s">
        <v>5658</v>
      </c>
      <c r="E135" s="326" t="s">
        <v>4675</v>
      </c>
      <c r="F135" s="323">
        <v>1</v>
      </c>
      <c r="G135" s="326" t="s">
        <v>2828</v>
      </c>
      <c r="H135" s="326" t="s">
        <v>3423</v>
      </c>
      <c r="I135" s="326" t="s">
        <v>3211</v>
      </c>
      <c r="J135" s="325">
        <v>44316</v>
      </c>
      <c r="K135" s="325"/>
      <c r="L135" s="325"/>
      <c r="M135" s="323" t="s">
        <v>2853</v>
      </c>
      <c r="N135" s="323" t="s">
        <v>2088</v>
      </c>
      <c r="O135" s="359">
        <v>44210</v>
      </c>
      <c r="P135" s="323" t="s">
        <v>3061</v>
      </c>
      <c r="Q135" s="323" t="s">
        <v>2835</v>
      </c>
      <c r="R135" s="375" t="s">
        <v>5080</v>
      </c>
      <c r="S135" s="323">
        <f>Table1372[[#This Row],[DATE  CLOSED]]-Table1372[[#This Row],[INITIATION DATE]]</f>
        <v>154</v>
      </c>
    </row>
    <row r="136" spans="1:19" ht="25.35" customHeight="1" x14ac:dyDescent="0.2">
      <c r="A136" s="346" t="s">
        <v>5659</v>
      </c>
      <c r="B136" s="325">
        <v>44056</v>
      </c>
      <c r="C136" s="329" t="s">
        <v>5660</v>
      </c>
      <c r="D136" s="329" t="s">
        <v>5661</v>
      </c>
      <c r="E136" s="326" t="s">
        <v>2971</v>
      </c>
      <c r="F136" s="323">
        <v>1</v>
      </c>
      <c r="G136" s="326" t="s">
        <v>2838</v>
      </c>
      <c r="H136" s="326" t="s">
        <v>685</v>
      </c>
      <c r="I136" s="326" t="s">
        <v>229</v>
      </c>
      <c r="J136" s="325">
        <v>44074</v>
      </c>
      <c r="K136" s="325"/>
      <c r="L136" s="325"/>
      <c r="M136" s="323" t="s">
        <v>2853</v>
      </c>
      <c r="N136" s="323"/>
      <c r="O136" s="359">
        <v>44056</v>
      </c>
      <c r="P136" s="323" t="s">
        <v>3061</v>
      </c>
      <c r="Q136" s="323" t="s">
        <v>2829</v>
      </c>
      <c r="R136" s="375"/>
      <c r="S136" s="323">
        <f>Table1372[[#This Row],[DATE  CLOSED]]-Table1372[[#This Row],[INITIATION DATE]]</f>
        <v>0</v>
      </c>
    </row>
    <row r="137" spans="1:19" ht="25.35" customHeight="1" x14ac:dyDescent="0.2">
      <c r="A137" s="346" t="s">
        <v>5662</v>
      </c>
      <c r="B137" s="325">
        <v>44056</v>
      </c>
      <c r="C137" s="328" t="s">
        <v>5663</v>
      </c>
      <c r="D137" s="328" t="s">
        <v>5661</v>
      </c>
      <c r="E137" s="323" t="s">
        <v>2971</v>
      </c>
      <c r="F137" s="323">
        <v>1</v>
      </c>
      <c r="G137" s="323" t="s">
        <v>2838</v>
      </c>
      <c r="H137" s="323" t="s">
        <v>685</v>
      </c>
      <c r="I137" s="323" t="s">
        <v>229</v>
      </c>
      <c r="J137" s="325">
        <v>44074</v>
      </c>
      <c r="K137" s="325"/>
      <c r="L137" s="325"/>
      <c r="M137" s="323" t="s">
        <v>2853</v>
      </c>
      <c r="N137" s="323" t="s">
        <v>2088</v>
      </c>
      <c r="O137" s="359">
        <v>44082</v>
      </c>
      <c r="P137" s="323" t="s">
        <v>3022</v>
      </c>
      <c r="Q137" s="323" t="s">
        <v>2829</v>
      </c>
      <c r="R137" s="375" t="s">
        <v>5080</v>
      </c>
      <c r="S137" s="323">
        <f>Table1372[[#This Row],[DATE  CLOSED]]-Table1372[[#This Row],[INITIATION DATE]]</f>
        <v>26</v>
      </c>
    </row>
    <row r="138" spans="1:19" ht="25.35" customHeight="1" x14ac:dyDescent="0.2">
      <c r="A138" s="346" t="s">
        <v>5664</v>
      </c>
      <c r="B138" s="325">
        <v>44056</v>
      </c>
      <c r="C138" s="328" t="s">
        <v>5665</v>
      </c>
      <c r="D138" s="328" t="s">
        <v>5661</v>
      </c>
      <c r="E138" s="323" t="s">
        <v>2971</v>
      </c>
      <c r="F138" s="323">
        <v>1</v>
      </c>
      <c r="G138" s="323" t="s">
        <v>2838</v>
      </c>
      <c r="H138" s="323" t="s">
        <v>685</v>
      </c>
      <c r="I138" s="323" t="s">
        <v>229</v>
      </c>
      <c r="J138" s="325">
        <v>44074</v>
      </c>
      <c r="K138" s="325">
        <v>44104</v>
      </c>
      <c r="L138" s="325">
        <v>44134</v>
      </c>
      <c r="M138" s="323" t="s">
        <v>2853</v>
      </c>
      <c r="N138" s="323" t="s">
        <v>3061</v>
      </c>
      <c r="O138" s="359">
        <v>44113</v>
      </c>
      <c r="P138" s="323" t="s">
        <v>3061</v>
      </c>
      <c r="Q138" s="323" t="s">
        <v>2832</v>
      </c>
      <c r="R138" s="375" t="s">
        <v>5080</v>
      </c>
      <c r="S138" s="323">
        <f>Table1372[[#This Row],[DATE  CLOSED]]-Table1372[[#This Row],[INITIATION DATE]]</f>
        <v>57</v>
      </c>
    </row>
    <row r="139" spans="1:19" ht="25.35" customHeight="1" x14ac:dyDescent="0.2">
      <c r="A139" s="346" t="s">
        <v>5666</v>
      </c>
      <c r="B139" s="325">
        <v>44056</v>
      </c>
      <c r="C139" s="329" t="s">
        <v>5667</v>
      </c>
      <c r="D139" s="329" t="s">
        <v>3518</v>
      </c>
      <c r="E139" s="326" t="s">
        <v>5606</v>
      </c>
      <c r="F139" s="323">
        <v>1</v>
      </c>
      <c r="G139" s="326" t="s">
        <v>2828</v>
      </c>
      <c r="H139" s="326" t="s">
        <v>615</v>
      </c>
      <c r="I139" s="326" t="s">
        <v>3211</v>
      </c>
      <c r="J139" s="325">
        <v>44196</v>
      </c>
      <c r="K139" s="325">
        <v>44286</v>
      </c>
      <c r="L139" s="325" t="s">
        <v>2088</v>
      </c>
      <c r="M139" s="326" t="s">
        <v>2853</v>
      </c>
      <c r="N139" s="323" t="s">
        <v>3061</v>
      </c>
      <c r="O139" s="359">
        <v>44285</v>
      </c>
      <c r="P139" s="323" t="s">
        <v>4224</v>
      </c>
      <c r="Q139" s="323" t="s">
        <v>2837</v>
      </c>
      <c r="R139" s="375" t="s">
        <v>6157</v>
      </c>
      <c r="S139" s="323">
        <f>Table1372[[#This Row],[DATE  CLOSED]]-Table1372[[#This Row],[INITIATION DATE]]</f>
        <v>229</v>
      </c>
    </row>
    <row r="140" spans="1:19" ht="25.35" customHeight="1" x14ac:dyDescent="0.2">
      <c r="A140" s="346" t="s">
        <v>5668</v>
      </c>
      <c r="B140" s="325">
        <v>44061</v>
      </c>
      <c r="C140" s="328" t="s">
        <v>5669</v>
      </c>
      <c r="D140" s="328" t="s">
        <v>5375</v>
      </c>
      <c r="E140" s="323" t="s">
        <v>3519</v>
      </c>
      <c r="F140" s="323">
        <v>1</v>
      </c>
      <c r="G140" s="323" t="s">
        <v>2828</v>
      </c>
      <c r="H140" s="323" t="s">
        <v>5670</v>
      </c>
      <c r="I140" s="323" t="s">
        <v>3926</v>
      </c>
      <c r="J140" s="325">
        <v>44074</v>
      </c>
      <c r="K140" s="325"/>
      <c r="L140" s="325"/>
      <c r="M140" s="323" t="s">
        <v>2853</v>
      </c>
      <c r="N140" s="323" t="s">
        <v>2088</v>
      </c>
      <c r="O140" s="359">
        <v>44071</v>
      </c>
      <c r="P140" s="323" t="s">
        <v>3061</v>
      </c>
      <c r="Q140" s="323" t="s">
        <v>2829</v>
      </c>
      <c r="R140" s="375" t="s">
        <v>5080</v>
      </c>
      <c r="S140" s="323">
        <f>Table1372[[#This Row],[DATE  CLOSED]]-Table1372[[#This Row],[INITIATION DATE]]</f>
        <v>10</v>
      </c>
    </row>
    <row r="141" spans="1:19" ht="25.35" customHeight="1" x14ac:dyDescent="0.2">
      <c r="A141" s="349" t="s">
        <v>5671</v>
      </c>
      <c r="B141" s="325">
        <v>44061</v>
      </c>
      <c r="C141" s="328" t="s">
        <v>5672</v>
      </c>
      <c r="D141" s="328" t="s">
        <v>5673</v>
      </c>
      <c r="E141" s="323" t="s">
        <v>3586</v>
      </c>
      <c r="F141" s="323">
        <v>1</v>
      </c>
      <c r="G141" s="323" t="s">
        <v>2828</v>
      </c>
      <c r="H141" s="323" t="s">
        <v>3423</v>
      </c>
      <c r="I141" s="323" t="s">
        <v>3211</v>
      </c>
      <c r="J141" s="325">
        <v>44104</v>
      </c>
      <c r="K141" s="325"/>
      <c r="L141" s="325"/>
      <c r="M141" s="323" t="s">
        <v>2853</v>
      </c>
      <c r="N141" s="323" t="s">
        <v>2088</v>
      </c>
      <c r="O141" s="359">
        <v>44063</v>
      </c>
      <c r="P141" s="323" t="s">
        <v>3061</v>
      </c>
      <c r="Q141" s="323" t="s">
        <v>2829</v>
      </c>
      <c r="R141" s="375" t="s">
        <v>5080</v>
      </c>
      <c r="S141" s="323">
        <f>Table1372[[#This Row],[DATE  CLOSED]]-Table1372[[#This Row],[INITIATION DATE]]</f>
        <v>2</v>
      </c>
    </row>
    <row r="142" spans="1:19" ht="25.35" customHeight="1" x14ac:dyDescent="0.2">
      <c r="A142" s="349" t="s">
        <v>5674</v>
      </c>
      <c r="B142" s="325">
        <v>44061</v>
      </c>
      <c r="C142" s="328" t="s">
        <v>5675</v>
      </c>
      <c r="D142" s="328" t="s">
        <v>3039</v>
      </c>
      <c r="E142" s="323" t="s">
        <v>2971</v>
      </c>
      <c r="F142" s="323">
        <v>1</v>
      </c>
      <c r="G142" s="323" t="s">
        <v>2841</v>
      </c>
      <c r="H142" s="323" t="s">
        <v>3423</v>
      </c>
      <c r="I142" s="323" t="s">
        <v>3211</v>
      </c>
      <c r="J142" s="325">
        <v>44104</v>
      </c>
      <c r="K142" s="325"/>
      <c r="L142" s="325"/>
      <c r="M142" s="323" t="s">
        <v>2853</v>
      </c>
      <c r="N142" s="323" t="s">
        <v>2088</v>
      </c>
      <c r="O142" s="359">
        <v>44071</v>
      </c>
      <c r="P142" s="323" t="s">
        <v>3061</v>
      </c>
      <c r="Q142" s="323" t="s">
        <v>2829</v>
      </c>
      <c r="R142" s="375" t="s">
        <v>5080</v>
      </c>
      <c r="S142" s="323">
        <f>Table1372[[#This Row],[DATE  CLOSED]]-Table1372[[#This Row],[INITIATION DATE]]</f>
        <v>10</v>
      </c>
    </row>
    <row r="143" spans="1:19" ht="25.35" customHeight="1" x14ac:dyDescent="0.2">
      <c r="A143" s="349" t="s">
        <v>5677</v>
      </c>
      <c r="B143" s="325">
        <v>44061</v>
      </c>
      <c r="C143" s="328" t="s">
        <v>5678</v>
      </c>
      <c r="D143" s="328" t="s">
        <v>3039</v>
      </c>
      <c r="E143" s="323" t="s">
        <v>2971</v>
      </c>
      <c r="F143" s="323">
        <v>1</v>
      </c>
      <c r="G143" s="323" t="s">
        <v>2841</v>
      </c>
      <c r="H143" s="323" t="s">
        <v>1339</v>
      </c>
      <c r="I143" s="323" t="s">
        <v>229</v>
      </c>
      <c r="J143" s="325">
        <v>44104</v>
      </c>
      <c r="K143" s="325"/>
      <c r="L143" s="325"/>
      <c r="M143" s="323" t="s">
        <v>2853</v>
      </c>
      <c r="N143" s="323" t="s">
        <v>2088</v>
      </c>
      <c r="O143" s="359">
        <v>44095</v>
      </c>
      <c r="P143" s="323" t="s">
        <v>3061</v>
      </c>
      <c r="Q143" s="323" t="s">
        <v>2832</v>
      </c>
      <c r="R143" s="375" t="s">
        <v>5080</v>
      </c>
      <c r="S143" s="323">
        <f>Table1372[[#This Row],[DATE  CLOSED]]-Table1372[[#This Row],[INITIATION DATE]]</f>
        <v>34</v>
      </c>
    </row>
    <row r="144" spans="1:19" ht="25.35" customHeight="1" x14ac:dyDescent="0.2">
      <c r="A144" s="349" t="s">
        <v>5679</v>
      </c>
      <c r="B144" s="325">
        <v>44062</v>
      </c>
      <c r="C144" s="328" t="s">
        <v>5680</v>
      </c>
      <c r="D144" s="328" t="s">
        <v>5681</v>
      </c>
      <c r="E144" s="323" t="s">
        <v>2971</v>
      </c>
      <c r="F144" s="323">
        <v>1</v>
      </c>
      <c r="G144" s="323" t="s">
        <v>2841</v>
      </c>
      <c r="H144" s="323" t="s">
        <v>237</v>
      </c>
      <c r="I144" s="323" t="s">
        <v>229</v>
      </c>
      <c r="J144" s="325">
        <v>44104</v>
      </c>
      <c r="K144" s="327"/>
      <c r="L144" s="327"/>
      <c r="M144" s="326" t="s">
        <v>2853</v>
      </c>
      <c r="N144" s="323" t="s">
        <v>2088</v>
      </c>
      <c r="O144" s="359">
        <v>44116</v>
      </c>
      <c r="P144" s="323" t="s">
        <v>3022</v>
      </c>
      <c r="Q144" s="323" t="s">
        <v>2832</v>
      </c>
      <c r="R144" s="375"/>
      <c r="S144" s="323">
        <f>Table1372[[#This Row],[DATE  CLOSED]]-Table1372[[#This Row],[INITIATION DATE]]</f>
        <v>54</v>
      </c>
    </row>
    <row r="145" spans="1:19" ht="25.35" customHeight="1" x14ac:dyDescent="0.2">
      <c r="A145" s="349" t="s">
        <v>5682</v>
      </c>
      <c r="B145" s="325">
        <v>44062</v>
      </c>
      <c r="C145" s="328" t="s">
        <v>5683</v>
      </c>
      <c r="D145" s="328" t="s">
        <v>5684</v>
      </c>
      <c r="E145" s="323" t="s">
        <v>5608</v>
      </c>
      <c r="F145" s="323">
        <v>1</v>
      </c>
      <c r="G145" s="323" t="s">
        <v>2828</v>
      </c>
      <c r="H145" s="323" t="s">
        <v>4232</v>
      </c>
      <c r="I145" s="323" t="s">
        <v>3211</v>
      </c>
      <c r="J145" s="325">
        <v>44104</v>
      </c>
      <c r="K145" s="325"/>
      <c r="L145" s="325"/>
      <c r="M145" s="323" t="s">
        <v>2853</v>
      </c>
      <c r="N145" s="323" t="s">
        <v>2088</v>
      </c>
      <c r="O145" s="359">
        <v>44063</v>
      </c>
      <c r="P145" s="323" t="s">
        <v>3061</v>
      </c>
      <c r="Q145" s="323" t="s">
        <v>2829</v>
      </c>
      <c r="R145" s="375" t="s">
        <v>5080</v>
      </c>
      <c r="S145" s="323">
        <f>Table1372[[#This Row],[DATE  CLOSED]]-Table1372[[#This Row],[INITIATION DATE]]</f>
        <v>1</v>
      </c>
    </row>
    <row r="146" spans="1:19" ht="25.35" customHeight="1" x14ac:dyDescent="0.2">
      <c r="A146" s="349" t="s">
        <v>5685</v>
      </c>
      <c r="B146" s="325">
        <v>44063</v>
      </c>
      <c r="C146" s="328" t="s">
        <v>5686</v>
      </c>
      <c r="D146" s="328" t="s">
        <v>3039</v>
      </c>
      <c r="E146" s="323" t="s">
        <v>2971</v>
      </c>
      <c r="F146" s="323">
        <v>1</v>
      </c>
      <c r="G146" s="323" t="s">
        <v>2841</v>
      </c>
      <c r="H146" s="323" t="s">
        <v>755</v>
      </c>
      <c r="I146" s="323" t="s">
        <v>229</v>
      </c>
      <c r="J146" s="325">
        <v>44074</v>
      </c>
      <c r="K146" s="325"/>
      <c r="L146" s="325"/>
      <c r="M146" s="323" t="s">
        <v>2853</v>
      </c>
      <c r="N146" s="323" t="s">
        <v>2088</v>
      </c>
      <c r="O146" s="359">
        <v>44067</v>
      </c>
      <c r="P146" s="323" t="s">
        <v>3061</v>
      </c>
      <c r="Q146" s="323" t="s">
        <v>2829</v>
      </c>
      <c r="R146" s="375" t="s">
        <v>5080</v>
      </c>
      <c r="S146" s="323">
        <f>Table1372[[#This Row],[DATE  CLOSED]]-Table1372[[#This Row],[INITIATION DATE]]</f>
        <v>4</v>
      </c>
    </row>
    <row r="147" spans="1:19" ht="25.35" customHeight="1" x14ac:dyDescent="0.2">
      <c r="A147" s="349" t="s">
        <v>5687</v>
      </c>
      <c r="B147" s="325">
        <v>44071</v>
      </c>
      <c r="C147" s="329" t="s">
        <v>5688</v>
      </c>
      <c r="D147" s="329" t="s">
        <v>3039</v>
      </c>
      <c r="E147" s="326" t="s">
        <v>2971</v>
      </c>
      <c r="F147" s="323">
        <v>1</v>
      </c>
      <c r="G147" s="326" t="s">
        <v>2841</v>
      </c>
      <c r="H147" s="326" t="s">
        <v>229</v>
      </c>
      <c r="I147" s="326" t="s">
        <v>755</v>
      </c>
      <c r="J147" s="325">
        <v>44104</v>
      </c>
      <c r="K147" s="325"/>
      <c r="L147" s="325"/>
      <c r="M147" s="326" t="s">
        <v>2853</v>
      </c>
      <c r="N147" s="323" t="s">
        <v>2088</v>
      </c>
      <c r="O147" s="359">
        <v>44088</v>
      </c>
      <c r="P147" s="323" t="s">
        <v>3061</v>
      </c>
      <c r="Q147" s="323" t="s">
        <v>2829</v>
      </c>
      <c r="R147" s="375" t="s">
        <v>5080</v>
      </c>
      <c r="S147" s="323">
        <f>Table1372[[#This Row],[DATE  CLOSED]]-Table1372[[#This Row],[INITIATION DATE]]</f>
        <v>17</v>
      </c>
    </row>
    <row r="148" spans="1:19" ht="25.35" customHeight="1" x14ac:dyDescent="0.2">
      <c r="A148" s="349" t="s">
        <v>5689</v>
      </c>
      <c r="B148" s="325">
        <v>44076</v>
      </c>
      <c r="C148" s="328" t="s">
        <v>5691</v>
      </c>
      <c r="D148" s="328" t="s">
        <v>5694</v>
      </c>
      <c r="E148" s="323" t="s">
        <v>2971</v>
      </c>
      <c r="F148" s="323">
        <v>1</v>
      </c>
      <c r="G148" s="323" t="s">
        <v>2836</v>
      </c>
      <c r="H148" s="323" t="s">
        <v>3991</v>
      </c>
      <c r="I148" s="323" t="s">
        <v>229</v>
      </c>
      <c r="J148" s="325">
        <v>44165</v>
      </c>
      <c r="K148" s="325">
        <v>44286</v>
      </c>
      <c r="L148" s="325"/>
      <c r="M148" s="323" t="s">
        <v>2853</v>
      </c>
      <c r="N148" s="323" t="s">
        <v>3061</v>
      </c>
      <c r="O148" s="359">
        <v>44286</v>
      </c>
      <c r="P148" s="323" t="s">
        <v>3061</v>
      </c>
      <c r="Q148" s="323" t="s">
        <v>2835</v>
      </c>
      <c r="R148" s="375"/>
      <c r="S148" s="323">
        <f>Table1372[[#This Row],[DATE  CLOSED]]-Table1372[[#This Row],[INITIATION DATE]]</f>
        <v>210</v>
      </c>
    </row>
    <row r="149" spans="1:19" ht="25.35" customHeight="1" x14ac:dyDescent="0.2">
      <c r="A149" s="349" t="s">
        <v>5690</v>
      </c>
      <c r="B149" s="325">
        <v>44076</v>
      </c>
      <c r="C149" s="328" t="s">
        <v>5692</v>
      </c>
      <c r="D149" s="328" t="s">
        <v>5693</v>
      </c>
      <c r="E149" s="323" t="s">
        <v>2971</v>
      </c>
      <c r="F149" s="323">
        <v>1</v>
      </c>
      <c r="G149" s="323" t="s">
        <v>2841</v>
      </c>
      <c r="H149" s="323" t="s">
        <v>3991</v>
      </c>
      <c r="I149" s="323" t="s">
        <v>229</v>
      </c>
      <c r="J149" s="325">
        <v>44286</v>
      </c>
      <c r="K149" s="325">
        <v>44316</v>
      </c>
      <c r="L149" s="325"/>
      <c r="M149" s="323" t="s">
        <v>2853</v>
      </c>
      <c r="N149" s="323" t="s">
        <v>3061</v>
      </c>
      <c r="O149" s="359">
        <v>44316</v>
      </c>
      <c r="P149" s="323" t="s">
        <v>3061</v>
      </c>
      <c r="Q149" s="323" t="s">
        <v>2837</v>
      </c>
      <c r="R149" s="375"/>
      <c r="S149" s="323">
        <f>Table1372[[#This Row],[DATE  CLOSED]]-Table1372[[#This Row],[INITIATION DATE]]</f>
        <v>240</v>
      </c>
    </row>
    <row r="150" spans="1:19" ht="25.35" customHeight="1" x14ac:dyDescent="0.2">
      <c r="A150" s="349" t="s">
        <v>5695</v>
      </c>
      <c r="B150" s="325">
        <v>44082</v>
      </c>
      <c r="C150" s="328" t="s">
        <v>5696</v>
      </c>
      <c r="D150" s="328" t="s">
        <v>5697</v>
      </c>
      <c r="E150" s="323" t="s">
        <v>3764</v>
      </c>
      <c r="F150" s="323">
        <v>1</v>
      </c>
      <c r="G150" s="323" t="s">
        <v>2828</v>
      </c>
      <c r="H150" s="323" t="s">
        <v>5698</v>
      </c>
      <c r="I150" s="323" t="s">
        <v>3926</v>
      </c>
      <c r="J150" s="325">
        <v>44135</v>
      </c>
      <c r="K150" s="325"/>
      <c r="L150" s="325"/>
      <c r="M150" s="323" t="s">
        <v>2853</v>
      </c>
      <c r="N150" s="323" t="s">
        <v>2088</v>
      </c>
      <c r="O150" s="359">
        <v>44111</v>
      </c>
      <c r="P150" s="323" t="s">
        <v>3061</v>
      </c>
      <c r="Q150" s="323" t="s">
        <v>2829</v>
      </c>
      <c r="R150" s="375" t="s">
        <v>5080</v>
      </c>
      <c r="S150" s="323">
        <f>Table1372[[#This Row],[DATE  CLOSED]]-Table1372[[#This Row],[INITIATION DATE]]</f>
        <v>29</v>
      </c>
    </row>
    <row r="151" spans="1:19" ht="25.35" customHeight="1" x14ac:dyDescent="0.2">
      <c r="A151" s="349" t="s">
        <v>5699</v>
      </c>
      <c r="B151" s="325">
        <v>44083</v>
      </c>
      <c r="C151" s="329" t="s">
        <v>5700</v>
      </c>
      <c r="D151" s="329"/>
      <c r="E151" s="326" t="s">
        <v>2971</v>
      </c>
      <c r="F151" s="323">
        <v>1</v>
      </c>
      <c r="G151" s="323" t="s">
        <v>2836</v>
      </c>
      <c r="H151" s="326" t="s">
        <v>4163</v>
      </c>
      <c r="I151" s="326" t="s">
        <v>3211</v>
      </c>
      <c r="J151" s="325">
        <v>44135</v>
      </c>
      <c r="K151" s="325"/>
      <c r="L151" s="325"/>
      <c r="M151" s="323" t="s">
        <v>2847</v>
      </c>
      <c r="N151" s="323"/>
      <c r="O151" s="359"/>
      <c r="P151" s="323"/>
      <c r="Q151" s="323"/>
      <c r="R151" s="375"/>
      <c r="S151" s="323">
        <f>Table1372[[#This Row],[DATE  CLOSED]]-Table1372[[#This Row],[INITIATION DATE]]</f>
        <v>-44083</v>
      </c>
    </row>
    <row r="152" spans="1:19" ht="25.35" customHeight="1" x14ac:dyDescent="0.2">
      <c r="A152" s="349" t="s">
        <v>5701</v>
      </c>
      <c r="B152" s="325">
        <v>44082</v>
      </c>
      <c r="C152" s="328" t="s">
        <v>5702</v>
      </c>
      <c r="D152" s="328" t="s">
        <v>5661</v>
      </c>
      <c r="E152" s="323" t="s">
        <v>2971</v>
      </c>
      <c r="F152" s="323">
        <v>1</v>
      </c>
      <c r="G152" s="323" t="s">
        <v>2838</v>
      </c>
      <c r="H152" s="323" t="s">
        <v>685</v>
      </c>
      <c r="I152" s="323" t="s">
        <v>755</v>
      </c>
      <c r="J152" s="325">
        <v>44092</v>
      </c>
      <c r="K152" s="325"/>
      <c r="L152" s="325"/>
      <c r="M152" s="323" t="s">
        <v>2853</v>
      </c>
      <c r="N152" s="323" t="s">
        <v>2088</v>
      </c>
      <c r="O152" s="359">
        <v>44092</v>
      </c>
      <c r="P152" s="323" t="s">
        <v>3061</v>
      </c>
      <c r="Q152" s="323" t="s">
        <v>2829</v>
      </c>
      <c r="R152" s="375" t="s">
        <v>5080</v>
      </c>
      <c r="S152" s="323">
        <f>Table1372[[#This Row],[DATE  CLOSED]]-Table1372[[#This Row],[INITIATION DATE]]</f>
        <v>10</v>
      </c>
    </row>
    <row r="153" spans="1:19" ht="25.35" customHeight="1" x14ac:dyDescent="0.2">
      <c r="A153" s="349" t="s">
        <v>5704</v>
      </c>
      <c r="B153" s="325">
        <v>44083</v>
      </c>
      <c r="C153" s="329" t="s">
        <v>5706</v>
      </c>
      <c r="D153" s="329" t="s">
        <v>5705</v>
      </c>
      <c r="E153" s="326" t="s">
        <v>2971</v>
      </c>
      <c r="F153" s="323">
        <v>1</v>
      </c>
      <c r="G153" s="326" t="s">
        <v>2836</v>
      </c>
      <c r="H153" s="326" t="s">
        <v>481</v>
      </c>
      <c r="I153" s="326" t="s">
        <v>229</v>
      </c>
      <c r="J153" s="325">
        <v>44104</v>
      </c>
      <c r="K153" s="325">
        <v>44165</v>
      </c>
      <c r="L153" s="325"/>
      <c r="M153" s="326" t="s">
        <v>2847</v>
      </c>
      <c r="N153" s="323" t="s">
        <v>3061</v>
      </c>
      <c r="O153" s="359"/>
      <c r="P153" s="323"/>
      <c r="Q153" s="323"/>
      <c r="R153" s="375"/>
      <c r="S153" s="323">
        <f>Table1372[[#This Row],[DATE  CLOSED]]-Table1372[[#This Row],[INITIATION DATE]]</f>
        <v>-44083</v>
      </c>
    </row>
    <row r="154" spans="1:19" ht="25.35" customHeight="1" x14ac:dyDescent="0.2">
      <c r="A154" s="323" t="s">
        <v>5707</v>
      </c>
      <c r="B154" s="325">
        <v>44089</v>
      </c>
      <c r="C154" s="328" t="s">
        <v>5708</v>
      </c>
      <c r="D154" s="328" t="s">
        <v>5709</v>
      </c>
      <c r="E154" s="323" t="s">
        <v>4675</v>
      </c>
      <c r="F154" s="323">
        <v>1</v>
      </c>
      <c r="G154" s="323" t="s">
        <v>2828</v>
      </c>
      <c r="H154" s="323" t="s">
        <v>3975</v>
      </c>
      <c r="I154" s="323" t="s">
        <v>3211</v>
      </c>
      <c r="J154" s="325">
        <v>44104</v>
      </c>
      <c r="K154" s="325"/>
      <c r="L154" s="325"/>
      <c r="M154" s="323" t="s">
        <v>2853</v>
      </c>
      <c r="N154" s="323" t="s">
        <v>2088</v>
      </c>
      <c r="O154" s="359">
        <v>44102</v>
      </c>
      <c r="P154" s="323" t="s">
        <v>3061</v>
      </c>
      <c r="Q154" s="323" t="s">
        <v>2829</v>
      </c>
      <c r="R154" s="375" t="s">
        <v>5080</v>
      </c>
      <c r="S154" s="323">
        <f>Table1372[[#This Row],[DATE  CLOSED]]-Table1372[[#This Row],[INITIATION DATE]]</f>
        <v>13</v>
      </c>
    </row>
    <row r="155" spans="1:19" ht="25.35" customHeight="1" x14ac:dyDescent="0.2">
      <c r="A155" s="323" t="s">
        <v>5710</v>
      </c>
      <c r="B155" s="325">
        <v>44091</v>
      </c>
      <c r="C155" s="328" t="s">
        <v>5713</v>
      </c>
      <c r="D155" s="329" t="s">
        <v>5711</v>
      </c>
      <c r="E155" s="326" t="s">
        <v>2971</v>
      </c>
      <c r="F155" s="323">
        <v>1</v>
      </c>
      <c r="G155" s="323" t="s">
        <v>2841</v>
      </c>
      <c r="H155" s="326" t="s">
        <v>4021</v>
      </c>
      <c r="I155" s="326" t="s">
        <v>3211</v>
      </c>
      <c r="J155" s="325">
        <v>44135</v>
      </c>
      <c r="K155" s="325"/>
      <c r="L155" s="325"/>
      <c r="M155" s="326" t="s">
        <v>2853</v>
      </c>
      <c r="N155" s="323" t="s">
        <v>2088</v>
      </c>
      <c r="O155" s="359">
        <v>44131</v>
      </c>
      <c r="P155" s="323" t="s">
        <v>3061</v>
      </c>
      <c r="Q155" s="323" t="s">
        <v>2832</v>
      </c>
      <c r="R155" s="375" t="s">
        <v>5080</v>
      </c>
      <c r="S155" s="323">
        <f>Table1372[[#This Row],[DATE  CLOSED]]-Table1372[[#This Row],[INITIATION DATE]]</f>
        <v>40</v>
      </c>
    </row>
    <row r="156" spans="1:19" ht="25.35" customHeight="1" x14ac:dyDescent="0.2">
      <c r="A156" s="326" t="s">
        <v>5712</v>
      </c>
      <c r="B156" s="325">
        <v>44091</v>
      </c>
      <c r="C156" s="329" t="s">
        <v>5714</v>
      </c>
      <c r="D156" s="329" t="s">
        <v>5773</v>
      </c>
      <c r="E156" s="326" t="s">
        <v>2971</v>
      </c>
      <c r="F156" s="323">
        <v>1</v>
      </c>
      <c r="G156" s="326" t="s">
        <v>2841</v>
      </c>
      <c r="H156" s="326" t="s">
        <v>3842</v>
      </c>
      <c r="I156" s="326" t="s">
        <v>3211</v>
      </c>
      <c r="J156" s="325">
        <v>44104</v>
      </c>
      <c r="K156" s="325"/>
      <c r="L156" s="325"/>
      <c r="M156" s="326" t="s">
        <v>2853</v>
      </c>
      <c r="N156" s="323" t="s">
        <v>3022</v>
      </c>
      <c r="O156" s="359">
        <v>44120</v>
      </c>
      <c r="P156" s="323" t="s">
        <v>3022</v>
      </c>
      <c r="Q156" s="323" t="s">
        <v>2829</v>
      </c>
      <c r="R156" s="375" t="s">
        <v>5080</v>
      </c>
      <c r="S156" s="323">
        <f>Table1372[[#This Row],[DATE  CLOSED]]-Table1372[[#This Row],[INITIATION DATE]]</f>
        <v>29</v>
      </c>
    </row>
    <row r="157" spans="1:19" ht="25.35" customHeight="1" x14ac:dyDescent="0.2">
      <c r="A157" s="326" t="s">
        <v>5715</v>
      </c>
      <c r="B157" s="325">
        <v>44096</v>
      </c>
      <c r="C157" s="328" t="s">
        <v>5716</v>
      </c>
      <c r="D157" s="328" t="s">
        <v>5392</v>
      </c>
      <c r="E157" s="323" t="s">
        <v>5717</v>
      </c>
      <c r="F157" s="323">
        <v>1</v>
      </c>
      <c r="G157" s="323" t="s">
        <v>2841</v>
      </c>
      <c r="H157" s="323" t="s">
        <v>3991</v>
      </c>
      <c r="I157" s="323" t="s">
        <v>229</v>
      </c>
      <c r="J157" s="325">
        <v>44165</v>
      </c>
      <c r="K157" s="325"/>
      <c r="L157" s="325"/>
      <c r="M157" s="323" t="s">
        <v>2853</v>
      </c>
      <c r="N157" s="323" t="s">
        <v>2088</v>
      </c>
      <c r="O157" s="359">
        <v>44126</v>
      </c>
      <c r="P157" s="323" t="s">
        <v>3061</v>
      </c>
      <c r="Q157" s="323" t="s">
        <v>2829</v>
      </c>
      <c r="R157" s="375"/>
      <c r="S157" s="323">
        <f>Table1372[[#This Row],[DATE  CLOSED]]-Table1372[[#This Row],[INITIATION DATE]]</f>
        <v>30</v>
      </c>
    </row>
    <row r="158" spans="1:19" ht="25.35" customHeight="1" x14ac:dyDescent="0.2">
      <c r="A158" s="326" t="s">
        <v>5718</v>
      </c>
      <c r="B158" s="325">
        <v>44097</v>
      </c>
      <c r="C158" s="328" t="s">
        <v>5719</v>
      </c>
      <c r="D158" s="328" t="s">
        <v>5661</v>
      </c>
      <c r="E158" s="323" t="s">
        <v>5717</v>
      </c>
      <c r="F158" s="323">
        <v>1</v>
      </c>
      <c r="G158" s="323" t="s">
        <v>2838</v>
      </c>
      <c r="H158" s="323" t="s">
        <v>685</v>
      </c>
      <c r="I158" s="323" t="s">
        <v>229</v>
      </c>
      <c r="J158" s="325">
        <v>44134</v>
      </c>
      <c r="K158" s="325">
        <v>44196</v>
      </c>
      <c r="L158" s="325"/>
      <c r="M158" s="323" t="s">
        <v>2853</v>
      </c>
      <c r="N158" s="323" t="s">
        <v>3061</v>
      </c>
      <c r="O158" s="359">
        <v>44194</v>
      </c>
      <c r="P158" s="323" t="s">
        <v>3061</v>
      </c>
      <c r="Q158" s="323" t="s">
        <v>2832</v>
      </c>
      <c r="R158" s="375"/>
      <c r="S158" s="323">
        <f>Table1372[[#This Row],[DATE  CLOSED]]-Table1372[[#This Row],[INITIATION DATE]]</f>
        <v>97</v>
      </c>
    </row>
    <row r="159" spans="1:19" ht="25.35" customHeight="1" x14ac:dyDescent="0.2">
      <c r="A159" s="326" t="s">
        <v>5720</v>
      </c>
      <c r="B159" s="325">
        <v>44098</v>
      </c>
      <c r="C159" s="329" t="s">
        <v>5721</v>
      </c>
      <c r="D159" s="328" t="s">
        <v>5722</v>
      </c>
      <c r="E159" s="326" t="s">
        <v>3210</v>
      </c>
      <c r="F159" s="323">
        <v>1</v>
      </c>
      <c r="G159" s="326" t="s">
        <v>2840</v>
      </c>
      <c r="H159" s="326" t="s">
        <v>814</v>
      </c>
      <c r="I159" s="326" t="s">
        <v>229</v>
      </c>
      <c r="J159" s="325">
        <v>44104</v>
      </c>
      <c r="K159" s="325"/>
      <c r="L159" s="325"/>
      <c r="M159" s="326" t="s">
        <v>2853</v>
      </c>
      <c r="N159" s="323" t="s">
        <v>2088</v>
      </c>
      <c r="O159" s="359">
        <v>44099</v>
      </c>
      <c r="P159" s="323" t="s">
        <v>3061</v>
      </c>
      <c r="Q159" s="323" t="s">
        <v>2829</v>
      </c>
      <c r="R159" s="375"/>
      <c r="S159" s="323">
        <f>Table1372[[#This Row],[DATE  CLOSED]]-Table1372[[#This Row],[INITIATION DATE]]</f>
        <v>1</v>
      </c>
    </row>
    <row r="160" spans="1:19" ht="25.35" customHeight="1" x14ac:dyDescent="0.2">
      <c r="A160" s="323" t="s">
        <v>5723</v>
      </c>
      <c r="B160" s="325">
        <v>44099</v>
      </c>
      <c r="C160" s="328" t="s">
        <v>5724</v>
      </c>
      <c r="D160" s="328" t="s">
        <v>3039</v>
      </c>
      <c r="E160" s="323" t="s">
        <v>5717</v>
      </c>
      <c r="F160" s="323">
        <v>1</v>
      </c>
      <c r="G160" s="323" t="s">
        <v>2841</v>
      </c>
      <c r="H160" s="323" t="s">
        <v>3227</v>
      </c>
      <c r="I160" s="323" t="s">
        <v>3211</v>
      </c>
      <c r="J160" s="325">
        <v>44104</v>
      </c>
      <c r="K160" s="325"/>
      <c r="L160" s="325"/>
      <c r="M160" s="323" t="s">
        <v>2853</v>
      </c>
      <c r="N160" s="323" t="s">
        <v>3022</v>
      </c>
      <c r="O160" s="359">
        <v>44120</v>
      </c>
      <c r="P160" s="323" t="s">
        <v>3022</v>
      </c>
      <c r="Q160" s="323" t="s">
        <v>2829</v>
      </c>
      <c r="R160" s="375"/>
      <c r="S160" s="323">
        <f>Table1372[[#This Row],[DATE  CLOSED]]-Table1372[[#This Row],[INITIATION DATE]]</f>
        <v>21</v>
      </c>
    </row>
    <row r="161" spans="1:19" ht="25.35" customHeight="1" x14ac:dyDescent="0.2">
      <c r="A161" s="323" t="s">
        <v>5725</v>
      </c>
      <c r="B161" s="325">
        <v>44103</v>
      </c>
      <c r="C161" s="328" t="s">
        <v>5727</v>
      </c>
      <c r="D161" s="328" t="s">
        <v>5728</v>
      </c>
      <c r="E161" s="323" t="s">
        <v>3921</v>
      </c>
      <c r="F161" s="323">
        <v>1</v>
      </c>
      <c r="G161" s="323" t="s">
        <v>2828</v>
      </c>
      <c r="H161" s="323" t="s">
        <v>1351</v>
      </c>
      <c r="I161" s="323" t="s">
        <v>3211</v>
      </c>
      <c r="J161" s="325">
        <v>44255</v>
      </c>
      <c r="K161" s="325"/>
      <c r="L161" s="325"/>
      <c r="M161" s="323" t="s">
        <v>2853</v>
      </c>
      <c r="N161" s="323" t="s">
        <v>2088</v>
      </c>
      <c r="O161" s="359">
        <v>44508</v>
      </c>
      <c r="P161" s="323" t="s">
        <v>3061</v>
      </c>
      <c r="Q161" s="323" t="s">
        <v>2832</v>
      </c>
      <c r="R161" s="375"/>
      <c r="S161" s="323">
        <f>Table1372[[#This Row],[DATE  CLOSED]]-Table1372[[#This Row],[INITIATION DATE]]</f>
        <v>405</v>
      </c>
    </row>
    <row r="162" spans="1:19" ht="25.35" customHeight="1" x14ac:dyDescent="0.2">
      <c r="A162" s="323" t="s">
        <v>5726</v>
      </c>
      <c r="B162" s="325">
        <v>44103</v>
      </c>
      <c r="C162" s="328" t="s">
        <v>5729</v>
      </c>
      <c r="D162" s="328" t="s">
        <v>5730</v>
      </c>
      <c r="E162" s="323" t="s">
        <v>4631</v>
      </c>
      <c r="F162" s="323">
        <v>1</v>
      </c>
      <c r="G162" s="323" t="s">
        <v>2828</v>
      </c>
      <c r="H162" s="323" t="s">
        <v>3975</v>
      </c>
      <c r="I162" s="323" t="s">
        <v>3926</v>
      </c>
      <c r="J162" s="325">
        <v>44135</v>
      </c>
      <c r="K162" s="325">
        <v>44196</v>
      </c>
      <c r="L162" s="325"/>
      <c r="M162" s="323" t="s">
        <v>2853</v>
      </c>
      <c r="N162" s="323" t="s">
        <v>3061</v>
      </c>
      <c r="O162" s="359">
        <v>44141</v>
      </c>
      <c r="P162" s="323" t="s">
        <v>3061</v>
      </c>
      <c r="Q162" s="323" t="s">
        <v>2832</v>
      </c>
      <c r="R162" s="375"/>
      <c r="S162" s="323">
        <f>Table1372[[#This Row],[DATE  CLOSED]]-Table1372[[#This Row],[INITIATION DATE]]</f>
        <v>38</v>
      </c>
    </row>
    <row r="163" spans="1:19" ht="25.35" customHeight="1" x14ac:dyDescent="0.2">
      <c r="A163" s="323" t="s">
        <v>5731</v>
      </c>
      <c r="B163" s="325">
        <v>44103</v>
      </c>
      <c r="C163" s="329" t="s">
        <v>5798</v>
      </c>
      <c r="D163" s="329" t="s">
        <v>5375</v>
      </c>
      <c r="E163" s="326" t="s">
        <v>3777</v>
      </c>
      <c r="F163" s="323">
        <v>1</v>
      </c>
      <c r="G163" s="326" t="s">
        <v>2828</v>
      </c>
      <c r="H163" s="326" t="s">
        <v>4021</v>
      </c>
      <c r="I163" s="326" t="s">
        <v>3926</v>
      </c>
      <c r="J163" s="325">
        <v>44165</v>
      </c>
      <c r="K163" s="325"/>
      <c r="L163" s="325"/>
      <c r="M163" s="326" t="s">
        <v>2853</v>
      </c>
      <c r="N163" s="323" t="s">
        <v>2088</v>
      </c>
      <c r="O163" s="359">
        <v>44138</v>
      </c>
      <c r="P163" s="323" t="s">
        <v>3061</v>
      </c>
      <c r="Q163" s="323" t="s">
        <v>2832</v>
      </c>
      <c r="R163" s="375"/>
      <c r="S163" s="323">
        <f>Table1372[[#This Row],[DATE  CLOSED]]-Table1372[[#This Row],[INITIATION DATE]]</f>
        <v>35</v>
      </c>
    </row>
    <row r="164" spans="1:19" ht="25.35" customHeight="1" x14ac:dyDescent="0.2">
      <c r="A164" s="323" t="s">
        <v>5732</v>
      </c>
      <c r="B164" s="325">
        <v>44104</v>
      </c>
      <c r="C164" s="329" t="s">
        <v>5733</v>
      </c>
      <c r="D164" s="329" t="s">
        <v>5734</v>
      </c>
      <c r="E164" s="326" t="s">
        <v>2971</v>
      </c>
      <c r="F164" s="323">
        <v>1</v>
      </c>
      <c r="G164" s="323" t="s">
        <v>2840</v>
      </c>
      <c r="H164" s="326" t="s">
        <v>727</v>
      </c>
      <c r="I164" s="326" t="s">
        <v>229</v>
      </c>
      <c r="J164" s="325">
        <v>44104</v>
      </c>
      <c r="K164" s="325"/>
      <c r="L164" s="325"/>
      <c r="M164" s="323" t="s">
        <v>2853</v>
      </c>
      <c r="N164" s="323" t="s">
        <v>2088</v>
      </c>
      <c r="O164" s="359">
        <v>44104</v>
      </c>
      <c r="P164" s="323" t="s">
        <v>3061</v>
      </c>
      <c r="Q164" s="323" t="s">
        <v>2829</v>
      </c>
      <c r="R164" s="375"/>
      <c r="S164" s="323">
        <f>Table1372[[#This Row],[DATE  CLOSED]]-Table1372[[#This Row],[INITIATION DATE]]</f>
        <v>0</v>
      </c>
    </row>
    <row r="165" spans="1:19" ht="25.35" customHeight="1" x14ac:dyDescent="0.2">
      <c r="A165" s="323" t="s">
        <v>5735</v>
      </c>
      <c r="B165" s="325">
        <v>44105</v>
      </c>
      <c r="C165" s="328" t="s">
        <v>5736</v>
      </c>
      <c r="D165" s="328" t="s">
        <v>5737</v>
      </c>
      <c r="E165" s="323" t="s">
        <v>2971</v>
      </c>
      <c r="F165" s="323">
        <v>1</v>
      </c>
      <c r="G165" s="323" t="s">
        <v>2828</v>
      </c>
      <c r="H165" s="323" t="s">
        <v>3423</v>
      </c>
      <c r="I165" s="323" t="s">
        <v>3211</v>
      </c>
      <c r="J165" s="325">
        <v>44135</v>
      </c>
      <c r="K165" s="325"/>
      <c r="L165" s="325"/>
      <c r="M165" s="323" t="s">
        <v>2853</v>
      </c>
      <c r="N165" s="323" t="s">
        <v>2088</v>
      </c>
      <c r="O165" s="359">
        <v>44109</v>
      </c>
      <c r="P165" s="323" t="s">
        <v>3061</v>
      </c>
      <c r="Q165" s="323" t="s">
        <v>2829</v>
      </c>
      <c r="R165" s="375"/>
      <c r="S165" s="323">
        <f>Table1372[[#This Row],[DATE  CLOSED]]-Table1372[[#This Row],[INITIATION DATE]]</f>
        <v>4</v>
      </c>
    </row>
    <row r="166" spans="1:19" ht="25.35" customHeight="1" x14ac:dyDescent="0.2">
      <c r="A166" s="323" t="s">
        <v>5738</v>
      </c>
      <c r="B166" s="325">
        <v>44106</v>
      </c>
      <c r="C166" s="329" t="s">
        <v>5739</v>
      </c>
      <c r="D166" s="329" t="s">
        <v>5740</v>
      </c>
      <c r="E166" s="326" t="s">
        <v>2971</v>
      </c>
      <c r="F166" s="323">
        <v>1</v>
      </c>
      <c r="G166" s="323" t="s">
        <v>2840</v>
      </c>
      <c r="H166" s="326" t="s">
        <v>3991</v>
      </c>
      <c r="I166" s="326" t="s">
        <v>229</v>
      </c>
      <c r="J166" s="325">
        <v>44165</v>
      </c>
      <c r="K166" s="325"/>
      <c r="L166" s="325"/>
      <c r="M166" s="326" t="s">
        <v>2853</v>
      </c>
      <c r="N166" s="323" t="s">
        <v>2088</v>
      </c>
      <c r="O166" s="359">
        <v>44106</v>
      </c>
      <c r="P166" s="323" t="s">
        <v>3061</v>
      </c>
      <c r="Q166" s="323" t="s">
        <v>2829</v>
      </c>
      <c r="R166" s="375" t="s">
        <v>5080</v>
      </c>
      <c r="S166" s="323">
        <f>Table1372[[#This Row],[DATE  CLOSED]]-Table1372[[#This Row],[INITIATION DATE]]</f>
        <v>0</v>
      </c>
    </row>
    <row r="167" spans="1:19" ht="25.35" customHeight="1" x14ac:dyDescent="0.2">
      <c r="A167" s="323" t="s">
        <v>5741</v>
      </c>
      <c r="B167" s="325">
        <v>44106</v>
      </c>
      <c r="C167" s="329" t="s">
        <v>5742</v>
      </c>
      <c r="D167" s="329" t="s">
        <v>5375</v>
      </c>
      <c r="E167" s="326" t="s">
        <v>5743</v>
      </c>
      <c r="F167" s="323">
        <v>1</v>
      </c>
      <c r="G167" s="326" t="s">
        <v>2828</v>
      </c>
      <c r="H167" s="326" t="s">
        <v>615</v>
      </c>
      <c r="I167" s="326" t="s">
        <v>3926</v>
      </c>
      <c r="J167" s="325">
        <v>44120</v>
      </c>
      <c r="K167" s="325"/>
      <c r="L167" s="325"/>
      <c r="M167" s="326" t="s">
        <v>2853</v>
      </c>
      <c r="N167" s="323" t="s">
        <v>2088</v>
      </c>
      <c r="O167" s="359">
        <v>44126</v>
      </c>
      <c r="P167" s="323" t="s">
        <v>3022</v>
      </c>
      <c r="Q167" s="323" t="s">
        <v>2829</v>
      </c>
      <c r="R167" s="335"/>
      <c r="S167" s="323">
        <f>Table1372[[#This Row],[DATE  CLOSED]]-Table1372[[#This Row],[INITIATION DATE]]</f>
        <v>20</v>
      </c>
    </row>
    <row r="168" spans="1:19" ht="25.35" customHeight="1" x14ac:dyDescent="0.2">
      <c r="A168" s="323" t="s">
        <v>5744</v>
      </c>
      <c r="B168" s="325">
        <v>44109</v>
      </c>
      <c r="C168" s="329" t="s">
        <v>5803</v>
      </c>
      <c r="D168" s="329" t="s">
        <v>5804</v>
      </c>
      <c r="E168" s="326" t="s">
        <v>5608</v>
      </c>
      <c r="F168" s="323">
        <v>1</v>
      </c>
      <c r="G168" s="326" t="s">
        <v>2828</v>
      </c>
      <c r="H168" s="326" t="s">
        <v>4232</v>
      </c>
      <c r="I168" s="326" t="s">
        <v>3211</v>
      </c>
      <c r="J168" s="325">
        <v>44135</v>
      </c>
      <c r="K168" s="325"/>
      <c r="L168" s="325"/>
      <c r="M168" s="326" t="s">
        <v>2853</v>
      </c>
      <c r="N168" s="323" t="s">
        <v>2088</v>
      </c>
      <c r="O168" s="359">
        <v>44131</v>
      </c>
      <c r="P168" s="323" t="s">
        <v>3061</v>
      </c>
      <c r="Q168" s="323" t="s">
        <v>2829</v>
      </c>
      <c r="R168" s="335"/>
      <c r="S168" s="323">
        <f>Table1372[[#This Row],[DATE  CLOSED]]-Table1372[[#This Row],[INITIATION DATE]]</f>
        <v>22</v>
      </c>
    </row>
    <row r="169" spans="1:19" ht="25.35" customHeight="1" x14ac:dyDescent="0.2">
      <c r="A169" s="323" t="s">
        <v>5745</v>
      </c>
      <c r="B169" s="325">
        <v>44113</v>
      </c>
      <c r="C169" s="328" t="s">
        <v>5747</v>
      </c>
      <c r="D169" s="328" t="s">
        <v>5748</v>
      </c>
      <c r="E169" s="323" t="s">
        <v>5746</v>
      </c>
      <c r="F169" s="323">
        <v>1</v>
      </c>
      <c r="G169" s="323" t="s">
        <v>2828</v>
      </c>
      <c r="H169" s="323" t="s">
        <v>4232</v>
      </c>
      <c r="I169" s="323" t="s">
        <v>3211</v>
      </c>
      <c r="J169" s="325">
        <v>44135</v>
      </c>
      <c r="K169" s="325"/>
      <c r="L169" s="325"/>
      <c r="M169" s="323" t="s">
        <v>2853</v>
      </c>
      <c r="N169" s="323" t="s">
        <v>2088</v>
      </c>
      <c r="O169" s="359">
        <v>44126</v>
      </c>
      <c r="P169" s="323" t="s">
        <v>3061</v>
      </c>
      <c r="Q169" s="323" t="s">
        <v>2829</v>
      </c>
      <c r="R169" s="335"/>
      <c r="S169" s="323">
        <f>Table1372[[#This Row],[DATE  CLOSED]]-Table1372[[#This Row],[INITIATION DATE]]</f>
        <v>13</v>
      </c>
    </row>
    <row r="170" spans="1:19" ht="25.35" customHeight="1" x14ac:dyDescent="0.2">
      <c r="A170" s="323" t="s">
        <v>5749</v>
      </c>
      <c r="B170" s="325">
        <v>44113</v>
      </c>
      <c r="C170" s="328" t="s">
        <v>5751</v>
      </c>
      <c r="D170" s="328" t="s">
        <v>5750</v>
      </c>
      <c r="E170" s="323" t="s">
        <v>2971</v>
      </c>
      <c r="F170" s="323">
        <v>1</v>
      </c>
      <c r="G170" s="323" t="s">
        <v>2840</v>
      </c>
      <c r="H170" s="323" t="s">
        <v>229</v>
      </c>
      <c r="I170" s="323" t="s">
        <v>755</v>
      </c>
      <c r="J170" s="325">
        <v>44135</v>
      </c>
      <c r="K170" s="325"/>
      <c r="L170" s="325"/>
      <c r="M170" s="323" t="s">
        <v>2853</v>
      </c>
      <c r="N170" s="323"/>
      <c r="O170" s="359">
        <v>44134</v>
      </c>
      <c r="P170" s="323" t="s">
        <v>3061</v>
      </c>
      <c r="Q170" s="323" t="s">
        <v>2829</v>
      </c>
      <c r="R170" s="375"/>
      <c r="S170" s="323">
        <f>Table1372[[#This Row],[DATE  CLOSED]]-Table1372[[#This Row],[INITIATION DATE]]</f>
        <v>21</v>
      </c>
    </row>
    <row r="171" spans="1:19" ht="25.35" customHeight="1" x14ac:dyDescent="0.2">
      <c r="A171" s="323" t="s">
        <v>5752</v>
      </c>
      <c r="B171" s="325">
        <v>44116</v>
      </c>
      <c r="C171" s="328" t="s">
        <v>5753</v>
      </c>
      <c r="D171" s="328" t="s">
        <v>3039</v>
      </c>
      <c r="E171" s="323" t="s">
        <v>2971</v>
      </c>
      <c r="F171" s="323">
        <v>1</v>
      </c>
      <c r="G171" s="323" t="s">
        <v>2841</v>
      </c>
      <c r="H171" s="323" t="s">
        <v>229</v>
      </c>
      <c r="I171" s="323" t="s">
        <v>755</v>
      </c>
      <c r="J171" s="325">
        <v>44165</v>
      </c>
      <c r="K171" s="325"/>
      <c r="L171" s="325"/>
      <c r="M171" s="323" t="s">
        <v>2853</v>
      </c>
      <c r="N171" s="323" t="s">
        <v>2088</v>
      </c>
      <c r="O171" s="359">
        <v>44146</v>
      </c>
      <c r="P171" s="323" t="s">
        <v>3061</v>
      </c>
      <c r="Q171" s="323" t="s">
        <v>2829</v>
      </c>
      <c r="R171" s="335"/>
      <c r="S171" s="323">
        <f>Table1372[[#This Row],[DATE  CLOSED]]-Table1372[[#This Row],[INITIATION DATE]]</f>
        <v>30</v>
      </c>
    </row>
    <row r="172" spans="1:19" ht="25.35" customHeight="1" x14ac:dyDescent="0.2">
      <c r="A172" s="323" t="s">
        <v>5754</v>
      </c>
      <c r="B172" s="325">
        <v>44118</v>
      </c>
      <c r="C172" s="328" t="s">
        <v>5755</v>
      </c>
      <c r="D172" s="328" t="s">
        <v>3039</v>
      </c>
      <c r="E172" s="323" t="s">
        <v>2971</v>
      </c>
      <c r="F172" s="323">
        <v>1</v>
      </c>
      <c r="G172" s="323" t="s">
        <v>2841</v>
      </c>
      <c r="H172" s="323" t="s">
        <v>229</v>
      </c>
      <c r="I172" s="323" t="s">
        <v>3645</v>
      </c>
      <c r="J172" s="325">
        <v>44165</v>
      </c>
      <c r="K172" s="325"/>
      <c r="L172" s="325"/>
      <c r="M172" s="323" t="s">
        <v>2853</v>
      </c>
      <c r="N172" s="323" t="s">
        <v>2088</v>
      </c>
      <c r="O172" s="359">
        <v>44138</v>
      </c>
      <c r="P172" s="323" t="s">
        <v>3061</v>
      </c>
      <c r="Q172" s="323" t="s">
        <v>2829</v>
      </c>
      <c r="R172" s="375"/>
      <c r="S172" s="323">
        <f>Table1372[[#This Row],[DATE  CLOSED]]-Table1372[[#This Row],[INITIATION DATE]]</f>
        <v>20</v>
      </c>
    </row>
    <row r="173" spans="1:19" ht="25.35" customHeight="1" x14ac:dyDescent="0.2">
      <c r="A173" s="326" t="s">
        <v>5756</v>
      </c>
      <c r="B173" s="325">
        <v>44118</v>
      </c>
      <c r="C173" s="329" t="s">
        <v>5757</v>
      </c>
      <c r="D173" s="329" t="s">
        <v>4870</v>
      </c>
      <c r="E173" s="326" t="s">
        <v>5608</v>
      </c>
      <c r="F173" s="323">
        <v>1</v>
      </c>
      <c r="G173" s="326" t="s">
        <v>2828</v>
      </c>
      <c r="H173" s="326" t="s">
        <v>4232</v>
      </c>
      <c r="I173" s="326" t="s">
        <v>3211</v>
      </c>
      <c r="J173" s="325">
        <v>44135</v>
      </c>
      <c r="K173" s="325"/>
      <c r="L173" s="325"/>
      <c r="M173" s="326" t="s">
        <v>2853</v>
      </c>
      <c r="N173" s="323" t="s">
        <v>2088</v>
      </c>
      <c r="O173" s="359">
        <v>44123</v>
      </c>
      <c r="P173" s="323" t="s">
        <v>3061</v>
      </c>
      <c r="Q173" s="323" t="s">
        <v>2829</v>
      </c>
      <c r="R173" s="375"/>
      <c r="S173" s="323">
        <f>Table1372[[#This Row],[DATE  CLOSED]]-Table1372[[#This Row],[INITIATION DATE]]</f>
        <v>5</v>
      </c>
    </row>
    <row r="174" spans="1:19" ht="25.35" customHeight="1" x14ac:dyDescent="0.2">
      <c r="A174" s="326" t="s">
        <v>5758</v>
      </c>
      <c r="B174" s="325">
        <v>44119</v>
      </c>
      <c r="C174" s="328" t="s">
        <v>5759</v>
      </c>
      <c r="D174" s="328" t="s">
        <v>5760</v>
      </c>
      <c r="E174" s="323" t="s">
        <v>2971</v>
      </c>
      <c r="F174" s="323">
        <v>1</v>
      </c>
      <c r="G174" s="323" t="s">
        <v>2840</v>
      </c>
      <c r="H174" s="323" t="s">
        <v>229</v>
      </c>
      <c r="I174" s="323" t="s">
        <v>3645</v>
      </c>
      <c r="J174" s="325">
        <v>44135</v>
      </c>
      <c r="K174" s="325">
        <v>44165</v>
      </c>
      <c r="L174" s="325"/>
      <c r="M174" s="323" t="s">
        <v>2853</v>
      </c>
      <c r="N174" s="323" t="s">
        <v>2088</v>
      </c>
      <c r="O174" s="359">
        <v>44144</v>
      </c>
      <c r="P174" s="323" t="s">
        <v>3061</v>
      </c>
      <c r="Q174" s="323" t="s">
        <v>2829</v>
      </c>
      <c r="R174" s="375" t="s">
        <v>5080</v>
      </c>
      <c r="S174" s="323">
        <f>Table1372[[#This Row],[DATE  CLOSED]]-Table1372[[#This Row],[INITIATION DATE]]</f>
        <v>25</v>
      </c>
    </row>
    <row r="175" spans="1:19" ht="25.35" customHeight="1" x14ac:dyDescent="0.2">
      <c r="A175" s="323" t="s">
        <v>5761</v>
      </c>
      <c r="B175" s="325">
        <v>44119</v>
      </c>
      <c r="C175" s="328" t="s">
        <v>5764</v>
      </c>
      <c r="D175" s="328" t="s">
        <v>5763</v>
      </c>
      <c r="E175" s="323" t="s">
        <v>5762</v>
      </c>
      <c r="F175" s="323">
        <v>1</v>
      </c>
      <c r="G175" s="323" t="s">
        <v>2828</v>
      </c>
      <c r="H175" s="323" t="s">
        <v>2106</v>
      </c>
      <c r="I175" s="323" t="s">
        <v>3211</v>
      </c>
      <c r="J175" s="325">
        <v>44135</v>
      </c>
      <c r="K175" s="325"/>
      <c r="L175" s="325"/>
      <c r="M175" s="323" t="s">
        <v>2853</v>
      </c>
      <c r="N175" s="323" t="s">
        <v>2088</v>
      </c>
      <c r="O175" s="359">
        <v>44120</v>
      </c>
      <c r="P175" s="323" t="s">
        <v>3061</v>
      </c>
      <c r="Q175" s="323" t="s">
        <v>2829</v>
      </c>
      <c r="R175" s="375"/>
      <c r="S175" s="323">
        <f>Table1372[[#This Row],[DATE  CLOSED]]-Table1372[[#This Row],[INITIATION DATE]]</f>
        <v>1</v>
      </c>
    </row>
    <row r="176" spans="1:19" ht="25.35" customHeight="1" x14ac:dyDescent="0.2">
      <c r="A176" s="323" t="s">
        <v>5765</v>
      </c>
      <c r="B176" s="325">
        <v>44119</v>
      </c>
      <c r="C176" s="328" t="s">
        <v>5766</v>
      </c>
      <c r="D176" s="328" t="s">
        <v>5767</v>
      </c>
      <c r="E176" s="323" t="s">
        <v>5746</v>
      </c>
      <c r="F176" s="323">
        <v>1</v>
      </c>
      <c r="G176" s="323" t="s">
        <v>2828</v>
      </c>
      <c r="H176" s="323" t="s">
        <v>5768</v>
      </c>
      <c r="I176" s="323" t="s">
        <v>3926</v>
      </c>
      <c r="J176" s="325">
        <v>44135</v>
      </c>
      <c r="K176" s="325"/>
      <c r="L176" s="325"/>
      <c r="M176" s="323" t="s">
        <v>2853</v>
      </c>
      <c r="N176" s="323" t="s">
        <v>2088</v>
      </c>
      <c r="O176" s="359">
        <v>44125</v>
      </c>
      <c r="P176" s="323" t="s">
        <v>3061</v>
      </c>
      <c r="Q176" s="323" t="s">
        <v>2829</v>
      </c>
      <c r="R176" s="375"/>
      <c r="S176" s="323">
        <f>Table1372[[#This Row],[DATE  CLOSED]]-Table1372[[#This Row],[INITIATION DATE]]</f>
        <v>6</v>
      </c>
    </row>
    <row r="177" spans="1:19" ht="25.35" customHeight="1" x14ac:dyDescent="0.2">
      <c r="A177" s="323" t="s">
        <v>5770</v>
      </c>
      <c r="B177" s="325">
        <v>44124</v>
      </c>
      <c r="C177" s="328" t="s">
        <v>5772</v>
      </c>
      <c r="D177" s="328" t="s">
        <v>5771</v>
      </c>
      <c r="E177" s="323" t="s">
        <v>2971</v>
      </c>
      <c r="F177" s="323">
        <v>1</v>
      </c>
      <c r="G177" s="323" t="s">
        <v>2828</v>
      </c>
      <c r="H177" s="323" t="s">
        <v>3227</v>
      </c>
      <c r="I177" s="323" t="s">
        <v>3211</v>
      </c>
      <c r="J177" s="325">
        <v>44165</v>
      </c>
      <c r="K177" s="325"/>
      <c r="L177" s="325"/>
      <c r="M177" s="323" t="s">
        <v>2853</v>
      </c>
      <c r="N177" s="323" t="s">
        <v>2088</v>
      </c>
      <c r="O177" s="359">
        <v>44146</v>
      </c>
      <c r="P177" s="323" t="s">
        <v>3061</v>
      </c>
      <c r="Q177" s="323" t="s">
        <v>2829</v>
      </c>
      <c r="R177" s="375"/>
      <c r="S177" s="323">
        <f>Table1372[[#This Row],[DATE  CLOSED]]-Table1372[[#This Row],[INITIATION DATE]]</f>
        <v>22</v>
      </c>
    </row>
    <row r="178" spans="1:19" ht="25.35" customHeight="1" x14ac:dyDescent="0.2">
      <c r="A178" s="323" t="s">
        <v>5774</v>
      </c>
      <c r="B178" s="325">
        <v>44127</v>
      </c>
      <c r="C178" s="328" t="s">
        <v>5775</v>
      </c>
      <c r="D178" s="328" t="s">
        <v>5776</v>
      </c>
      <c r="E178" s="323" t="s">
        <v>2971</v>
      </c>
      <c r="F178" s="323">
        <v>1</v>
      </c>
      <c r="G178" s="323" t="s">
        <v>2840</v>
      </c>
      <c r="H178" s="323" t="s">
        <v>481</v>
      </c>
      <c r="I178" s="323" t="s">
        <v>229</v>
      </c>
      <c r="J178" s="325">
        <v>44165</v>
      </c>
      <c r="K178" s="325"/>
      <c r="L178" s="325"/>
      <c r="M178" s="323" t="s">
        <v>2847</v>
      </c>
      <c r="N178" s="323"/>
      <c r="O178" s="359"/>
      <c r="P178" s="323"/>
      <c r="Q178" s="323"/>
      <c r="R178" s="375"/>
      <c r="S178" s="323">
        <f>Table1372[[#This Row],[DATE  CLOSED]]-Table1372[[#This Row],[INITIATION DATE]]</f>
        <v>-44127</v>
      </c>
    </row>
    <row r="179" spans="1:19" ht="25.35" customHeight="1" x14ac:dyDescent="0.2">
      <c r="A179" s="323" t="s">
        <v>5777</v>
      </c>
      <c r="B179" s="325">
        <v>44131</v>
      </c>
      <c r="C179" s="328" t="s">
        <v>5779</v>
      </c>
      <c r="D179" s="328" t="s">
        <v>5778</v>
      </c>
      <c r="E179" s="323" t="s">
        <v>2971</v>
      </c>
      <c r="F179" s="323">
        <v>1</v>
      </c>
      <c r="G179" s="323" t="s">
        <v>2840</v>
      </c>
      <c r="H179" s="323" t="s">
        <v>2106</v>
      </c>
      <c r="I179" s="323" t="s">
        <v>3211</v>
      </c>
      <c r="J179" s="325">
        <v>44316</v>
      </c>
      <c r="K179" s="325"/>
      <c r="L179" s="325"/>
      <c r="M179" s="323" t="s">
        <v>2847</v>
      </c>
      <c r="N179" s="323"/>
      <c r="O179" s="359"/>
      <c r="P179" s="323"/>
      <c r="Q179" s="323"/>
      <c r="R179" s="375"/>
      <c r="S179" s="323">
        <f>Table1372[[#This Row],[DATE  CLOSED]]-Table1372[[#This Row],[INITIATION DATE]]</f>
        <v>-44131</v>
      </c>
    </row>
    <row r="180" spans="1:19" ht="25.35" customHeight="1" x14ac:dyDescent="0.2">
      <c r="A180" s="323" t="s">
        <v>5780</v>
      </c>
      <c r="B180" s="325">
        <v>44131</v>
      </c>
      <c r="C180" s="328" t="s">
        <v>5781</v>
      </c>
      <c r="D180" s="328" t="s">
        <v>3039</v>
      </c>
      <c r="E180" s="323" t="s">
        <v>2971</v>
      </c>
      <c r="F180" s="323">
        <v>1</v>
      </c>
      <c r="G180" s="323" t="s">
        <v>2841</v>
      </c>
      <c r="H180" s="323" t="s">
        <v>3842</v>
      </c>
      <c r="I180" s="323" t="s">
        <v>3211</v>
      </c>
      <c r="J180" s="325">
        <v>44227</v>
      </c>
      <c r="K180" s="325"/>
      <c r="L180" s="325"/>
      <c r="M180" s="323" t="s">
        <v>2853</v>
      </c>
      <c r="N180" s="323" t="s">
        <v>2088</v>
      </c>
      <c r="O180" s="359">
        <v>44165</v>
      </c>
      <c r="P180" s="323" t="s">
        <v>3061</v>
      </c>
      <c r="Q180" s="323" t="s">
        <v>2829</v>
      </c>
      <c r="R180" s="375"/>
      <c r="S180" s="323">
        <f>Table1372[[#This Row],[DATE  CLOSED]]-Table1372[[#This Row],[INITIATION DATE]]</f>
        <v>34</v>
      </c>
    </row>
    <row r="181" spans="1:19" ht="25.35" customHeight="1" x14ac:dyDescent="0.2">
      <c r="A181" s="323" t="s">
        <v>5782</v>
      </c>
      <c r="B181" s="325">
        <v>44132</v>
      </c>
      <c r="C181" s="328" t="s">
        <v>5783</v>
      </c>
      <c r="D181" s="328" t="s">
        <v>5601</v>
      </c>
      <c r="E181" s="323" t="s">
        <v>5784</v>
      </c>
      <c r="F181" s="323">
        <v>1</v>
      </c>
      <c r="G181" s="323" t="s">
        <v>2828</v>
      </c>
      <c r="H181" s="323" t="s">
        <v>5796</v>
      </c>
      <c r="I181" s="323" t="s">
        <v>3926</v>
      </c>
      <c r="J181" s="325">
        <v>44196</v>
      </c>
      <c r="K181" s="325">
        <v>44227</v>
      </c>
      <c r="L181" s="327"/>
      <c r="M181" s="326" t="s">
        <v>2853</v>
      </c>
      <c r="N181" s="326" t="s">
        <v>3061</v>
      </c>
      <c r="O181" s="359">
        <v>44225</v>
      </c>
      <c r="P181" s="326" t="s">
        <v>3061</v>
      </c>
      <c r="Q181" s="323" t="s">
        <v>2832</v>
      </c>
      <c r="R181" s="375"/>
      <c r="S181" s="323">
        <f>Table1372[[#This Row],[DATE  CLOSED]]-Table1372[[#This Row],[INITIATION DATE]]</f>
        <v>93</v>
      </c>
    </row>
    <row r="182" spans="1:19" ht="25.35" customHeight="1" x14ac:dyDescent="0.2">
      <c r="A182" s="323" t="s">
        <v>5785</v>
      </c>
      <c r="B182" s="325">
        <v>44132</v>
      </c>
      <c r="C182" s="328" t="s">
        <v>5786</v>
      </c>
      <c r="D182" s="328" t="s">
        <v>3518</v>
      </c>
      <c r="E182" s="323" t="s">
        <v>5746</v>
      </c>
      <c r="F182" s="323">
        <v>1</v>
      </c>
      <c r="G182" s="323" t="s">
        <v>2828</v>
      </c>
      <c r="H182" s="323" t="s">
        <v>4232</v>
      </c>
      <c r="I182" s="323" t="s">
        <v>3211</v>
      </c>
      <c r="J182" s="325">
        <v>44196</v>
      </c>
      <c r="K182" s="325"/>
      <c r="L182" s="325"/>
      <c r="M182" s="323" t="s">
        <v>2853</v>
      </c>
      <c r="N182" s="323" t="s">
        <v>2088</v>
      </c>
      <c r="O182" s="359">
        <v>44195</v>
      </c>
      <c r="P182" s="323" t="s">
        <v>3061</v>
      </c>
      <c r="Q182" s="323" t="s">
        <v>2832</v>
      </c>
      <c r="R182" s="375"/>
      <c r="S182" s="323">
        <f>Table1372[[#This Row],[DATE  CLOSED]]-Table1372[[#This Row],[INITIATION DATE]]</f>
        <v>63</v>
      </c>
    </row>
    <row r="183" spans="1:19" ht="25.35" customHeight="1" x14ac:dyDescent="0.2">
      <c r="A183" s="323" t="s">
        <v>5787</v>
      </c>
      <c r="B183" s="325">
        <v>44132</v>
      </c>
      <c r="C183" s="328" t="s">
        <v>5788</v>
      </c>
      <c r="D183" s="328" t="s">
        <v>3039</v>
      </c>
      <c r="E183" s="323" t="s">
        <v>2971</v>
      </c>
      <c r="F183" s="323">
        <v>1</v>
      </c>
      <c r="G183" s="323" t="s">
        <v>2841</v>
      </c>
      <c r="H183" s="323" t="s">
        <v>229</v>
      </c>
      <c r="I183" s="323" t="s">
        <v>755</v>
      </c>
      <c r="J183" s="325">
        <v>44165</v>
      </c>
      <c r="K183" s="325"/>
      <c r="L183" s="325"/>
      <c r="M183" s="323" t="s">
        <v>2853</v>
      </c>
      <c r="N183" s="323" t="s">
        <v>2088</v>
      </c>
      <c r="O183" s="359">
        <v>44151</v>
      </c>
      <c r="P183" s="323" t="s">
        <v>3061</v>
      </c>
      <c r="Q183" s="323" t="s">
        <v>2829</v>
      </c>
      <c r="R183" s="375"/>
      <c r="S183" s="323">
        <f>Table1372[[#This Row],[DATE  CLOSED]]-Table1372[[#This Row],[INITIATION DATE]]</f>
        <v>19</v>
      </c>
    </row>
    <row r="184" spans="1:19" ht="25.35" customHeight="1" x14ac:dyDescent="0.2">
      <c r="A184" s="323" t="s">
        <v>5789</v>
      </c>
      <c r="B184" s="325">
        <v>44132</v>
      </c>
      <c r="C184" s="328" t="s">
        <v>5790</v>
      </c>
      <c r="D184" s="328" t="s">
        <v>3039</v>
      </c>
      <c r="E184" s="323" t="s">
        <v>2971</v>
      </c>
      <c r="F184" s="323">
        <v>1</v>
      </c>
      <c r="G184" s="323" t="s">
        <v>2841</v>
      </c>
      <c r="H184" s="323" t="s">
        <v>229</v>
      </c>
      <c r="I184" s="323" t="s">
        <v>755</v>
      </c>
      <c r="J184" s="325">
        <v>44165</v>
      </c>
      <c r="K184" s="325"/>
      <c r="L184" s="325"/>
      <c r="M184" s="323" t="s">
        <v>2853</v>
      </c>
      <c r="N184" s="323" t="s">
        <v>2088</v>
      </c>
      <c r="O184" s="359">
        <v>44151</v>
      </c>
      <c r="P184" s="323" t="s">
        <v>3061</v>
      </c>
      <c r="Q184" s="323" t="s">
        <v>2829</v>
      </c>
      <c r="R184" s="375"/>
      <c r="S184" s="323">
        <f>Table1372[[#This Row],[DATE  CLOSED]]-Table1372[[#This Row],[INITIATION DATE]]</f>
        <v>19</v>
      </c>
    </row>
    <row r="185" spans="1:19" ht="25.35" customHeight="1" x14ac:dyDescent="0.2">
      <c r="A185" s="323" t="s">
        <v>5791</v>
      </c>
      <c r="B185" s="325">
        <v>44133</v>
      </c>
      <c r="C185" s="328" t="s">
        <v>5792</v>
      </c>
      <c r="D185" s="328" t="s">
        <v>5793</v>
      </c>
      <c r="E185" s="323" t="s">
        <v>5743</v>
      </c>
      <c r="F185" s="323">
        <v>1</v>
      </c>
      <c r="G185" s="323" t="s">
        <v>2828</v>
      </c>
      <c r="H185" s="323" t="s">
        <v>4163</v>
      </c>
      <c r="I185" s="323" t="s">
        <v>3211</v>
      </c>
      <c r="J185" s="325">
        <v>44316</v>
      </c>
      <c r="K185" s="325">
        <v>44439</v>
      </c>
      <c r="L185" s="325"/>
      <c r="M185" s="323" t="s">
        <v>2847</v>
      </c>
      <c r="N185" s="323"/>
      <c r="O185" s="359"/>
      <c r="P185" s="323"/>
      <c r="Q185" s="323"/>
      <c r="R185" s="375"/>
      <c r="S185" s="323">
        <f>Table1372[[#This Row],[DATE  CLOSED]]-Table1372[[#This Row],[INITIATION DATE]]</f>
        <v>-44133</v>
      </c>
    </row>
    <row r="186" spans="1:19" ht="25.35" customHeight="1" x14ac:dyDescent="0.2">
      <c r="A186" s="323" t="s">
        <v>5794</v>
      </c>
      <c r="B186" s="325">
        <v>44134</v>
      </c>
      <c r="C186" s="328" t="s">
        <v>5795</v>
      </c>
      <c r="D186" s="328" t="s">
        <v>5697</v>
      </c>
      <c r="E186" s="323" t="s">
        <v>3764</v>
      </c>
      <c r="F186" s="323">
        <v>1</v>
      </c>
      <c r="G186" s="323" t="s">
        <v>2828</v>
      </c>
      <c r="H186" s="323" t="s">
        <v>5797</v>
      </c>
      <c r="I186" s="323" t="s">
        <v>3926</v>
      </c>
      <c r="J186" s="325">
        <v>44196</v>
      </c>
      <c r="K186" s="325"/>
      <c r="L186" s="325"/>
      <c r="M186" s="323" t="s">
        <v>2853</v>
      </c>
      <c r="N186" s="323" t="s">
        <v>2088</v>
      </c>
      <c r="O186" s="359">
        <v>44179</v>
      </c>
      <c r="P186" s="323" t="s">
        <v>3061</v>
      </c>
      <c r="Q186" s="323" t="s">
        <v>2832</v>
      </c>
      <c r="R186" s="375" t="s">
        <v>5080</v>
      </c>
      <c r="S186" s="323">
        <f>Table1372[[#This Row],[DATE  CLOSED]]-Table1372[[#This Row],[INITIATION DATE]]</f>
        <v>45</v>
      </c>
    </row>
    <row r="187" spans="1:19" ht="25.35" customHeight="1" x14ac:dyDescent="0.2">
      <c r="A187" s="326" t="s">
        <v>5799</v>
      </c>
      <c r="B187" s="325">
        <v>44134</v>
      </c>
      <c r="C187" s="329" t="s">
        <v>5800</v>
      </c>
      <c r="D187" s="329" t="s">
        <v>5821</v>
      </c>
      <c r="E187" s="326" t="s">
        <v>3532</v>
      </c>
      <c r="F187" s="323">
        <v>1</v>
      </c>
      <c r="G187" s="326" t="s">
        <v>2828</v>
      </c>
      <c r="H187" s="326" t="s">
        <v>3975</v>
      </c>
      <c r="I187" s="326" t="s">
        <v>3211</v>
      </c>
      <c r="J187" s="325">
        <v>44165</v>
      </c>
      <c r="K187" s="325"/>
      <c r="L187" s="325"/>
      <c r="M187" s="326" t="s">
        <v>2853</v>
      </c>
      <c r="N187" s="323" t="s">
        <v>2088</v>
      </c>
      <c r="O187" s="359">
        <v>44141</v>
      </c>
      <c r="P187" s="323" t="s">
        <v>3061</v>
      </c>
      <c r="Q187" s="323" t="s">
        <v>2829</v>
      </c>
      <c r="R187" s="375"/>
      <c r="S187" s="323">
        <f>Table1372[[#This Row],[DATE  CLOSED]]-Table1372[[#This Row],[INITIATION DATE]]</f>
        <v>7</v>
      </c>
    </row>
    <row r="188" spans="1:19" ht="25.35" customHeight="1" x14ac:dyDescent="0.2">
      <c r="A188" s="326" t="s">
        <v>5801</v>
      </c>
      <c r="B188" s="325">
        <v>44134</v>
      </c>
      <c r="C188" s="328" t="s">
        <v>5802</v>
      </c>
      <c r="D188" s="328" t="s">
        <v>3039</v>
      </c>
      <c r="E188" s="323" t="s">
        <v>2971</v>
      </c>
      <c r="F188" s="323">
        <v>1</v>
      </c>
      <c r="G188" s="323" t="s">
        <v>2841</v>
      </c>
      <c r="H188" s="323" t="s">
        <v>229</v>
      </c>
      <c r="I188" s="323" t="s">
        <v>755</v>
      </c>
      <c r="J188" s="325">
        <v>44165</v>
      </c>
      <c r="K188" s="325"/>
      <c r="L188" s="325"/>
      <c r="M188" s="323" t="s">
        <v>2853</v>
      </c>
      <c r="N188" s="323" t="s">
        <v>2088</v>
      </c>
      <c r="O188" s="359">
        <v>44154</v>
      </c>
      <c r="P188" s="323" t="s">
        <v>3061</v>
      </c>
      <c r="Q188" s="323" t="s">
        <v>2829</v>
      </c>
      <c r="R188" s="375"/>
      <c r="S188" s="323">
        <f>Table1372[[#This Row],[DATE  CLOSED]]-Table1372[[#This Row],[INITIATION DATE]]</f>
        <v>20</v>
      </c>
    </row>
    <row r="189" spans="1:19" ht="25.35" customHeight="1" x14ac:dyDescent="0.2">
      <c r="A189" s="326" t="s">
        <v>5805</v>
      </c>
      <c r="B189" s="325">
        <v>44138</v>
      </c>
      <c r="C189" s="328" t="s">
        <v>5806</v>
      </c>
      <c r="D189" s="328" t="s">
        <v>3039</v>
      </c>
      <c r="E189" s="323" t="s">
        <v>2971</v>
      </c>
      <c r="F189" s="323">
        <v>1</v>
      </c>
      <c r="G189" s="323" t="s">
        <v>2841</v>
      </c>
      <c r="H189" s="323" t="s">
        <v>229</v>
      </c>
      <c r="I189" s="323" t="s">
        <v>755</v>
      </c>
      <c r="J189" s="325">
        <v>44165</v>
      </c>
      <c r="K189" s="325"/>
      <c r="L189" s="325"/>
      <c r="M189" s="323" t="s">
        <v>2853</v>
      </c>
      <c r="N189" s="323" t="s">
        <v>2088</v>
      </c>
      <c r="O189" s="359">
        <v>44154</v>
      </c>
      <c r="P189" s="323" t="s">
        <v>3061</v>
      </c>
      <c r="Q189" s="323" t="s">
        <v>2829</v>
      </c>
      <c r="R189" s="375"/>
      <c r="S189" s="323">
        <f>Table1372[[#This Row],[DATE  CLOSED]]-Table1372[[#This Row],[INITIATION DATE]]</f>
        <v>16</v>
      </c>
    </row>
    <row r="190" spans="1:19" ht="25.35" customHeight="1" x14ac:dyDescent="0.2">
      <c r="A190" s="326" t="s">
        <v>5807</v>
      </c>
      <c r="B190" s="325">
        <v>44138</v>
      </c>
      <c r="C190" s="328" t="s">
        <v>5808</v>
      </c>
      <c r="D190" s="328" t="s">
        <v>3039</v>
      </c>
      <c r="E190" s="323" t="s">
        <v>2971</v>
      </c>
      <c r="F190" s="323">
        <v>1</v>
      </c>
      <c r="G190" s="323" t="s">
        <v>2841</v>
      </c>
      <c r="H190" s="323" t="s">
        <v>229</v>
      </c>
      <c r="I190" s="323" t="s">
        <v>755</v>
      </c>
      <c r="J190" s="325">
        <v>44165</v>
      </c>
      <c r="K190" s="325">
        <v>44196</v>
      </c>
      <c r="L190" s="325">
        <v>44255</v>
      </c>
      <c r="M190" s="323" t="s">
        <v>2853</v>
      </c>
      <c r="N190" s="323" t="s">
        <v>3061</v>
      </c>
      <c r="O190" s="359">
        <v>44246</v>
      </c>
      <c r="P190" s="323" t="s">
        <v>3061</v>
      </c>
      <c r="Q190" s="323" t="s">
        <v>6082</v>
      </c>
      <c r="R190" s="375"/>
      <c r="S190" s="323">
        <f>Table1372[[#This Row],[DATE  CLOSED]]-Table1372[[#This Row],[INITIATION DATE]]</f>
        <v>108</v>
      </c>
    </row>
    <row r="191" spans="1:19" ht="25.35" customHeight="1" x14ac:dyDescent="0.2">
      <c r="A191" s="326" t="s">
        <v>5809</v>
      </c>
      <c r="B191" s="325">
        <v>44138</v>
      </c>
      <c r="C191" s="328" t="s">
        <v>5810</v>
      </c>
      <c r="D191" s="328" t="s">
        <v>5811</v>
      </c>
      <c r="E191" s="323" t="s">
        <v>2971</v>
      </c>
      <c r="F191" s="323">
        <v>1</v>
      </c>
      <c r="G191" s="323" t="s">
        <v>2841</v>
      </c>
      <c r="H191" s="323" t="s">
        <v>229</v>
      </c>
      <c r="I191" s="323" t="s">
        <v>727</v>
      </c>
      <c r="J191" s="325">
        <v>44196</v>
      </c>
      <c r="K191" s="325"/>
      <c r="L191" s="325"/>
      <c r="M191" s="323" t="s">
        <v>2853</v>
      </c>
      <c r="N191" s="323" t="s">
        <v>2088</v>
      </c>
      <c r="O191" s="359">
        <v>44144</v>
      </c>
      <c r="P191" s="323" t="s">
        <v>3061</v>
      </c>
      <c r="Q191" s="323" t="s">
        <v>2829</v>
      </c>
      <c r="R191" s="375" t="s">
        <v>5080</v>
      </c>
      <c r="S191" s="323">
        <f>Table1372[[#This Row],[DATE  CLOSED]]-Table1372[[#This Row],[INITIATION DATE]]</f>
        <v>6</v>
      </c>
    </row>
    <row r="192" spans="1:19" ht="25.35" customHeight="1" x14ac:dyDescent="0.2">
      <c r="A192" s="326" t="s">
        <v>5812</v>
      </c>
      <c r="B192" s="325">
        <v>44139</v>
      </c>
      <c r="C192" s="328" t="s">
        <v>5813</v>
      </c>
      <c r="D192" s="328" t="s">
        <v>5308</v>
      </c>
      <c r="E192" s="323" t="s">
        <v>2971</v>
      </c>
      <c r="F192" s="323">
        <v>1</v>
      </c>
      <c r="G192" s="323" t="s">
        <v>2840</v>
      </c>
      <c r="H192" s="323" t="s">
        <v>229</v>
      </c>
      <c r="I192" s="323" t="s">
        <v>755</v>
      </c>
      <c r="J192" s="325">
        <v>44196</v>
      </c>
      <c r="K192" s="325"/>
      <c r="L192" s="325"/>
      <c r="M192" s="323" t="s">
        <v>2853</v>
      </c>
      <c r="N192" s="323"/>
      <c r="O192" s="359">
        <v>44177</v>
      </c>
      <c r="P192" s="323" t="s">
        <v>3061</v>
      </c>
      <c r="Q192" s="323" t="s">
        <v>4987</v>
      </c>
      <c r="R192" s="375"/>
      <c r="S192" s="323">
        <f>Table1372[[#This Row],[DATE  CLOSED]]-Table1372[[#This Row],[INITIATION DATE]]</f>
        <v>38</v>
      </c>
    </row>
    <row r="193" spans="1:19" ht="25.35" customHeight="1" x14ac:dyDescent="0.2">
      <c r="A193" s="326" t="s">
        <v>5814</v>
      </c>
      <c r="B193" s="325">
        <v>44140</v>
      </c>
      <c r="C193" s="329" t="s">
        <v>5815</v>
      </c>
      <c r="D193" s="329" t="s">
        <v>5816</v>
      </c>
      <c r="E193" s="326" t="s">
        <v>2971</v>
      </c>
      <c r="F193" s="323">
        <v>1</v>
      </c>
      <c r="G193" s="326" t="s">
        <v>2841</v>
      </c>
      <c r="H193" s="326" t="s">
        <v>229</v>
      </c>
      <c r="I193" s="326" t="s">
        <v>755</v>
      </c>
      <c r="J193" s="325">
        <v>44165</v>
      </c>
      <c r="K193" s="325"/>
      <c r="L193" s="325"/>
      <c r="M193" s="326" t="s">
        <v>2853</v>
      </c>
      <c r="N193" s="323" t="s">
        <v>2088</v>
      </c>
      <c r="O193" s="359">
        <v>44144</v>
      </c>
      <c r="P193" s="323" t="s">
        <v>3061</v>
      </c>
      <c r="Q193" s="323" t="s">
        <v>2829</v>
      </c>
      <c r="R193" s="375" t="s">
        <v>5080</v>
      </c>
      <c r="S193" s="323">
        <f>Table1372[[#This Row],[DATE  CLOSED]]-Table1372[[#This Row],[INITIATION DATE]]</f>
        <v>4</v>
      </c>
    </row>
    <row r="194" spans="1:19" ht="25.35" customHeight="1" x14ac:dyDescent="0.2">
      <c r="A194" s="326" t="s">
        <v>5817</v>
      </c>
      <c r="B194" s="325">
        <v>44140</v>
      </c>
      <c r="C194" s="329" t="s">
        <v>5818</v>
      </c>
      <c r="D194" s="329" t="s">
        <v>3039</v>
      </c>
      <c r="E194" s="326" t="s">
        <v>2971</v>
      </c>
      <c r="F194" s="323">
        <v>1</v>
      </c>
      <c r="G194" s="326" t="s">
        <v>2841</v>
      </c>
      <c r="H194" s="326" t="s">
        <v>229</v>
      </c>
      <c r="I194" s="326" t="s">
        <v>755</v>
      </c>
      <c r="J194" s="325">
        <v>44165</v>
      </c>
      <c r="K194" s="325"/>
      <c r="L194" s="325"/>
      <c r="M194" s="326" t="s">
        <v>2853</v>
      </c>
      <c r="N194" s="323" t="s">
        <v>2088</v>
      </c>
      <c r="O194" s="359">
        <v>44154</v>
      </c>
      <c r="P194" s="323" t="s">
        <v>3061</v>
      </c>
      <c r="Q194" s="323" t="s">
        <v>2829</v>
      </c>
      <c r="R194" s="375"/>
      <c r="S194" s="323">
        <f>Table1372[[#This Row],[DATE  CLOSED]]-Table1372[[#This Row],[INITIATION DATE]]</f>
        <v>14</v>
      </c>
    </row>
    <row r="195" spans="1:19" ht="25.35" customHeight="1" x14ac:dyDescent="0.2">
      <c r="A195" s="323" t="s">
        <v>5819</v>
      </c>
      <c r="B195" s="325">
        <v>44145</v>
      </c>
      <c r="C195" s="328" t="s">
        <v>5820</v>
      </c>
      <c r="D195" s="328" t="s">
        <v>3039</v>
      </c>
      <c r="E195" s="323" t="s">
        <v>2971</v>
      </c>
      <c r="F195" s="323">
        <v>1</v>
      </c>
      <c r="G195" s="323" t="s">
        <v>2841</v>
      </c>
      <c r="H195" s="323" t="s">
        <v>3227</v>
      </c>
      <c r="I195" s="323" t="s">
        <v>3211</v>
      </c>
      <c r="J195" s="325">
        <v>44165</v>
      </c>
      <c r="K195" s="325"/>
      <c r="L195" s="325"/>
      <c r="M195" s="323" t="s">
        <v>2853</v>
      </c>
      <c r="N195" s="323" t="s">
        <v>2088</v>
      </c>
      <c r="O195" s="359">
        <v>44165</v>
      </c>
      <c r="P195" s="323" t="s">
        <v>3061</v>
      </c>
      <c r="Q195" s="323" t="s">
        <v>2829</v>
      </c>
      <c r="R195" s="375" t="s">
        <v>5080</v>
      </c>
      <c r="S195" s="323">
        <f>Table1372[[#This Row],[DATE  CLOSED]]-Table1372[[#This Row],[INITIATION DATE]]</f>
        <v>20</v>
      </c>
    </row>
    <row r="196" spans="1:19" ht="25.35" customHeight="1" x14ac:dyDescent="0.2">
      <c r="A196" s="323" t="s">
        <v>5822</v>
      </c>
      <c r="B196" s="325">
        <v>44146</v>
      </c>
      <c r="C196" s="328" t="s">
        <v>5823</v>
      </c>
      <c r="D196" s="328" t="s">
        <v>5824</v>
      </c>
      <c r="E196" s="323" t="s">
        <v>4631</v>
      </c>
      <c r="F196" s="323">
        <v>1</v>
      </c>
      <c r="G196" s="323" t="s">
        <v>2828</v>
      </c>
      <c r="H196" s="323" t="s">
        <v>3975</v>
      </c>
      <c r="I196" s="323" t="s">
        <v>3926</v>
      </c>
      <c r="J196" s="325">
        <v>44165</v>
      </c>
      <c r="K196" s="325"/>
      <c r="L196" s="325"/>
      <c r="M196" s="323" t="s">
        <v>2853</v>
      </c>
      <c r="N196" s="323" t="s">
        <v>2088</v>
      </c>
      <c r="O196" s="359">
        <v>44158</v>
      </c>
      <c r="P196" s="323" t="s">
        <v>3061</v>
      </c>
      <c r="Q196" s="323" t="s">
        <v>2829</v>
      </c>
      <c r="R196" s="375" t="s">
        <v>5080</v>
      </c>
      <c r="S196" s="323">
        <f>Table1372[[#This Row],[DATE  CLOSED]]-Table1372[[#This Row],[INITIATION DATE]]</f>
        <v>12</v>
      </c>
    </row>
    <row r="197" spans="1:19" ht="25.35" customHeight="1" x14ac:dyDescent="0.2">
      <c r="A197" s="323" t="s">
        <v>5825</v>
      </c>
      <c r="B197" s="325">
        <v>44146</v>
      </c>
      <c r="C197" s="328" t="s">
        <v>5827</v>
      </c>
      <c r="D197" s="328" t="s">
        <v>5826</v>
      </c>
      <c r="E197" s="323" t="s">
        <v>2971</v>
      </c>
      <c r="F197" s="323">
        <v>1</v>
      </c>
      <c r="G197" s="323" t="s">
        <v>2841</v>
      </c>
      <c r="H197" s="323" t="s">
        <v>4232</v>
      </c>
      <c r="I197" s="323" t="s">
        <v>3211</v>
      </c>
      <c r="J197" s="325">
        <v>44227</v>
      </c>
      <c r="K197" s="325"/>
      <c r="L197" s="325"/>
      <c r="M197" s="323" t="s">
        <v>5769</v>
      </c>
      <c r="N197" s="323"/>
      <c r="O197" s="359"/>
      <c r="P197" s="323"/>
      <c r="Q197" s="323"/>
      <c r="R197" s="375" t="s">
        <v>5998</v>
      </c>
      <c r="S197" s="323">
        <f>Table1372[[#This Row],[DATE  CLOSED]]-Table1372[[#This Row],[INITIATION DATE]]</f>
        <v>-44146</v>
      </c>
    </row>
    <row r="198" spans="1:19" ht="25.35" customHeight="1" x14ac:dyDescent="0.2">
      <c r="A198" s="323" t="s">
        <v>5828</v>
      </c>
      <c r="B198" s="325">
        <v>44146</v>
      </c>
      <c r="C198" s="328" t="s">
        <v>5830</v>
      </c>
      <c r="D198" s="328" t="s">
        <v>3039</v>
      </c>
      <c r="E198" s="323" t="s">
        <v>2971</v>
      </c>
      <c r="F198" s="323">
        <v>1</v>
      </c>
      <c r="G198" s="323" t="s">
        <v>2841</v>
      </c>
      <c r="H198" s="323" t="s">
        <v>229</v>
      </c>
      <c r="I198" s="323" t="s">
        <v>755</v>
      </c>
      <c r="J198" s="325">
        <v>44165</v>
      </c>
      <c r="K198" s="325"/>
      <c r="L198" s="325"/>
      <c r="M198" s="323" t="s">
        <v>2853</v>
      </c>
      <c r="N198" s="323" t="s">
        <v>2088</v>
      </c>
      <c r="O198" s="359">
        <v>44151</v>
      </c>
      <c r="P198" s="323" t="s">
        <v>3061</v>
      </c>
      <c r="Q198" s="323" t="s">
        <v>2829</v>
      </c>
      <c r="R198" s="375"/>
      <c r="S198" s="323">
        <f>Table1372[[#This Row],[DATE  CLOSED]]-Table1372[[#This Row],[INITIATION DATE]]</f>
        <v>5</v>
      </c>
    </row>
    <row r="199" spans="1:19" ht="25.35" customHeight="1" x14ac:dyDescent="0.2">
      <c r="A199" s="323" t="s">
        <v>5829</v>
      </c>
      <c r="B199" s="325">
        <v>44146</v>
      </c>
      <c r="C199" s="328" t="s">
        <v>5831</v>
      </c>
      <c r="D199" s="328" t="s">
        <v>5832</v>
      </c>
      <c r="E199" s="323" t="s">
        <v>2971</v>
      </c>
      <c r="F199" s="323">
        <v>1</v>
      </c>
      <c r="G199" s="323" t="s">
        <v>2836</v>
      </c>
      <c r="H199" s="323" t="s">
        <v>685</v>
      </c>
      <c r="I199" s="323" t="s">
        <v>229</v>
      </c>
      <c r="J199" s="325">
        <v>44165</v>
      </c>
      <c r="K199" s="325"/>
      <c r="L199" s="325"/>
      <c r="M199" s="323" t="s">
        <v>2853</v>
      </c>
      <c r="N199" s="323" t="s">
        <v>2088</v>
      </c>
      <c r="O199" s="359">
        <v>44146</v>
      </c>
      <c r="P199" s="323" t="s">
        <v>3061</v>
      </c>
      <c r="Q199" s="323" t="s">
        <v>2829</v>
      </c>
      <c r="R199" s="375"/>
      <c r="S199" s="323">
        <f>Table1372[[#This Row],[DATE  CLOSED]]-Table1372[[#This Row],[INITIATION DATE]]</f>
        <v>0</v>
      </c>
    </row>
    <row r="200" spans="1:19" ht="25.35" customHeight="1" x14ac:dyDescent="0.2">
      <c r="A200" s="323" t="s">
        <v>5833</v>
      </c>
      <c r="B200" s="325">
        <v>44147</v>
      </c>
      <c r="C200" s="328" t="s">
        <v>5835</v>
      </c>
      <c r="D200" s="328" t="s">
        <v>5834</v>
      </c>
      <c r="E200" s="323" t="s">
        <v>4256</v>
      </c>
      <c r="F200" s="323">
        <v>1</v>
      </c>
      <c r="G200" s="323" t="s">
        <v>2828</v>
      </c>
      <c r="H200" s="323" t="s">
        <v>4232</v>
      </c>
      <c r="I200" s="323" t="s">
        <v>3926</v>
      </c>
      <c r="J200" s="325">
        <v>44165</v>
      </c>
      <c r="K200" s="325"/>
      <c r="L200" s="325"/>
      <c r="M200" s="323" t="s">
        <v>2853</v>
      </c>
      <c r="N200" s="323" t="s">
        <v>2088</v>
      </c>
      <c r="O200" s="359">
        <v>44154</v>
      </c>
      <c r="P200" s="323" t="s">
        <v>3061</v>
      </c>
      <c r="Q200" s="323" t="s">
        <v>2829</v>
      </c>
      <c r="R200" s="375" t="s">
        <v>5080</v>
      </c>
      <c r="S200" s="323">
        <f>Table1372[[#This Row],[DATE  CLOSED]]-Table1372[[#This Row],[INITIATION DATE]]</f>
        <v>7</v>
      </c>
    </row>
    <row r="201" spans="1:19" ht="25.35" customHeight="1" x14ac:dyDescent="0.2">
      <c r="A201" s="323" t="s">
        <v>5836</v>
      </c>
      <c r="B201" s="325">
        <v>44154</v>
      </c>
      <c r="C201" s="328" t="s">
        <v>5837</v>
      </c>
      <c r="D201" s="328" t="s">
        <v>3039</v>
      </c>
      <c r="E201" s="323" t="s">
        <v>2971</v>
      </c>
      <c r="F201" s="323">
        <v>1</v>
      </c>
      <c r="G201" s="323" t="s">
        <v>2841</v>
      </c>
      <c r="H201" s="323" t="s">
        <v>229</v>
      </c>
      <c r="I201" s="323" t="s">
        <v>755</v>
      </c>
      <c r="J201" s="325">
        <v>44196</v>
      </c>
      <c r="K201" s="325"/>
      <c r="L201" s="325"/>
      <c r="M201" s="323" t="s">
        <v>2853</v>
      </c>
      <c r="N201" s="323" t="s">
        <v>2088</v>
      </c>
      <c r="O201" s="359">
        <v>44179</v>
      </c>
      <c r="P201" s="323" t="s">
        <v>3061</v>
      </c>
      <c r="Q201" s="323" t="s">
        <v>4987</v>
      </c>
      <c r="R201" s="375"/>
      <c r="S201" s="323">
        <f>Table1372[[#This Row],[DATE  CLOSED]]-Table1372[[#This Row],[INITIATION DATE]]</f>
        <v>25</v>
      </c>
    </row>
    <row r="202" spans="1:19" ht="25.35" customHeight="1" x14ac:dyDescent="0.2">
      <c r="A202" s="323" t="s">
        <v>5838</v>
      </c>
      <c r="B202" s="325">
        <v>44158</v>
      </c>
      <c r="C202" s="328" t="s">
        <v>5840</v>
      </c>
      <c r="D202" s="328" t="s">
        <v>3039</v>
      </c>
      <c r="E202" s="323" t="s">
        <v>2971</v>
      </c>
      <c r="F202" s="323">
        <v>1</v>
      </c>
      <c r="G202" s="323" t="s">
        <v>2841</v>
      </c>
      <c r="H202" s="323" t="s">
        <v>229</v>
      </c>
      <c r="I202" s="323" t="s">
        <v>755</v>
      </c>
      <c r="J202" s="325">
        <v>44196</v>
      </c>
      <c r="K202" s="325"/>
      <c r="L202" s="325"/>
      <c r="M202" s="323" t="s">
        <v>2853</v>
      </c>
      <c r="N202" s="323" t="s">
        <v>2088</v>
      </c>
      <c r="O202" s="359">
        <v>44174</v>
      </c>
      <c r="P202" s="323" t="s">
        <v>3061</v>
      </c>
      <c r="Q202" s="323" t="s">
        <v>2829</v>
      </c>
      <c r="R202" s="375"/>
      <c r="S202" s="323">
        <f>Table1372[[#This Row],[DATE  CLOSED]]-Table1372[[#This Row],[INITIATION DATE]]</f>
        <v>16</v>
      </c>
    </row>
    <row r="203" spans="1:19" ht="25.35" customHeight="1" x14ac:dyDescent="0.2">
      <c r="A203" s="323" t="s">
        <v>5839</v>
      </c>
      <c r="B203" s="325">
        <v>44158</v>
      </c>
      <c r="C203" s="328" t="s">
        <v>5841</v>
      </c>
      <c r="D203" s="328" t="s">
        <v>3039</v>
      </c>
      <c r="E203" s="323" t="s">
        <v>2971</v>
      </c>
      <c r="F203" s="323">
        <v>1</v>
      </c>
      <c r="G203" s="323" t="s">
        <v>2841</v>
      </c>
      <c r="H203" s="323" t="s">
        <v>229</v>
      </c>
      <c r="I203" s="323" t="s">
        <v>755</v>
      </c>
      <c r="J203" s="325">
        <v>44196</v>
      </c>
      <c r="K203" s="325"/>
      <c r="L203" s="325"/>
      <c r="M203" s="323" t="s">
        <v>2853</v>
      </c>
      <c r="N203" s="323"/>
      <c r="O203" s="359">
        <v>44180</v>
      </c>
      <c r="P203" s="323"/>
      <c r="Q203" s="323" t="s">
        <v>4987</v>
      </c>
      <c r="R203" s="375"/>
      <c r="S203" s="323">
        <f>Table1372[[#This Row],[DATE  CLOSED]]-Table1372[[#This Row],[INITIATION DATE]]</f>
        <v>22</v>
      </c>
    </row>
    <row r="204" spans="1:19" ht="25.35" customHeight="1" x14ac:dyDescent="0.2">
      <c r="A204" s="323" t="s">
        <v>5842</v>
      </c>
      <c r="B204" s="325">
        <v>44159</v>
      </c>
      <c r="C204" s="328" t="s">
        <v>5843</v>
      </c>
      <c r="D204" s="328" t="s">
        <v>5844</v>
      </c>
      <c r="E204" s="323" t="s">
        <v>5845</v>
      </c>
      <c r="F204" s="323">
        <v>1</v>
      </c>
      <c r="G204" s="323" t="s">
        <v>2828</v>
      </c>
      <c r="H204" s="323" t="s">
        <v>1351</v>
      </c>
      <c r="I204" s="323" t="s">
        <v>3926</v>
      </c>
      <c r="J204" s="325">
        <v>44196</v>
      </c>
      <c r="K204" s="325"/>
      <c r="L204" s="325"/>
      <c r="M204" s="323" t="s">
        <v>2853</v>
      </c>
      <c r="N204" s="323" t="s">
        <v>2088</v>
      </c>
      <c r="O204" s="359">
        <v>44168</v>
      </c>
      <c r="P204" s="323" t="s">
        <v>3061</v>
      </c>
      <c r="Q204" s="323" t="s">
        <v>2829</v>
      </c>
      <c r="R204" s="375" t="s">
        <v>5080</v>
      </c>
      <c r="S204" s="323">
        <f>Table1372[[#This Row],[DATE  CLOSED]]-Table1372[[#This Row],[INITIATION DATE]]</f>
        <v>9</v>
      </c>
    </row>
    <row r="205" spans="1:19" ht="25.35" customHeight="1" x14ac:dyDescent="0.2">
      <c r="A205" s="323" t="s">
        <v>5846</v>
      </c>
      <c r="B205" s="325">
        <v>44159</v>
      </c>
      <c r="C205" s="329" t="s">
        <v>5847</v>
      </c>
      <c r="D205" s="329" t="s">
        <v>3039</v>
      </c>
      <c r="E205" s="326" t="s">
        <v>2971</v>
      </c>
      <c r="F205" s="323">
        <v>1</v>
      </c>
      <c r="G205" s="326" t="s">
        <v>2841</v>
      </c>
      <c r="H205" s="326" t="s">
        <v>229</v>
      </c>
      <c r="I205" s="326" t="s">
        <v>755</v>
      </c>
      <c r="J205" s="325">
        <v>44196</v>
      </c>
      <c r="K205" s="327"/>
      <c r="L205" s="327"/>
      <c r="M205" s="326" t="s">
        <v>2853</v>
      </c>
      <c r="N205" s="323"/>
      <c r="O205" s="359">
        <v>44187</v>
      </c>
      <c r="P205" s="326" t="s">
        <v>3061</v>
      </c>
      <c r="Q205" s="326" t="s">
        <v>4987</v>
      </c>
      <c r="R205" s="375"/>
      <c r="S205" s="323">
        <f>Table1372[[#This Row],[DATE  CLOSED]]-Table1372[[#This Row],[INITIATION DATE]]</f>
        <v>28</v>
      </c>
    </row>
    <row r="206" spans="1:19" ht="25.35" customHeight="1" x14ac:dyDescent="0.2">
      <c r="A206" s="323" t="s">
        <v>5848</v>
      </c>
      <c r="B206" s="325">
        <v>44165</v>
      </c>
      <c r="C206" s="328" t="s">
        <v>5849</v>
      </c>
      <c r="D206" s="328" t="s">
        <v>5850</v>
      </c>
      <c r="E206" s="323" t="s">
        <v>2971</v>
      </c>
      <c r="F206" s="323">
        <v>1</v>
      </c>
      <c r="G206" s="323" t="s">
        <v>2841</v>
      </c>
      <c r="H206" s="323" t="s">
        <v>229</v>
      </c>
      <c r="I206" s="323" t="s">
        <v>755</v>
      </c>
      <c r="J206" s="325">
        <v>44196</v>
      </c>
      <c r="K206" s="325"/>
      <c r="L206" s="325"/>
      <c r="M206" s="323" t="s">
        <v>2853</v>
      </c>
      <c r="N206" s="323"/>
      <c r="O206" s="359">
        <v>44194</v>
      </c>
      <c r="P206" s="323" t="s">
        <v>3061</v>
      </c>
      <c r="Q206" s="323" t="s">
        <v>4987</v>
      </c>
      <c r="R206" s="375"/>
      <c r="S206" s="323">
        <f>Table1372[[#This Row],[DATE  CLOSED]]-Table1372[[#This Row],[INITIATION DATE]]</f>
        <v>29</v>
      </c>
    </row>
    <row r="207" spans="1:19" ht="25.35" customHeight="1" x14ac:dyDescent="0.2">
      <c r="A207" s="323" t="s">
        <v>5851</v>
      </c>
      <c r="B207" s="325">
        <v>44165</v>
      </c>
      <c r="C207" s="328" t="s">
        <v>5852</v>
      </c>
      <c r="D207" s="328" t="s">
        <v>3039</v>
      </c>
      <c r="E207" s="323" t="s">
        <v>2971</v>
      </c>
      <c r="F207" s="323">
        <v>1</v>
      </c>
      <c r="G207" s="323" t="s">
        <v>2841</v>
      </c>
      <c r="H207" s="323" t="s">
        <v>229</v>
      </c>
      <c r="I207" s="323" t="s">
        <v>755</v>
      </c>
      <c r="J207" s="325">
        <v>44196</v>
      </c>
      <c r="K207" s="325"/>
      <c r="L207" s="325"/>
      <c r="M207" s="326" t="s">
        <v>2853</v>
      </c>
      <c r="N207" s="323"/>
      <c r="O207" s="359">
        <v>44187</v>
      </c>
      <c r="P207" s="326" t="s">
        <v>3061</v>
      </c>
      <c r="Q207" s="326" t="s">
        <v>4987</v>
      </c>
      <c r="R207" s="375"/>
      <c r="S207" s="323">
        <f>Table1372[[#This Row],[DATE  CLOSED]]-Table1372[[#This Row],[INITIATION DATE]]</f>
        <v>22</v>
      </c>
    </row>
    <row r="208" spans="1:19" ht="25.35" customHeight="1" x14ac:dyDescent="0.2">
      <c r="A208" s="323" t="s">
        <v>5853</v>
      </c>
      <c r="B208" s="325">
        <v>44165</v>
      </c>
      <c r="C208" s="328" t="s">
        <v>5854</v>
      </c>
      <c r="D208" s="108" t="s">
        <v>5855</v>
      </c>
      <c r="E208" s="326" t="s">
        <v>2971</v>
      </c>
      <c r="F208" s="323">
        <v>1</v>
      </c>
      <c r="G208" s="326" t="s">
        <v>2841</v>
      </c>
      <c r="H208" s="326" t="s">
        <v>229</v>
      </c>
      <c r="I208" s="326" t="s">
        <v>755</v>
      </c>
      <c r="J208" s="325">
        <v>44196</v>
      </c>
      <c r="K208" s="325"/>
      <c r="L208" s="325"/>
      <c r="M208" s="326" t="s">
        <v>2853</v>
      </c>
      <c r="N208" s="323"/>
      <c r="O208" s="359">
        <v>44188</v>
      </c>
      <c r="P208" s="326" t="s">
        <v>3061</v>
      </c>
      <c r="Q208" s="326" t="s">
        <v>4987</v>
      </c>
      <c r="R208" s="375"/>
      <c r="S208" s="323">
        <f>Table1372[[#This Row],[DATE  CLOSED]]-Table1372[[#This Row],[INITIATION DATE]]</f>
        <v>23</v>
      </c>
    </row>
    <row r="209" spans="1:19" ht="25.35" customHeight="1" x14ac:dyDescent="0.2">
      <c r="A209" s="323" t="s">
        <v>5856</v>
      </c>
      <c r="B209" s="325">
        <v>44165</v>
      </c>
      <c r="C209" s="328" t="s">
        <v>5857</v>
      </c>
      <c r="D209" s="328" t="s">
        <v>5858</v>
      </c>
      <c r="E209" s="323" t="s">
        <v>5743</v>
      </c>
      <c r="F209" s="323">
        <v>1</v>
      </c>
      <c r="G209" s="323" t="s">
        <v>2828</v>
      </c>
      <c r="H209" s="323" t="s">
        <v>615</v>
      </c>
      <c r="I209" s="323" t="s">
        <v>3211</v>
      </c>
      <c r="J209" s="325">
        <v>44196</v>
      </c>
      <c r="K209" s="325" t="s">
        <v>2088</v>
      </c>
      <c r="L209" s="325" t="s">
        <v>2088</v>
      </c>
      <c r="M209" s="323" t="s">
        <v>2853</v>
      </c>
      <c r="N209" s="323" t="s">
        <v>2912</v>
      </c>
      <c r="O209" s="359">
        <v>44272</v>
      </c>
      <c r="P209" s="323" t="s">
        <v>3022</v>
      </c>
      <c r="Q209" s="323" t="s">
        <v>2835</v>
      </c>
      <c r="R209" s="375" t="s">
        <v>5080</v>
      </c>
      <c r="S209" s="323">
        <f>Table1372[[#This Row],[DATE  CLOSED]]-Table1372[[#This Row],[INITIATION DATE]]</f>
        <v>107</v>
      </c>
    </row>
    <row r="210" spans="1:19" ht="25.35" customHeight="1" x14ac:dyDescent="0.2">
      <c r="A210" s="323" t="s">
        <v>5859</v>
      </c>
      <c r="B210" s="325">
        <v>44166</v>
      </c>
      <c r="C210" s="328" t="s">
        <v>5860</v>
      </c>
      <c r="D210" s="328" t="s">
        <v>5861</v>
      </c>
      <c r="E210" s="323" t="s">
        <v>4256</v>
      </c>
      <c r="F210" s="323">
        <v>1</v>
      </c>
      <c r="G210" s="323" t="s">
        <v>2828</v>
      </c>
      <c r="H210" s="323" t="s">
        <v>4232</v>
      </c>
      <c r="I210" s="323" t="s">
        <v>3211</v>
      </c>
      <c r="J210" s="325">
        <v>44196</v>
      </c>
      <c r="K210" s="325"/>
      <c r="L210" s="325"/>
      <c r="M210" s="323" t="s">
        <v>2853</v>
      </c>
      <c r="N210" s="323" t="s">
        <v>2088</v>
      </c>
      <c r="O210" s="359">
        <v>44174</v>
      </c>
      <c r="P210" s="323" t="s">
        <v>3061</v>
      </c>
      <c r="Q210" s="323" t="s">
        <v>2829</v>
      </c>
      <c r="R210" s="375" t="s">
        <v>5080</v>
      </c>
      <c r="S210" s="323">
        <f>Table1372[[#This Row],[DATE  CLOSED]]-Table1372[[#This Row],[INITIATION DATE]]</f>
        <v>8</v>
      </c>
    </row>
    <row r="211" spans="1:19" ht="25.35" customHeight="1" x14ac:dyDescent="0.2">
      <c r="A211" s="323" t="s">
        <v>5862</v>
      </c>
      <c r="B211" s="325">
        <v>44167</v>
      </c>
      <c r="C211" s="328" t="s">
        <v>5863</v>
      </c>
      <c r="D211" s="328" t="s">
        <v>5864</v>
      </c>
      <c r="E211" s="323" t="s">
        <v>3764</v>
      </c>
      <c r="F211" s="323">
        <v>1</v>
      </c>
      <c r="G211" s="323" t="s">
        <v>2828</v>
      </c>
      <c r="H211" s="323" t="s">
        <v>4163</v>
      </c>
      <c r="I211" s="323" t="s">
        <v>3211</v>
      </c>
      <c r="J211" s="325">
        <v>44561</v>
      </c>
      <c r="K211" s="325"/>
      <c r="L211" s="325"/>
      <c r="M211" s="323" t="s">
        <v>2847</v>
      </c>
      <c r="N211" s="323"/>
      <c r="O211" s="359"/>
      <c r="P211" s="323"/>
      <c r="Q211" s="323"/>
      <c r="R211" s="375"/>
      <c r="S211" s="323">
        <f>Table1372[[#This Row],[DATE  CLOSED]]-Table1372[[#This Row],[INITIATION DATE]]</f>
        <v>-44167</v>
      </c>
    </row>
    <row r="212" spans="1:19" ht="25.35" customHeight="1" x14ac:dyDescent="0.2">
      <c r="A212" s="323" t="s">
        <v>5865</v>
      </c>
      <c r="B212" s="325">
        <v>44166</v>
      </c>
      <c r="C212" s="328" t="s">
        <v>5866</v>
      </c>
      <c r="D212" s="328" t="s">
        <v>5661</v>
      </c>
      <c r="E212" s="323" t="s">
        <v>2971</v>
      </c>
      <c r="F212" s="323">
        <v>2</v>
      </c>
      <c r="G212" s="323" t="s">
        <v>2838</v>
      </c>
      <c r="H212" s="323" t="s">
        <v>685</v>
      </c>
      <c r="I212" s="323" t="s">
        <v>755</v>
      </c>
      <c r="J212" s="325">
        <v>44316</v>
      </c>
      <c r="K212" s="325">
        <v>44407</v>
      </c>
      <c r="L212" s="325"/>
      <c r="M212" s="323" t="s">
        <v>2853</v>
      </c>
      <c r="N212" s="323" t="s">
        <v>3061</v>
      </c>
      <c r="O212" s="359">
        <v>44334</v>
      </c>
      <c r="P212" s="323" t="s">
        <v>3061</v>
      </c>
      <c r="Q212" s="323" t="s">
        <v>2835</v>
      </c>
      <c r="R212" s="375"/>
      <c r="S212" s="323">
        <f>Table1372[[#This Row],[DATE  CLOSED]]-Table1372[[#This Row],[INITIATION DATE]]</f>
        <v>168</v>
      </c>
    </row>
    <row r="213" spans="1:19" ht="25.35" customHeight="1" x14ac:dyDescent="0.2">
      <c r="A213" s="323" t="s">
        <v>5867</v>
      </c>
      <c r="B213" s="325">
        <v>44169</v>
      </c>
      <c r="C213" s="328" t="s">
        <v>5868</v>
      </c>
      <c r="D213" s="328" t="s">
        <v>4019</v>
      </c>
      <c r="E213" s="323" t="s">
        <v>4256</v>
      </c>
      <c r="F213" s="323">
        <v>1</v>
      </c>
      <c r="G213" s="323" t="s">
        <v>2828</v>
      </c>
      <c r="H213" s="323" t="s">
        <v>1351</v>
      </c>
      <c r="I213" s="323" t="s">
        <v>3926</v>
      </c>
      <c r="J213" s="325">
        <v>44196</v>
      </c>
      <c r="K213" s="325"/>
      <c r="L213" s="325"/>
      <c r="M213" s="323" t="s">
        <v>2853</v>
      </c>
      <c r="N213" s="323" t="s">
        <v>2088</v>
      </c>
      <c r="O213" s="359">
        <v>44173</v>
      </c>
      <c r="P213" s="323" t="s">
        <v>3061</v>
      </c>
      <c r="Q213" s="323" t="s">
        <v>2829</v>
      </c>
      <c r="R213" s="379" t="s">
        <v>5080</v>
      </c>
      <c r="S213" s="323">
        <f>Table1372[[#This Row],[DATE  CLOSED]]-Table1372[[#This Row],[INITIATION DATE]]</f>
        <v>4</v>
      </c>
    </row>
    <row r="214" spans="1:19" ht="25.35" customHeight="1" x14ac:dyDescent="0.2">
      <c r="A214" s="323" t="s">
        <v>5873</v>
      </c>
      <c r="B214" s="325">
        <v>44169</v>
      </c>
      <c r="C214" s="328" t="s">
        <v>5874</v>
      </c>
      <c r="D214" s="328" t="s">
        <v>5875</v>
      </c>
      <c r="E214" s="323" t="s">
        <v>2971</v>
      </c>
      <c r="F214" s="323">
        <v>1</v>
      </c>
      <c r="G214" s="323" t="s">
        <v>2828</v>
      </c>
      <c r="H214" s="323" t="s">
        <v>3227</v>
      </c>
      <c r="I214" s="323" t="s">
        <v>3211</v>
      </c>
      <c r="J214" s="325">
        <v>44196</v>
      </c>
      <c r="K214" s="325"/>
      <c r="L214" s="325"/>
      <c r="M214" s="323" t="s">
        <v>2853</v>
      </c>
      <c r="N214" s="323" t="s">
        <v>2088</v>
      </c>
      <c r="O214" s="359">
        <v>44186</v>
      </c>
      <c r="P214" s="323" t="s">
        <v>3061</v>
      </c>
      <c r="Q214" s="323" t="s">
        <v>2829</v>
      </c>
      <c r="R214" s="379" t="s">
        <v>5080</v>
      </c>
      <c r="S214" s="323">
        <f>Table1372[[#This Row],[DATE  CLOSED]]-Table1372[[#This Row],[INITIATION DATE]]</f>
        <v>17</v>
      </c>
    </row>
    <row r="215" spans="1:19" ht="25.35" customHeight="1" x14ac:dyDescent="0.2">
      <c r="A215" s="323" t="s">
        <v>5876</v>
      </c>
      <c r="B215" s="325">
        <v>44172</v>
      </c>
      <c r="C215" s="329" t="s">
        <v>5877</v>
      </c>
      <c r="D215" s="329" t="s">
        <v>5878</v>
      </c>
      <c r="E215" s="326" t="s">
        <v>2971</v>
      </c>
      <c r="F215" s="323">
        <v>1</v>
      </c>
      <c r="G215" s="326" t="s">
        <v>2836</v>
      </c>
      <c r="H215" s="326" t="s">
        <v>3991</v>
      </c>
      <c r="I215" s="326" t="s">
        <v>229</v>
      </c>
      <c r="J215" s="325">
        <v>44196</v>
      </c>
      <c r="K215" s="325"/>
      <c r="L215" s="325"/>
      <c r="M215" s="326" t="s">
        <v>2853</v>
      </c>
      <c r="N215" s="323" t="s">
        <v>2088</v>
      </c>
      <c r="O215" s="359">
        <v>44193</v>
      </c>
      <c r="P215" s="323" t="s">
        <v>3061</v>
      </c>
      <c r="Q215" s="323" t="s">
        <v>2829</v>
      </c>
      <c r="R215" s="379"/>
      <c r="S215" s="323">
        <f>Table1372[[#This Row],[DATE  CLOSED]]-Table1372[[#This Row],[INITIATION DATE]]</f>
        <v>21</v>
      </c>
    </row>
    <row r="216" spans="1:19" ht="25.35" customHeight="1" x14ac:dyDescent="0.2">
      <c r="A216" s="323" t="s">
        <v>5879</v>
      </c>
      <c r="B216" s="325">
        <v>44174</v>
      </c>
      <c r="C216" s="328" t="s">
        <v>5880</v>
      </c>
      <c r="D216" s="328" t="s">
        <v>5881</v>
      </c>
      <c r="E216" s="323" t="s">
        <v>2971</v>
      </c>
      <c r="F216" s="323">
        <v>1</v>
      </c>
      <c r="G216" s="323" t="s">
        <v>2838</v>
      </c>
      <c r="H216" s="323" t="s">
        <v>685</v>
      </c>
      <c r="I216" s="323" t="s">
        <v>229</v>
      </c>
      <c r="J216" s="325">
        <v>44196</v>
      </c>
      <c r="K216" s="325"/>
      <c r="L216" s="325"/>
      <c r="M216" s="323" t="s">
        <v>2853</v>
      </c>
      <c r="N216" s="323" t="s">
        <v>2088</v>
      </c>
      <c r="O216" s="359">
        <v>44175</v>
      </c>
      <c r="P216" s="323" t="s">
        <v>3061</v>
      </c>
      <c r="Q216" s="323" t="s">
        <v>2829</v>
      </c>
      <c r="R216" s="379"/>
      <c r="S216" s="323">
        <f>Table1372[[#This Row],[DATE  CLOSED]]-Table1372[[#This Row],[INITIATION DATE]]</f>
        <v>1</v>
      </c>
    </row>
    <row r="217" spans="1:19" ht="25.35" customHeight="1" x14ac:dyDescent="0.2">
      <c r="A217" s="323" t="s">
        <v>5882</v>
      </c>
      <c r="B217" s="325">
        <v>44175</v>
      </c>
      <c r="C217" s="328" t="s">
        <v>5883</v>
      </c>
      <c r="D217" s="328" t="s">
        <v>5750</v>
      </c>
      <c r="E217" s="323" t="s">
        <v>2971</v>
      </c>
      <c r="F217" s="323">
        <v>1</v>
      </c>
      <c r="G217" s="323" t="s">
        <v>2840</v>
      </c>
      <c r="H217" s="323" t="s">
        <v>229</v>
      </c>
      <c r="I217" s="323" t="s">
        <v>4261</v>
      </c>
      <c r="J217" s="325">
        <v>44196</v>
      </c>
      <c r="K217" s="325"/>
      <c r="L217" s="325"/>
      <c r="M217" s="326" t="s">
        <v>2853</v>
      </c>
      <c r="N217" s="323"/>
      <c r="O217" s="359">
        <v>44193</v>
      </c>
      <c r="P217" s="326" t="s">
        <v>3061</v>
      </c>
      <c r="Q217" s="326" t="s">
        <v>4987</v>
      </c>
      <c r="R217" s="381"/>
      <c r="S217" s="382">
        <f>Table1372[[#This Row],[DATE  CLOSED]]-Table1372[[#This Row],[INITIATION DATE]]</f>
        <v>18</v>
      </c>
    </row>
    <row r="218" spans="1:19" ht="25.35" customHeight="1" x14ac:dyDescent="0.2">
      <c r="A218" s="323" t="s">
        <v>5884</v>
      </c>
      <c r="B218" s="325">
        <v>44175</v>
      </c>
      <c r="C218" s="328" t="s">
        <v>5885</v>
      </c>
      <c r="D218" s="328" t="s">
        <v>5886</v>
      </c>
      <c r="E218" s="323" t="s">
        <v>4033</v>
      </c>
      <c r="F218" s="323">
        <v>1</v>
      </c>
      <c r="G218" s="323" t="s">
        <v>2841</v>
      </c>
      <c r="H218" s="323" t="s">
        <v>1351</v>
      </c>
      <c r="I218" s="323" t="s">
        <v>3926</v>
      </c>
      <c r="J218" s="325">
        <v>44196</v>
      </c>
      <c r="K218" s="325"/>
      <c r="L218" s="325"/>
      <c r="M218" s="323" t="s">
        <v>2853</v>
      </c>
      <c r="N218" s="323" t="s">
        <v>2088</v>
      </c>
      <c r="O218" s="359">
        <v>44179</v>
      </c>
      <c r="P218" s="323" t="s">
        <v>3061</v>
      </c>
      <c r="Q218" s="323" t="s">
        <v>2829</v>
      </c>
      <c r="R218" s="381" t="s">
        <v>5080</v>
      </c>
      <c r="S218" s="382">
        <f>Table1372[[#This Row],[DATE  CLOSED]]-Table1372[[#This Row],[INITIATION DATE]]</f>
        <v>4</v>
      </c>
    </row>
    <row r="219" spans="1:19" ht="25.35" customHeight="1" x14ac:dyDescent="0.2">
      <c r="A219" s="323" t="s">
        <v>5887</v>
      </c>
      <c r="B219" s="325">
        <v>44175</v>
      </c>
      <c r="C219" s="328" t="s">
        <v>5888</v>
      </c>
      <c r="D219" s="328" t="s">
        <v>5889</v>
      </c>
      <c r="E219" s="323" t="s">
        <v>2971</v>
      </c>
      <c r="F219" s="323">
        <v>1</v>
      </c>
      <c r="G219" s="323" t="s">
        <v>2836</v>
      </c>
      <c r="H219" s="323" t="s">
        <v>3423</v>
      </c>
      <c r="I219" s="323" t="s">
        <v>3211</v>
      </c>
      <c r="J219" s="325">
        <v>44196</v>
      </c>
      <c r="K219" s="325"/>
      <c r="L219" s="325"/>
      <c r="M219" s="323" t="s">
        <v>2853</v>
      </c>
      <c r="N219" s="323" t="s">
        <v>2088</v>
      </c>
      <c r="O219" s="359">
        <v>44176</v>
      </c>
      <c r="P219" s="323" t="s">
        <v>3061</v>
      </c>
      <c r="Q219" s="323" t="s">
        <v>2829</v>
      </c>
      <c r="R219" s="381" t="s">
        <v>5080</v>
      </c>
      <c r="S219" s="382">
        <f>Table1372[[#This Row],[DATE  CLOSED]]-Table1372[[#This Row],[INITIATION DATE]]</f>
        <v>1</v>
      </c>
    </row>
    <row r="220" spans="1:19" ht="25.35" customHeight="1" x14ac:dyDescent="0.2">
      <c r="A220" s="323" t="s">
        <v>5890</v>
      </c>
      <c r="B220" s="325">
        <v>44179</v>
      </c>
      <c r="C220" s="328" t="s">
        <v>5891</v>
      </c>
      <c r="D220" s="328" t="s">
        <v>5892</v>
      </c>
      <c r="E220" s="323" t="s">
        <v>2971</v>
      </c>
      <c r="F220" s="323">
        <v>1</v>
      </c>
      <c r="G220" s="323" t="s">
        <v>2840</v>
      </c>
      <c r="H220" s="323" t="s">
        <v>3842</v>
      </c>
      <c r="I220" s="323" t="s">
        <v>229</v>
      </c>
      <c r="J220" s="325">
        <v>44196</v>
      </c>
      <c r="K220" s="325"/>
      <c r="L220" s="325"/>
      <c r="M220" s="323" t="s">
        <v>2853</v>
      </c>
      <c r="N220" s="323" t="s">
        <v>2088</v>
      </c>
      <c r="O220" s="359">
        <v>44180</v>
      </c>
      <c r="P220" s="323" t="s">
        <v>3061</v>
      </c>
      <c r="Q220" s="323" t="s">
        <v>4987</v>
      </c>
      <c r="R220" s="381" t="s">
        <v>5080</v>
      </c>
      <c r="S220" s="382">
        <f>Table1372[[#This Row],[DATE  CLOSED]]-Table1372[[#This Row],[INITIATION DATE]]</f>
        <v>1</v>
      </c>
    </row>
    <row r="221" spans="1:19" ht="25.35" customHeight="1" x14ac:dyDescent="0.2">
      <c r="A221" s="323" t="s">
        <v>5893</v>
      </c>
      <c r="B221" s="325">
        <v>44179</v>
      </c>
      <c r="C221" s="328" t="s">
        <v>5894</v>
      </c>
      <c r="D221" s="328" t="s">
        <v>3039</v>
      </c>
      <c r="E221" s="323" t="s">
        <v>2971</v>
      </c>
      <c r="F221" s="323">
        <v>1</v>
      </c>
      <c r="G221" s="323" t="s">
        <v>2841</v>
      </c>
      <c r="H221" s="323" t="s">
        <v>685</v>
      </c>
      <c r="I221" s="323" t="s">
        <v>229</v>
      </c>
      <c r="J221" s="325">
        <v>44196</v>
      </c>
      <c r="K221" s="325"/>
      <c r="L221" s="325"/>
      <c r="M221" s="323" t="s">
        <v>2853</v>
      </c>
      <c r="N221" s="323" t="s">
        <v>2088</v>
      </c>
      <c r="O221" s="359">
        <v>44186</v>
      </c>
      <c r="P221" s="323" t="s">
        <v>3061</v>
      </c>
      <c r="Q221" s="323" t="s">
        <v>2829</v>
      </c>
      <c r="R221" s="381"/>
      <c r="S221" s="382">
        <f>Table1372[[#This Row],[DATE  CLOSED]]-Table1372[[#This Row],[INITIATION DATE]]</f>
        <v>7</v>
      </c>
    </row>
    <row r="222" spans="1:19" ht="25.35" customHeight="1" x14ac:dyDescent="0.2">
      <c r="A222" s="323" t="s">
        <v>5895</v>
      </c>
      <c r="B222" s="325">
        <v>44179</v>
      </c>
      <c r="C222" s="328" t="s">
        <v>5896</v>
      </c>
      <c r="D222" s="328" t="s">
        <v>3039</v>
      </c>
      <c r="E222" s="323" t="s">
        <v>2971</v>
      </c>
      <c r="F222" s="323">
        <v>1</v>
      </c>
      <c r="G222" s="323" t="s">
        <v>2841</v>
      </c>
      <c r="H222" s="323" t="s">
        <v>229</v>
      </c>
      <c r="I222" s="323" t="s">
        <v>4261</v>
      </c>
      <c r="J222" s="325">
        <v>44227</v>
      </c>
      <c r="K222" s="325"/>
      <c r="L222" s="325"/>
      <c r="M222" s="326" t="s">
        <v>2853</v>
      </c>
      <c r="N222" s="323"/>
      <c r="O222" s="359">
        <v>44195</v>
      </c>
      <c r="P222" s="326" t="s">
        <v>3061</v>
      </c>
      <c r="Q222" s="326" t="s">
        <v>4987</v>
      </c>
      <c r="R222" s="381"/>
      <c r="S222" s="382">
        <f>Table1372[[#This Row],[DATE  CLOSED]]-Table1372[[#This Row],[INITIATION DATE]]</f>
        <v>16</v>
      </c>
    </row>
    <row r="223" spans="1:19" ht="25.35" customHeight="1" x14ac:dyDescent="0.2">
      <c r="A223" s="323" t="s">
        <v>5897</v>
      </c>
      <c r="B223" s="325">
        <v>44179</v>
      </c>
      <c r="C223" s="328" t="s">
        <v>5899</v>
      </c>
      <c r="D223" s="328" t="s">
        <v>5900</v>
      </c>
      <c r="E223" s="323" t="s">
        <v>5898</v>
      </c>
      <c r="F223" s="323">
        <v>1</v>
      </c>
      <c r="G223" s="323" t="s">
        <v>2828</v>
      </c>
      <c r="H223" s="323" t="s">
        <v>3211</v>
      </c>
      <c r="I223" s="323" t="s">
        <v>615</v>
      </c>
      <c r="J223" s="325">
        <v>44196</v>
      </c>
      <c r="K223" s="325"/>
      <c r="L223" s="325"/>
      <c r="M223" s="323" t="s">
        <v>2853</v>
      </c>
      <c r="N223" s="323" t="s">
        <v>2088</v>
      </c>
      <c r="O223" s="359">
        <v>44187</v>
      </c>
      <c r="P223" s="323" t="s">
        <v>3061</v>
      </c>
      <c r="Q223" s="323" t="s">
        <v>2829</v>
      </c>
      <c r="R223" s="383" t="s">
        <v>5080</v>
      </c>
      <c r="S223" s="382">
        <f>Table1372[[#This Row],[DATE  CLOSED]]-Table1372[[#This Row],[INITIATION DATE]]</f>
        <v>8</v>
      </c>
    </row>
    <row r="224" spans="1:19" ht="25.35" customHeight="1" x14ac:dyDescent="0.2">
      <c r="A224" s="323" t="s">
        <v>5901</v>
      </c>
      <c r="B224" s="325">
        <v>44179</v>
      </c>
      <c r="C224" s="328" t="s">
        <v>5902</v>
      </c>
      <c r="D224" s="328" t="s">
        <v>5826</v>
      </c>
      <c r="E224" s="323" t="s">
        <v>2971</v>
      </c>
      <c r="F224" s="323">
        <v>1</v>
      </c>
      <c r="G224" s="323" t="s">
        <v>2841</v>
      </c>
      <c r="H224" s="323" t="s">
        <v>3211</v>
      </c>
      <c r="I224" s="323" t="s">
        <v>4021</v>
      </c>
      <c r="J224" s="325">
        <v>44196</v>
      </c>
      <c r="K224" s="325"/>
      <c r="L224" s="325"/>
      <c r="M224" s="323" t="s">
        <v>2853</v>
      </c>
      <c r="N224" s="323" t="s">
        <v>2088</v>
      </c>
      <c r="O224" s="359">
        <v>44196</v>
      </c>
      <c r="P224" s="323" t="s">
        <v>3061</v>
      </c>
      <c r="Q224" s="323" t="s">
        <v>2829</v>
      </c>
      <c r="R224" s="383" t="s">
        <v>5080</v>
      </c>
      <c r="S224" s="382">
        <f>Table1372[[#This Row],[DATE  CLOSED]]-Table1372[[#This Row],[INITIATION DATE]]</f>
        <v>17</v>
      </c>
    </row>
    <row r="225" spans="1:19" ht="25.35" customHeight="1" x14ac:dyDescent="0.2">
      <c r="A225" s="323" t="s">
        <v>5903</v>
      </c>
      <c r="B225" s="325">
        <v>44181</v>
      </c>
      <c r="C225" s="328" t="s">
        <v>5904</v>
      </c>
      <c r="D225" s="328" t="s">
        <v>5905</v>
      </c>
      <c r="E225" s="323" t="s">
        <v>2971</v>
      </c>
      <c r="F225" s="323">
        <v>1</v>
      </c>
      <c r="G225" s="323" t="s">
        <v>2840</v>
      </c>
      <c r="H225" s="323" t="s">
        <v>814</v>
      </c>
      <c r="I225" s="323" t="s">
        <v>229</v>
      </c>
      <c r="J225" s="325">
        <v>44255</v>
      </c>
      <c r="K225" s="325"/>
      <c r="L225" s="325"/>
      <c r="M225" s="326" t="s">
        <v>2853</v>
      </c>
      <c r="N225" s="323"/>
      <c r="O225" s="359">
        <v>44181</v>
      </c>
      <c r="P225" s="326" t="s">
        <v>3061</v>
      </c>
      <c r="Q225" s="326" t="s">
        <v>4987</v>
      </c>
      <c r="R225" s="383"/>
      <c r="S225" s="382">
        <f>Table1372[[#This Row],[DATE  CLOSED]]-Table1372[[#This Row],[INITIATION DATE]]</f>
        <v>0</v>
      </c>
    </row>
    <row r="226" spans="1:19" ht="25.35" customHeight="1" x14ac:dyDescent="0.2">
      <c r="A226" s="326" t="s">
        <v>6116</v>
      </c>
      <c r="B226" s="325">
        <v>44182</v>
      </c>
      <c r="C226" s="328" t="s">
        <v>5906</v>
      </c>
      <c r="D226" s="328" t="s">
        <v>3039</v>
      </c>
      <c r="E226" s="323" t="s">
        <v>2971</v>
      </c>
      <c r="F226" s="323">
        <v>1</v>
      </c>
      <c r="G226" s="323" t="s">
        <v>2841</v>
      </c>
      <c r="H226" s="323" t="s">
        <v>229</v>
      </c>
      <c r="I226" s="323" t="s">
        <v>4261</v>
      </c>
      <c r="J226" s="325">
        <v>44227</v>
      </c>
      <c r="K226" s="325">
        <v>44255</v>
      </c>
      <c r="L226" s="325">
        <v>44286</v>
      </c>
      <c r="M226" s="326" t="s">
        <v>2853</v>
      </c>
      <c r="N226" s="323"/>
      <c r="O226" s="359">
        <v>44288</v>
      </c>
      <c r="P226" s="326" t="s">
        <v>3022</v>
      </c>
      <c r="Q226" s="326" t="s">
        <v>6082</v>
      </c>
      <c r="R226" s="335" t="s">
        <v>6117</v>
      </c>
      <c r="S226" s="382">
        <f>Table1372[[#This Row],[DATE  CLOSED]]-Table1372[[#This Row],[INITIATION DATE]]</f>
        <v>106</v>
      </c>
    </row>
    <row r="227" spans="1:19" ht="25.35" customHeight="1" x14ac:dyDescent="0.2">
      <c r="A227" s="323" t="s">
        <v>5907</v>
      </c>
      <c r="B227" s="325">
        <v>44186</v>
      </c>
      <c r="C227" s="329" t="s">
        <v>5908</v>
      </c>
      <c r="D227" s="329" t="s">
        <v>3039</v>
      </c>
      <c r="E227" s="326" t="s">
        <v>2971</v>
      </c>
      <c r="F227" s="323">
        <v>1</v>
      </c>
      <c r="G227" s="326" t="s">
        <v>2841</v>
      </c>
      <c r="H227" s="326" t="s">
        <v>229</v>
      </c>
      <c r="I227" s="326" t="s">
        <v>4261</v>
      </c>
      <c r="J227" s="325">
        <v>44227</v>
      </c>
      <c r="K227" s="325"/>
      <c r="L227" s="325"/>
      <c r="M227" s="326" t="s">
        <v>2853</v>
      </c>
      <c r="N227" s="323" t="s">
        <v>2088</v>
      </c>
      <c r="O227" s="359">
        <v>44215</v>
      </c>
      <c r="P227" s="323" t="s">
        <v>3061</v>
      </c>
      <c r="Q227" s="323" t="s">
        <v>5991</v>
      </c>
      <c r="R227" s="384" t="s">
        <v>5080</v>
      </c>
      <c r="S227" s="382">
        <f>Table1372[[#This Row],[DATE  CLOSED]]-Table1372[[#This Row],[INITIATION DATE]]</f>
        <v>29</v>
      </c>
    </row>
    <row r="228" spans="1:19" ht="25.35" customHeight="1" x14ac:dyDescent="0.2">
      <c r="A228" s="323" t="s">
        <v>5909</v>
      </c>
      <c r="B228" s="325">
        <v>44188</v>
      </c>
      <c r="C228" s="328" t="s">
        <v>5910</v>
      </c>
      <c r="D228" s="328" t="s">
        <v>5911</v>
      </c>
      <c r="E228" s="323" t="s">
        <v>2971</v>
      </c>
      <c r="F228" s="323">
        <v>1</v>
      </c>
      <c r="G228" s="323" t="s">
        <v>2836</v>
      </c>
      <c r="H228" s="323" t="s">
        <v>3423</v>
      </c>
      <c r="I228" s="323" t="s">
        <v>3211</v>
      </c>
      <c r="J228" s="325">
        <v>44227</v>
      </c>
      <c r="K228" s="325"/>
      <c r="L228" s="325"/>
      <c r="M228" s="323" t="s">
        <v>2853</v>
      </c>
      <c r="N228" s="323" t="s">
        <v>2088</v>
      </c>
      <c r="O228" s="359">
        <v>44188</v>
      </c>
      <c r="P228" s="323" t="s">
        <v>3061</v>
      </c>
      <c r="Q228" s="323" t="s">
        <v>2829</v>
      </c>
      <c r="R228" s="384" t="s">
        <v>5080</v>
      </c>
      <c r="S228" s="382">
        <f>Table1372[[#This Row],[DATE  CLOSED]]-Table1372[[#This Row],[INITIATION DATE]]</f>
        <v>0</v>
      </c>
    </row>
    <row r="229" spans="1:19" ht="25.35" customHeight="1" x14ac:dyDescent="0.2">
      <c r="A229" s="323"/>
      <c r="B229" s="325"/>
      <c r="C229" s="328"/>
      <c r="D229" s="328"/>
      <c r="E229" s="323"/>
      <c r="F229" s="323"/>
      <c r="G229" s="323"/>
      <c r="H229" s="323"/>
      <c r="I229" s="323"/>
      <c r="J229" s="325"/>
      <c r="K229" s="325"/>
      <c r="L229" s="325"/>
      <c r="M229" s="323"/>
      <c r="N229" s="323"/>
      <c r="O229" s="359"/>
      <c r="P229" s="323"/>
      <c r="Q229" s="323"/>
      <c r="R229" s="384"/>
      <c r="S229" s="382">
        <f>Table1372[[#This Row],[DATE  CLOSED]]-Table1372[[#This Row],[INITIATION DATE]]</f>
        <v>0</v>
      </c>
    </row>
    <row r="230" spans="1:19" ht="25.35" customHeight="1" x14ac:dyDescent="0.2">
      <c r="A230" s="323"/>
      <c r="B230" s="325"/>
      <c r="C230" s="328"/>
      <c r="D230" s="328"/>
      <c r="E230" s="323"/>
      <c r="F230" s="323"/>
      <c r="G230" s="323"/>
      <c r="H230" s="323"/>
      <c r="I230" s="323"/>
      <c r="J230" s="325"/>
      <c r="K230" s="325"/>
      <c r="L230" s="325"/>
      <c r="M230" s="323"/>
      <c r="N230" s="323"/>
      <c r="O230" s="359"/>
      <c r="P230" s="323"/>
      <c r="Q230" s="323"/>
      <c r="R230" s="385"/>
      <c r="S230" s="382">
        <f>Table1372[[#This Row],[DATE  CLOSED]]-Table1372[[#This Row],[INITIATION DATE]]</f>
        <v>0</v>
      </c>
    </row>
  </sheetData>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200-000000000000}">
          <x14:formula1>
            <xm:f>DropDownLists!$A$2:$A$3</xm:f>
          </x14:formula1>
          <xm:sqref>F2:F230</xm:sqref>
        </x14:dataValidation>
        <x14:dataValidation type="list" allowBlank="1" showInputMessage="1" showErrorMessage="1" xr:uid="{00000000-0002-0000-0200-000001000000}">
          <x14:formula1>
            <xm:f>DropDownLists!$B$2:$B$8</xm:f>
          </x14:formula1>
          <xm:sqref>G2:G1048576</xm:sqref>
        </x14:dataValidation>
        <x14:dataValidation type="list" allowBlank="1" showInputMessage="1" showErrorMessage="1" xr:uid="{00000000-0002-0000-0200-000002000000}">
          <x14:formula1>
            <xm:f>DropDownLists!$D$2:$D$4</xm:f>
          </x14:formula1>
          <xm:sqref>N2:N1048576</xm:sqref>
        </x14:dataValidation>
        <x14:dataValidation type="list" allowBlank="1" showInputMessage="1" showErrorMessage="1" xr:uid="{00000000-0002-0000-0200-000003000000}">
          <x14:formula1>
            <xm:f>DropDownLists!$E$2:$E$4</xm:f>
          </x14:formula1>
          <xm:sqref>P2:P1048576</xm:sqref>
        </x14:dataValidation>
        <x14:dataValidation type="list" allowBlank="1" showInputMessage="1" showErrorMessage="1" xr:uid="{00000000-0002-0000-0200-000004000000}">
          <x14:formula1>
            <xm:f>DropDownLists!$C$2:$C$4</xm:f>
          </x14:formula1>
          <xm:sqref>M2:M230</xm:sqref>
        </x14:dataValidation>
        <x14:dataValidation type="list" allowBlank="1" showInputMessage="1" showErrorMessage="1" xr:uid="{00000000-0002-0000-0200-000005000000}">
          <x14:formula1>
            <xm:f>DropDownLists!$F$2:$F$7</xm:f>
          </x14:formula1>
          <xm:sqref>Q2:Q1048576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S215"/>
  <sheetViews>
    <sheetView workbookViewId="0">
      <pane xSplit="1" topLeftCell="B1" activePane="topRight" state="frozen"/>
      <selection pane="topRight" activeCell="A2" sqref="A2:S198"/>
    </sheetView>
  </sheetViews>
  <sheetFormatPr defaultRowHeight="12.75" x14ac:dyDescent="0.2"/>
  <cols>
    <col min="1" max="1" width="10.5703125" bestFit="1" customWidth="1"/>
    <col min="2" max="2" width="18.5703125" customWidth="1"/>
    <col min="3" max="3" width="56.42578125" customWidth="1"/>
    <col min="4" max="4" width="46.5703125" customWidth="1"/>
    <col min="5" max="5" width="21.5703125" customWidth="1"/>
    <col min="6" max="6" width="10.42578125" bestFit="1" customWidth="1"/>
    <col min="7" max="7" width="24.5703125" customWidth="1"/>
    <col min="8" max="9" width="13.5703125" bestFit="1" customWidth="1"/>
    <col min="10" max="10" width="15.42578125" style="15" customWidth="1"/>
    <col min="11" max="12" width="12.5703125" bestFit="1" customWidth="1"/>
    <col min="13" max="13" width="13.5703125" bestFit="1" customWidth="1"/>
    <col min="14" max="15" width="12.5703125" bestFit="1" customWidth="1"/>
    <col min="16" max="16" width="14.42578125" customWidth="1"/>
    <col min="17" max="17" width="13.42578125" bestFit="1" customWidth="1"/>
    <col min="18" max="18" width="17.5703125" customWidth="1"/>
  </cols>
  <sheetData>
    <row r="1" spans="1:19" ht="27" x14ac:dyDescent="0.2">
      <c r="A1" s="351" t="s">
        <v>2808</v>
      </c>
      <c r="B1" s="320" t="s">
        <v>2809</v>
      </c>
      <c r="C1" s="319" t="s">
        <v>2810</v>
      </c>
      <c r="D1" s="319" t="s">
        <v>2811</v>
      </c>
      <c r="E1" s="319" t="s">
        <v>2812</v>
      </c>
      <c r="F1" s="319" t="s">
        <v>3408</v>
      </c>
      <c r="G1" s="319" t="s">
        <v>2814</v>
      </c>
      <c r="H1" s="319" t="s">
        <v>2815</v>
      </c>
      <c r="I1" s="319" t="s">
        <v>2816</v>
      </c>
      <c r="J1" s="320" t="s">
        <v>2817</v>
      </c>
      <c r="K1" s="320" t="s">
        <v>5011</v>
      </c>
      <c r="L1" s="320" t="s">
        <v>5012</v>
      </c>
      <c r="M1" s="319" t="s">
        <v>2818</v>
      </c>
      <c r="N1" s="321" t="s">
        <v>2819</v>
      </c>
      <c r="O1" s="322" t="s">
        <v>2820</v>
      </c>
      <c r="P1" s="321" t="s">
        <v>2821</v>
      </c>
      <c r="Q1" s="321" t="s">
        <v>2822</v>
      </c>
      <c r="R1" s="201" t="s">
        <v>2823</v>
      </c>
      <c r="S1" s="321" t="s">
        <v>4213</v>
      </c>
    </row>
    <row r="2" spans="1:19" ht="25.35" customHeight="1" x14ac:dyDescent="0.2">
      <c r="A2" s="346" t="s">
        <v>4698</v>
      </c>
      <c r="B2" s="325">
        <v>43468</v>
      </c>
      <c r="C2" s="328" t="s">
        <v>4701</v>
      </c>
      <c r="D2" s="329" t="s">
        <v>4702</v>
      </c>
      <c r="E2" s="323" t="s">
        <v>2971</v>
      </c>
      <c r="F2" s="323">
        <v>1</v>
      </c>
      <c r="G2" s="323" t="s">
        <v>2836</v>
      </c>
      <c r="H2" s="323" t="s">
        <v>727</v>
      </c>
      <c r="I2" s="323" t="s">
        <v>229</v>
      </c>
      <c r="J2" s="325">
        <v>43475</v>
      </c>
      <c r="K2" s="325"/>
      <c r="L2" s="325"/>
      <c r="M2" s="323" t="s">
        <v>2853</v>
      </c>
      <c r="N2" s="323" t="s">
        <v>2088</v>
      </c>
      <c r="O2" s="359">
        <v>43468</v>
      </c>
      <c r="P2" s="323" t="s">
        <v>3061</v>
      </c>
      <c r="Q2" s="323" t="s">
        <v>2829</v>
      </c>
      <c r="R2" s="337"/>
      <c r="S2" s="323">
        <f>Table137[[#This Row],[DATE  CLOSED]]-Table137[[#This Row],[INITIATION DATE]]</f>
        <v>0</v>
      </c>
    </row>
    <row r="3" spans="1:19" ht="25.35" customHeight="1" x14ac:dyDescent="0.2">
      <c r="A3" s="349" t="s">
        <v>4703</v>
      </c>
      <c r="B3" s="325">
        <v>43469</v>
      </c>
      <c r="C3" s="328" t="s">
        <v>4704</v>
      </c>
      <c r="D3" s="328" t="s">
        <v>4705</v>
      </c>
      <c r="E3" s="323" t="s">
        <v>3667</v>
      </c>
      <c r="F3" s="323">
        <v>1</v>
      </c>
      <c r="G3" s="323" t="s">
        <v>2828</v>
      </c>
      <c r="H3" s="323" t="s">
        <v>4079</v>
      </c>
      <c r="I3" s="323" t="s">
        <v>3211</v>
      </c>
      <c r="J3" s="325">
        <v>43504</v>
      </c>
      <c r="K3" s="325"/>
      <c r="L3" s="325"/>
      <c r="M3" s="326" t="s">
        <v>2853</v>
      </c>
      <c r="N3" s="326" t="s">
        <v>2088</v>
      </c>
      <c r="O3" s="359">
        <v>43480</v>
      </c>
      <c r="P3" s="326" t="s">
        <v>3061</v>
      </c>
      <c r="Q3" s="326" t="s">
        <v>2829</v>
      </c>
      <c r="R3" s="337"/>
      <c r="S3" s="323">
        <f>Table137[[#This Row],[DATE  CLOSED]]-Table137[[#This Row],[INITIATION DATE]]</f>
        <v>11</v>
      </c>
    </row>
    <row r="4" spans="1:19" ht="25.35" customHeight="1" x14ac:dyDescent="0.2">
      <c r="A4" s="349" t="s">
        <v>4706</v>
      </c>
      <c r="B4" s="325">
        <v>43472</v>
      </c>
      <c r="C4" s="328" t="s">
        <v>4707</v>
      </c>
      <c r="D4" s="328" t="s">
        <v>3606</v>
      </c>
      <c r="E4" s="323" t="s">
        <v>4208</v>
      </c>
      <c r="F4" s="323">
        <v>1</v>
      </c>
      <c r="G4" s="323" t="s">
        <v>2828</v>
      </c>
      <c r="H4" s="323" t="s">
        <v>4232</v>
      </c>
      <c r="I4" s="323" t="s">
        <v>3211</v>
      </c>
      <c r="J4" s="325">
        <v>43503</v>
      </c>
      <c r="K4" s="325"/>
      <c r="L4" s="325"/>
      <c r="M4" s="323" t="s">
        <v>2853</v>
      </c>
      <c r="N4" s="323" t="s">
        <v>2088</v>
      </c>
      <c r="O4" s="359">
        <v>43474</v>
      </c>
      <c r="P4" s="323" t="s">
        <v>3061</v>
      </c>
      <c r="Q4" s="323" t="s">
        <v>2829</v>
      </c>
      <c r="R4" s="337"/>
      <c r="S4" s="323">
        <f>Table137[[#This Row],[DATE  CLOSED]]-Table137[[#This Row],[INITIATION DATE]]</f>
        <v>2</v>
      </c>
    </row>
    <row r="5" spans="1:19" ht="25.35" customHeight="1" x14ac:dyDescent="0.2">
      <c r="A5" s="349" t="s">
        <v>4708</v>
      </c>
      <c r="B5" s="325">
        <v>43473</v>
      </c>
      <c r="C5" s="328" t="s">
        <v>4709</v>
      </c>
      <c r="D5" s="328" t="s">
        <v>4702</v>
      </c>
      <c r="E5" s="323" t="s">
        <v>2971</v>
      </c>
      <c r="F5" s="323">
        <v>1</v>
      </c>
      <c r="G5" s="323" t="s">
        <v>2836</v>
      </c>
      <c r="H5" s="323" t="s">
        <v>685</v>
      </c>
      <c r="I5" s="323" t="s">
        <v>229</v>
      </c>
      <c r="J5" s="325">
        <v>43496</v>
      </c>
      <c r="K5" s="325">
        <v>44012</v>
      </c>
      <c r="L5" s="325">
        <v>44561</v>
      </c>
      <c r="M5" s="323" t="s">
        <v>2847</v>
      </c>
      <c r="N5" s="323" t="s">
        <v>2912</v>
      </c>
      <c r="O5" s="359"/>
      <c r="P5" s="323"/>
      <c r="Q5" s="323"/>
      <c r="R5" s="337"/>
      <c r="S5" s="323">
        <f>Table137[[#This Row],[DATE  CLOSED]]-Table137[[#This Row],[INITIATION DATE]]</f>
        <v>-43473</v>
      </c>
    </row>
    <row r="6" spans="1:19" ht="25.35" customHeight="1" x14ac:dyDescent="0.2">
      <c r="A6" s="346" t="s">
        <v>4710</v>
      </c>
      <c r="B6" s="325">
        <v>43474</v>
      </c>
      <c r="C6" s="329" t="s">
        <v>4711</v>
      </c>
      <c r="D6" s="329" t="s">
        <v>3606</v>
      </c>
      <c r="E6" s="326" t="s">
        <v>4631</v>
      </c>
      <c r="F6" s="323">
        <v>1</v>
      </c>
      <c r="G6" s="326" t="s">
        <v>2828</v>
      </c>
      <c r="H6" s="326" t="s">
        <v>3423</v>
      </c>
      <c r="I6" s="326" t="s">
        <v>3211</v>
      </c>
      <c r="J6" s="325" t="s">
        <v>2088</v>
      </c>
      <c r="K6" s="325"/>
      <c r="L6" s="325"/>
      <c r="M6" s="326" t="s">
        <v>2853</v>
      </c>
      <c r="N6" s="323" t="s">
        <v>2088</v>
      </c>
      <c r="O6" s="359" t="s">
        <v>2088</v>
      </c>
      <c r="P6" s="323" t="s">
        <v>2088</v>
      </c>
      <c r="Q6" s="323" t="s">
        <v>2837</v>
      </c>
      <c r="R6" s="337" t="s">
        <v>4993</v>
      </c>
      <c r="S6" s="323" t="e">
        <f>Table137[[#This Row],[DATE  CLOSED]]-Table137[[#This Row],[INITIATION DATE]]</f>
        <v>#VALUE!</v>
      </c>
    </row>
    <row r="7" spans="1:19" ht="25.35" customHeight="1" x14ac:dyDescent="0.2">
      <c r="A7" s="346" t="s">
        <v>4712</v>
      </c>
      <c r="B7" s="327">
        <v>43476</v>
      </c>
      <c r="C7" s="328" t="s">
        <v>4714</v>
      </c>
      <c r="D7" s="328" t="s">
        <v>4713</v>
      </c>
      <c r="E7" s="326" t="s">
        <v>2971</v>
      </c>
      <c r="F7" s="323">
        <v>1</v>
      </c>
      <c r="G7" s="326" t="s">
        <v>2836</v>
      </c>
      <c r="H7" s="326" t="s">
        <v>2176</v>
      </c>
      <c r="I7" s="326" t="s">
        <v>3211</v>
      </c>
      <c r="J7" s="325">
        <v>43525</v>
      </c>
      <c r="K7" s="325"/>
      <c r="L7" s="325"/>
      <c r="M7" s="326" t="s">
        <v>2853</v>
      </c>
      <c r="N7" s="326" t="s">
        <v>2088</v>
      </c>
      <c r="O7" s="359">
        <v>43511</v>
      </c>
      <c r="P7" s="326" t="s">
        <v>3061</v>
      </c>
      <c r="Q7" s="326" t="s">
        <v>2829</v>
      </c>
      <c r="R7" s="337"/>
      <c r="S7" s="323">
        <f>Table137[[#This Row],[DATE  CLOSED]]-Table137[[#This Row],[INITIATION DATE]]</f>
        <v>35</v>
      </c>
    </row>
    <row r="8" spans="1:19" ht="25.35" customHeight="1" x14ac:dyDescent="0.2">
      <c r="A8" s="346" t="s">
        <v>4715</v>
      </c>
      <c r="B8" s="325">
        <v>43476</v>
      </c>
      <c r="C8" s="328" t="s">
        <v>4716</v>
      </c>
      <c r="D8" s="329" t="s">
        <v>4717</v>
      </c>
      <c r="E8" s="326" t="s">
        <v>3969</v>
      </c>
      <c r="F8" s="323">
        <v>1</v>
      </c>
      <c r="G8" s="326" t="s">
        <v>2828</v>
      </c>
      <c r="H8" s="326" t="s">
        <v>3423</v>
      </c>
      <c r="I8" s="326" t="s">
        <v>3211</v>
      </c>
      <c r="J8" s="325">
        <v>43653</v>
      </c>
      <c r="K8" s="325"/>
      <c r="L8" s="325"/>
      <c r="M8" s="326" t="s">
        <v>2853</v>
      </c>
      <c r="N8" s="323" t="s">
        <v>2088</v>
      </c>
      <c r="O8" s="359">
        <v>43642</v>
      </c>
      <c r="P8" s="323" t="s">
        <v>3061</v>
      </c>
      <c r="Q8" s="323" t="s">
        <v>2835</v>
      </c>
      <c r="R8" s="337"/>
      <c r="S8" s="323">
        <f>Table137[[#This Row],[DATE  CLOSED]]-Table137[[#This Row],[INITIATION DATE]]</f>
        <v>166</v>
      </c>
    </row>
    <row r="9" spans="1:19" ht="25.35" customHeight="1" x14ac:dyDescent="0.2">
      <c r="A9" s="346" t="s">
        <v>4718</v>
      </c>
      <c r="B9" s="325">
        <v>43476</v>
      </c>
      <c r="C9" s="329" t="s">
        <v>4719</v>
      </c>
      <c r="D9" s="329" t="s">
        <v>3606</v>
      </c>
      <c r="E9" s="326" t="s">
        <v>3921</v>
      </c>
      <c r="F9" s="323">
        <v>1</v>
      </c>
      <c r="G9" s="326" t="s">
        <v>2828</v>
      </c>
      <c r="H9" s="326" t="s">
        <v>4163</v>
      </c>
      <c r="I9" s="326" t="s">
        <v>3211</v>
      </c>
      <c r="J9" s="325">
        <v>43756</v>
      </c>
      <c r="K9" s="325">
        <v>43830</v>
      </c>
      <c r="L9" s="325"/>
      <c r="M9" s="326" t="s">
        <v>1056</v>
      </c>
      <c r="N9" s="323" t="s">
        <v>3061</v>
      </c>
      <c r="O9" s="359">
        <v>43966</v>
      </c>
      <c r="P9" s="323" t="s">
        <v>3022</v>
      </c>
      <c r="Q9" s="323" t="s">
        <v>2839</v>
      </c>
      <c r="R9" s="337"/>
      <c r="S9" s="323">
        <f>Table137[[#This Row],[DATE  CLOSED]]-Table137[[#This Row],[INITIATION DATE]]</f>
        <v>490</v>
      </c>
    </row>
    <row r="10" spans="1:19" ht="25.35" customHeight="1" x14ac:dyDescent="0.2">
      <c r="A10" s="346" t="s">
        <v>4720</v>
      </c>
      <c r="B10" s="325">
        <v>43479</v>
      </c>
      <c r="C10" s="328" t="s">
        <v>4721</v>
      </c>
      <c r="D10" s="328" t="s">
        <v>4722</v>
      </c>
      <c r="E10" s="323" t="s">
        <v>3586</v>
      </c>
      <c r="F10" s="323">
        <v>1</v>
      </c>
      <c r="G10" s="323" t="s">
        <v>2841</v>
      </c>
      <c r="H10" s="323" t="s">
        <v>685</v>
      </c>
      <c r="I10" s="323" t="s">
        <v>755</v>
      </c>
      <c r="J10" s="325">
        <v>43496</v>
      </c>
      <c r="K10" s="325"/>
      <c r="L10" s="325"/>
      <c r="M10" s="326" t="s">
        <v>2853</v>
      </c>
      <c r="N10" s="326" t="s">
        <v>2088</v>
      </c>
      <c r="O10" s="359">
        <v>43494</v>
      </c>
      <c r="P10" s="326" t="s">
        <v>3061</v>
      </c>
      <c r="Q10" s="326" t="s">
        <v>2829</v>
      </c>
      <c r="R10" s="337"/>
      <c r="S10" s="323">
        <f>Table137[[#This Row],[DATE  CLOSED]]-Table137[[#This Row],[INITIATION DATE]]</f>
        <v>15</v>
      </c>
    </row>
    <row r="11" spans="1:19" ht="25.35" customHeight="1" x14ac:dyDescent="0.2">
      <c r="A11" s="346" t="s">
        <v>4723</v>
      </c>
      <c r="B11" s="325">
        <v>43480</v>
      </c>
      <c r="C11" s="328" t="s">
        <v>4724</v>
      </c>
      <c r="D11" s="328" t="s">
        <v>4725</v>
      </c>
      <c r="E11" s="323" t="s">
        <v>4208</v>
      </c>
      <c r="F11" s="323">
        <v>1</v>
      </c>
      <c r="G11" s="323" t="s">
        <v>2828</v>
      </c>
      <c r="H11" s="323" t="s">
        <v>4232</v>
      </c>
      <c r="I11" s="323" t="s">
        <v>3926</v>
      </c>
      <c r="J11" s="325">
        <v>43496</v>
      </c>
      <c r="K11" s="325"/>
      <c r="L11" s="325"/>
      <c r="M11" s="323" t="s">
        <v>2853</v>
      </c>
      <c r="N11" s="323" t="s">
        <v>2088</v>
      </c>
      <c r="O11" s="359">
        <v>43483</v>
      </c>
      <c r="P11" s="323" t="s">
        <v>3061</v>
      </c>
      <c r="Q11" s="323" t="s">
        <v>2829</v>
      </c>
      <c r="R11" s="337"/>
      <c r="S11" s="323">
        <f>Table137[[#This Row],[DATE  CLOSED]]-Table137[[#This Row],[INITIATION DATE]]</f>
        <v>3</v>
      </c>
    </row>
    <row r="12" spans="1:19" ht="25.35" customHeight="1" x14ac:dyDescent="0.2">
      <c r="A12" s="349" t="s">
        <v>4726</v>
      </c>
      <c r="B12" s="325">
        <v>43480</v>
      </c>
      <c r="C12" s="329" t="s">
        <v>4734</v>
      </c>
      <c r="D12" s="329" t="s">
        <v>4729</v>
      </c>
      <c r="E12" s="326" t="s">
        <v>4256</v>
      </c>
      <c r="F12" s="323">
        <v>1</v>
      </c>
      <c r="G12" s="326" t="s">
        <v>2828</v>
      </c>
      <c r="H12" s="326" t="s">
        <v>4232</v>
      </c>
      <c r="I12" s="326" t="s">
        <v>3211</v>
      </c>
      <c r="J12" s="325">
        <v>43570</v>
      </c>
      <c r="K12" s="325"/>
      <c r="L12" s="325"/>
      <c r="M12" s="326" t="s">
        <v>2853</v>
      </c>
      <c r="N12" s="323" t="s">
        <v>2088</v>
      </c>
      <c r="O12" s="359">
        <v>43500</v>
      </c>
      <c r="P12" s="323" t="s">
        <v>3061</v>
      </c>
      <c r="Q12" s="323" t="s">
        <v>2829</v>
      </c>
      <c r="R12" s="337"/>
      <c r="S12" s="323">
        <f>Table137[[#This Row],[DATE  CLOSED]]-Table137[[#This Row],[INITIATION DATE]]</f>
        <v>20</v>
      </c>
    </row>
    <row r="13" spans="1:19" ht="25.35" customHeight="1" x14ac:dyDescent="0.2">
      <c r="A13" s="346" t="s">
        <v>4727</v>
      </c>
      <c r="B13" s="325">
        <v>43480</v>
      </c>
      <c r="C13" s="329" t="s">
        <v>4728</v>
      </c>
      <c r="D13" s="329" t="s">
        <v>4730</v>
      </c>
      <c r="E13" s="326" t="s">
        <v>4242</v>
      </c>
      <c r="F13" s="323">
        <v>1</v>
      </c>
      <c r="G13" s="326" t="s">
        <v>2828</v>
      </c>
      <c r="H13" s="326" t="s">
        <v>4232</v>
      </c>
      <c r="I13" s="326" t="s">
        <v>3211</v>
      </c>
      <c r="J13" s="325">
        <v>43570</v>
      </c>
      <c r="K13" s="325"/>
      <c r="L13" s="325"/>
      <c r="M13" s="326" t="s">
        <v>2853</v>
      </c>
      <c r="N13" s="323" t="s">
        <v>2088</v>
      </c>
      <c r="O13" s="359">
        <v>43487</v>
      </c>
      <c r="P13" s="323" t="s">
        <v>3061</v>
      </c>
      <c r="Q13" s="323" t="s">
        <v>2829</v>
      </c>
      <c r="R13" s="337"/>
      <c r="S13" s="323">
        <f>Table137[[#This Row],[DATE  CLOSED]]-Table137[[#This Row],[INITIATION DATE]]</f>
        <v>7</v>
      </c>
    </row>
    <row r="14" spans="1:19" ht="25.35" customHeight="1" x14ac:dyDescent="0.2">
      <c r="A14" s="346" t="s">
        <v>4731</v>
      </c>
      <c r="B14" s="325">
        <v>43482</v>
      </c>
      <c r="C14" s="329" t="s">
        <v>4732</v>
      </c>
      <c r="D14" s="329" t="s">
        <v>3606</v>
      </c>
      <c r="E14" s="326" t="s">
        <v>4733</v>
      </c>
      <c r="F14" s="323">
        <v>1</v>
      </c>
      <c r="G14" s="326" t="s">
        <v>2828</v>
      </c>
      <c r="H14" s="326" t="s">
        <v>4021</v>
      </c>
      <c r="I14" s="326" t="s">
        <v>3211</v>
      </c>
      <c r="J14" s="325">
        <v>43504</v>
      </c>
      <c r="K14" s="325"/>
      <c r="L14" s="325"/>
      <c r="M14" s="326" t="s">
        <v>2853</v>
      </c>
      <c r="N14" s="326" t="s">
        <v>2088</v>
      </c>
      <c r="O14" s="359">
        <v>43500</v>
      </c>
      <c r="P14" s="326" t="s">
        <v>3061</v>
      </c>
      <c r="Q14" s="326" t="s">
        <v>2829</v>
      </c>
      <c r="R14" s="337"/>
      <c r="S14" s="323">
        <f>Table137[[#This Row],[DATE  CLOSED]]-Table137[[#This Row],[INITIATION DATE]]</f>
        <v>18</v>
      </c>
    </row>
    <row r="15" spans="1:19" ht="25.35" customHeight="1" x14ac:dyDescent="0.2">
      <c r="A15" s="346" t="s">
        <v>4740</v>
      </c>
      <c r="B15" s="325">
        <v>43490</v>
      </c>
      <c r="C15" s="328" t="s">
        <v>4741</v>
      </c>
      <c r="D15" s="328" t="s">
        <v>4742</v>
      </c>
      <c r="E15" s="323" t="s">
        <v>2971</v>
      </c>
      <c r="F15" s="323">
        <v>1</v>
      </c>
      <c r="G15" s="323" t="s">
        <v>2841</v>
      </c>
      <c r="H15" s="323" t="s">
        <v>3991</v>
      </c>
      <c r="I15" s="323" t="s">
        <v>229</v>
      </c>
      <c r="J15" s="325">
        <v>43524</v>
      </c>
      <c r="K15" s="325"/>
      <c r="L15" s="325"/>
      <c r="M15" s="326" t="s">
        <v>2853</v>
      </c>
      <c r="N15" s="326" t="s">
        <v>2088</v>
      </c>
      <c r="O15" s="359">
        <v>43507</v>
      </c>
      <c r="P15" s="326" t="s">
        <v>3061</v>
      </c>
      <c r="Q15" s="326" t="s">
        <v>2829</v>
      </c>
      <c r="R15" s="337"/>
      <c r="S15" s="323">
        <f>Table137[[#This Row],[DATE  CLOSED]]-Table137[[#This Row],[INITIATION DATE]]</f>
        <v>17</v>
      </c>
    </row>
    <row r="16" spans="1:19" ht="25.35" customHeight="1" x14ac:dyDescent="0.2">
      <c r="A16" s="349" t="s">
        <v>4743</v>
      </c>
      <c r="B16" s="325">
        <v>43490</v>
      </c>
      <c r="C16" s="328" t="s">
        <v>4757</v>
      </c>
      <c r="D16" s="329" t="s">
        <v>3307</v>
      </c>
      <c r="E16" s="326" t="s">
        <v>2971</v>
      </c>
      <c r="F16" s="323">
        <v>1</v>
      </c>
      <c r="G16" s="326" t="s">
        <v>2836</v>
      </c>
      <c r="H16" s="326" t="s">
        <v>834</v>
      </c>
      <c r="I16" s="326" t="s">
        <v>229</v>
      </c>
      <c r="J16" s="325">
        <v>43616</v>
      </c>
      <c r="K16" s="325"/>
      <c r="L16" s="325"/>
      <c r="M16" s="326" t="s">
        <v>2853</v>
      </c>
      <c r="N16" s="326" t="s">
        <v>3022</v>
      </c>
      <c r="O16" s="360">
        <v>43580</v>
      </c>
      <c r="P16" s="326" t="s">
        <v>3061</v>
      </c>
      <c r="Q16" s="326" t="s">
        <v>2832</v>
      </c>
      <c r="R16" s="337"/>
      <c r="S16" s="323">
        <f>Table137[[#This Row],[DATE  CLOSED]]-Table137[[#This Row],[INITIATION DATE]]</f>
        <v>90</v>
      </c>
    </row>
    <row r="17" spans="1:19" ht="25.35" customHeight="1" x14ac:dyDescent="0.2">
      <c r="A17" s="349" t="s">
        <v>4744</v>
      </c>
      <c r="B17" s="325">
        <v>43496</v>
      </c>
      <c r="C17" s="328" t="s">
        <v>4747</v>
      </c>
      <c r="D17" s="328" t="s">
        <v>4746</v>
      </c>
      <c r="E17" s="323" t="s">
        <v>2971</v>
      </c>
      <c r="F17" s="323">
        <v>1</v>
      </c>
      <c r="G17" s="323" t="s">
        <v>2836</v>
      </c>
      <c r="H17" s="323" t="s">
        <v>1339</v>
      </c>
      <c r="I17" s="323" t="s">
        <v>229</v>
      </c>
      <c r="J17" s="325">
        <v>43524</v>
      </c>
      <c r="K17" s="325"/>
      <c r="L17" s="325"/>
      <c r="M17" s="326" t="s">
        <v>2853</v>
      </c>
      <c r="N17" s="326" t="s">
        <v>2088</v>
      </c>
      <c r="O17" s="359">
        <v>43511</v>
      </c>
      <c r="P17" s="326" t="s">
        <v>3061</v>
      </c>
      <c r="Q17" s="326" t="s">
        <v>2829</v>
      </c>
      <c r="R17" s="337"/>
      <c r="S17" s="323">
        <f>Table137[[#This Row],[DATE  CLOSED]]-Table137[[#This Row],[INITIATION DATE]]</f>
        <v>15</v>
      </c>
    </row>
    <row r="18" spans="1:19" ht="25.35" customHeight="1" x14ac:dyDescent="0.2">
      <c r="A18" s="349" t="s">
        <v>4745</v>
      </c>
      <c r="B18" s="325">
        <v>43496</v>
      </c>
      <c r="C18" s="328" t="s">
        <v>4748</v>
      </c>
      <c r="D18" s="328" t="s">
        <v>4749</v>
      </c>
      <c r="E18" s="323" t="s">
        <v>2971</v>
      </c>
      <c r="F18" s="323">
        <v>1</v>
      </c>
      <c r="G18" s="323" t="s">
        <v>2836</v>
      </c>
      <c r="H18" s="323" t="s">
        <v>4502</v>
      </c>
      <c r="I18" s="323" t="s">
        <v>229</v>
      </c>
      <c r="J18" s="325">
        <v>43524</v>
      </c>
      <c r="K18" s="325"/>
      <c r="L18" s="325"/>
      <c r="M18" s="326" t="s">
        <v>2853</v>
      </c>
      <c r="N18" s="326" t="s">
        <v>3022</v>
      </c>
      <c r="O18" s="359">
        <v>43726</v>
      </c>
      <c r="P18" s="326" t="s">
        <v>3022</v>
      </c>
      <c r="Q18" s="326" t="s">
        <v>2837</v>
      </c>
      <c r="R18" s="337"/>
      <c r="S18" s="323">
        <f>Table137[[#This Row],[DATE  CLOSED]]-Table137[[#This Row],[INITIATION DATE]]</f>
        <v>230</v>
      </c>
    </row>
    <row r="19" spans="1:19" ht="25.35" customHeight="1" x14ac:dyDescent="0.2">
      <c r="A19" s="349" t="s">
        <v>4751</v>
      </c>
      <c r="B19" s="325">
        <v>43497</v>
      </c>
      <c r="C19" s="328" t="s">
        <v>4754</v>
      </c>
      <c r="D19" s="328" t="s">
        <v>4755</v>
      </c>
      <c r="E19" s="323" t="s">
        <v>2971</v>
      </c>
      <c r="F19" s="323">
        <v>1</v>
      </c>
      <c r="G19" s="323" t="s">
        <v>2841</v>
      </c>
      <c r="H19" s="323" t="s">
        <v>4021</v>
      </c>
      <c r="I19" s="323" t="s">
        <v>3211</v>
      </c>
      <c r="J19" s="325">
        <v>43524</v>
      </c>
      <c r="K19" s="325"/>
      <c r="L19" s="325"/>
      <c r="M19" s="323" t="s">
        <v>2853</v>
      </c>
      <c r="N19" s="323" t="s">
        <v>2088</v>
      </c>
      <c r="O19" s="359">
        <v>43528</v>
      </c>
      <c r="P19" s="323" t="s">
        <v>3022</v>
      </c>
      <c r="Q19" s="323" t="s">
        <v>2832</v>
      </c>
      <c r="R19" s="337"/>
      <c r="S19" s="323">
        <f>Table137[[#This Row],[DATE  CLOSED]]-Table137[[#This Row],[INITIATION DATE]]</f>
        <v>31</v>
      </c>
    </row>
    <row r="20" spans="1:19" ht="25.35" customHeight="1" x14ac:dyDescent="0.2">
      <c r="A20" s="349" t="s">
        <v>4752</v>
      </c>
      <c r="B20" s="325">
        <v>43500</v>
      </c>
      <c r="C20" s="328" t="s">
        <v>4753</v>
      </c>
      <c r="D20" s="328" t="s">
        <v>4141</v>
      </c>
      <c r="E20" s="323" t="s">
        <v>2971</v>
      </c>
      <c r="F20" s="323">
        <v>1</v>
      </c>
      <c r="G20" s="323" t="s">
        <v>2841</v>
      </c>
      <c r="H20" s="323" t="s">
        <v>1339</v>
      </c>
      <c r="I20" s="323" t="s">
        <v>229</v>
      </c>
      <c r="J20" s="325">
        <v>43524</v>
      </c>
      <c r="K20" s="325"/>
      <c r="L20" s="325"/>
      <c r="M20" s="323" t="s">
        <v>2853</v>
      </c>
      <c r="N20" s="323" t="s">
        <v>2088</v>
      </c>
      <c r="O20" s="359">
        <v>43522</v>
      </c>
      <c r="P20" s="323" t="s">
        <v>3061</v>
      </c>
      <c r="Q20" s="323" t="s">
        <v>2829</v>
      </c>
      <c r="R20" s="337"/>
      <c r="S20" s="323">
        <f>Table137[[#This Row],[DATE  CLOSED]]-Table137[[#This Row],[INITIATION DATE]]</f>
        <v>22</v>
      </c>
    </row>
    <row r="21" spans="1:19" ht="25.35" customHeight="1" x14ac:dyDescent="0.2">
      <c r="A21" s="346" t="s">
        <v>4758</v>
      </c>
      <c r="B21" s="325">
        <v>43503</v>
      </c>
      <c r="C21" s="329" t="s">
        <v>4759</v>
      </c>
      <c r="D21" s="329" t="s">
        <v>3518</v>
      </c>
      <c r="E21" s="326" t="s">
        <v>4649</v>
      </c>
      <c r="F21" s="323">
        <v>1</v>
      </c>
      <c r="G21" s="326" t="s">
        <v>2828</v>
      </c>
      <c r="H21" s="326" t="s">
        <v>4021</v>
      </c>
      <c r="I21" s="326" t="s">
        <v>3211</v>
      </c>
      <c r="J21" s="325">
        <v>43531</v>
      </c>
      <c r="K21" s="325"/>
      <c r="L21" s="325"/>
      <c r="M21" s="326" t="s">
        <v>2853</v>
      </c>
      <c r="N21" s="323" t="s">
        <v>2088</v>
      </c>
      <c r="O21" s="359">
        <v>43507</v>
      </c>
      <c r="P21" s="323" t="s">
        <v>3061</v>
      </c>
      <c r="Q21" s="323" t="s">
        <v>2829</v>
      </c>
      <c r="R21" s="337"/>
      <c r="S21" s="323">
        <f>Table137[[#This Row],[DATE  CLOSED]]-Table137[[#This Row],[INITIATION DATE]]</f>
        <v>4</v>
      </c>
    </row>
    <row r="22" spans="1:19" ht="25.35" customHeight="1" x14ac:dyDescent="0.2">
      <c r="A22" s="346" t="s">
        <v>4760</v>
      </c>
      <c r="B22" s="325">
        <v>43508</v>
      </c>
      <c r="C22" s="328" t="s">
        <v>4761</v>
      </c>
      <c r="D22" s="328" t="s">
        <v>4762</v>
      </c>
      <c r="E22" s="326" t="s">
        <v>4174</v>
      </c>
      <c r="F22" s="323">
        <v>1</v>
      </c>
      <c r="G22" s="326" t="s">
        <v>2828</v>
      </c>
      <c r="H22" s="326" t="s">
        <v>615</v>
      </c>
      <c r="I22" s="326" t="s">
        <v>3211</v>
      </c>
      <c r="J22" s="325">
        <v>43524</v>
      </c>
      <c r="K22" s="325"/>
      <c r="L22" s="325"/>
      <c r="M22" s="326" t="s">
        <v>2853</v>
      </c>
      <c r="N22" s="323" t="s">
        <v>2088</v>
      </c>
      <c r="O22" s="359">
        <v>43511</v>
      </c>
      <c r="P22" s="323" t="s">
        <v>3061</v>
      </c>
      <c r="Q22" s="323" t="s">
        <v>2829</v>
      </c>
      <c r="R22" s="337"/>
      <c r="S22" s="323">
        <f>Table137[[#This Row],[DATE  CLOSED]]-Table137[[#This Row],[INITIATION DATE]]</f>
        <v>3</v>
      </c>
    </row>
    <row r="23" spans="1:19" ht="25.35" customHeight="1" x14ac:dyDescent="0.2">
      <c r="A23" s="346" t="s">
        <v>4763</v>
      </c>
      <c r="B23" s="325">
        <v>43509</v>
      </c>
      <c r="C23" s="328" t="s">
        <v>4764</v>
      </c>
      <c r="D23" s="328" t="s">
        <v>4617</v>
      </c>
      <c r="E23" s="323" t="s">
        <v>3519</v>
      </c>
      <c r="F23" s="323">
        <v>1</v>
      </c>
      <c r="G23" s="323" t="s">
        <v>2828</v>
      </c>
      <c r="H23" s="323" t="s">
        <v>4079</v>
      </c>
      <c r="I23" s="323" t="s">
        <v>3926</v>
      </c>
      <c r="J23" s="325">
        <v>43537</v>
      </c>
      <c r="K23" s="325"/>
      <c r="L23" s="325"/>
      <c r="M23" s="323" t="s">
        <v>2853</v>
      </c>
      <c r="N23" s="323" t="s">
        <v>2088</v>
      </c>
      <c r="O23" s="359">
        <v>43529</v>
      </c>
      <c r="P23" s="323" t="s">
        <v>3061</v>
      </c>
      <c r="Q23" s="323" t="s">
        <v>2829</v>
      </c>
      <c r="R23" s="337"/>
      <c r="S23" s="323">
        <f>Table137[[#This Row],[DATE  CLOSED]]-Table137[[#This Row],[INITIATION DATE]]</f>
        <v>20</v>
      </c>
    </row>
    <row r="24" spans="1:19" ht="25.35" customHeight="1" x14ac:dyDescent="0.2">
      <c r="A24" s="346" t="s">
        <v>4767</v>
      </c>
      <c r="B24" s="325">
        <v>43514</v>
      </c>
      <c r="C24" s="328" t="s">
        <v>4768</v>
      </c>
      <c r="D24" s="328" t="s">
        <v>4749</v>
      </c>
      <c r="E24" s="326" t="s">
        <v>2971</v>
      </c>
      <c r="F24" s="323">
        <v>1</v>
      </c>
      <c r="G24" s="326" t="s">
        <v>2836</v>
      </c>
      <c r="H24" s="326" t="s">
        <v>4502</v>
      </c>
      <c r="I24" s="326" t="s">
        <v>229</v>
      </c>
      <c r="J24" s="325">
        <v>43524</v>
      </c>
      <c r="K24" s="325"/>
      <c r="L24" s="325"/>
      <c r="M24" s="326" t="s">
        <v>2853</v>
      </c>
      <c r="N24" s="323" t="s">
        <v>2088</v>
      </c>
      <c r="O24" s="359">
        <v>43726</v>
      </c>
      <c r="P24" s="323" t="s">
        <v>3022</v>
      </c>
      <c r="Q24" s="323" t="s">
        <v>2837</v>
      </c>
      <c r="R24" s="337"/>
      <c r="S24" s="323">
        <f>Table137[[#This Row],[DATE  CLOSED]]-Table137[[#This Row],[INITIATION DATE]]</f>
        <v>212</v>
      </c>
    </row>
    <row r="25" spans="1:19" ht="25.35" customHeight="1" x14ac:dyDescent="0.2">
      <c r="A25" s="346" t="s">
        <v>4769</v>
      </c>
      <c r="B25" s="325">
        <v>43514</v>
      </c>
      <c r="C25" s="329" t="s">
        <v>4770</v>
      </c>
      <c r="D25" s="329" t="s">
        <v>4771</v>
      </c>
      <c r="E25" s="326" t="s">
        <v>4733</v>
      </c>
      <c r="F25" s="323">
        <v>1</v>
      </c>
      <c r="G25" s="326" t="s">
        <v>2828</v>
      </c>
      <c r="H25" s="326" t="s">
        <v>615</v>
      </c>
      <c r="I25" s="326" t="s">
        <v>3211</v>
      </c>
      <c r="J25" s="325">
        <v>43528</v>
      </c>
      <c r="K25" s="325"/>
      <c r="L25" s="325"/>
      <c r="M25" s="326" t="s">
        <v>2853</v>
      </c>
      <c r="N25" s="323" t="s">
        <v>2088</v>
      </c>
      <c r="O25" s="359">
        <v>43521</v>
      </c>
      <c r="P25" s="323" t="s">
        <v>3061</v>
      </c>
      <c r="Q25" s="323" t="s">
        <v>2829</v>
      </c>
      <c r="R25" s="337"/>
      <c r="S25" s="323">
        <f>Table137[[#This Row],[DATE  CLOSED]]-Table137[[#This Row],[INITIATION DATE]]</f>
        <v>7</v>
      </c>
    </row>
    <row r="26" spans="1:19" ht="25.35" customHeight="1" x14ac:dyDescent="0.2">
      <c r="A26" s="346" t="s">
        <v>4772</v>
      </c>
      <c r="B26" s="325">
        <v>43514</v>
      </c>
      <c r="C26" s="329" t="s">
        <v>4773</v>
      </c>
      <c r="D26" s="329" t="s">
        <v>4774</v>
      </c>
      <c r="E26" s="326" t="s">
        <v>3323</v>
      </c>
      <c r="F26" s="323">
        <v>1</v>
      </c>
      <c r="G26" s="326" t="s">
        <v>2828</v>
      </c>
      <c r="H26" s="326" t="s">
        <v>4079</v>
      </c>
      <c r="I26" s="326" t="s">
        <v>3211</v>
      </c>
      <c r="J26" s="325">
        <v>43524</v>
      </c>
      <c r="K26" s="325"/>
      <c r="L26" s="325"/>
      <c r="M26" s="326" t="s">
        <v>2853</v>
      </c>
      <c r="N26" s="323" t="s">
        <v>2088</v>
      </c>
      <c r="O26" s="359">
        <v>43761</v>
      </c>
      <c r="P26" s="323" t="s">
        <v>3061</v>
      </c>
      <c r="Q26" s="323" t="s">
        <v>2829</v>
      </c>
      <c r="R26" s="337" t="s">
        <v>5166</v>
      </c>
      <c r="S26" s="323">
        <f>Table137[[#This Row],[DATE  CLOSED]]-Table137[[#This Row],[INITIATION DATE]]</f>
        <v>247</v>
      </c>
    </row>
    <row r="27" spans="1:19" ht="25.35" customHeight="1" x14ac:dyDescent="0.2">
      <c r="A27" s="346" t="s">
        <v>4775</v>
      </c>
      <c r="B27" s="325">
        <v>43515</v>
      </c>
      <c r="C27" s="329" t="s">
        <v>4776</v>
      </c>
      <c r="D27" s="329" t="s">
        <v>4777</v>
      </c>
      <c r="E27" s="326" t="s">
        <v>2971</v>
      </c>
      <c r="F27" s="323">
        <v>1</v>
      </c>
      <c r="G27" s="326" t="s">
        <v>2828</v>
      </c>
      <c r="H27" s="326" t="s">
        <v>3227</v>
      </c>
      <c r="I27" s="326" t="s">
        <v>3211</v>
      </c>
      <c r="J27" s="325">
        <v>43545</v>
      </c>
      <c r="K27" s="325"/>
      <c r="L27" s="325"/>
      <c r="M27" s="326" t="s">
        <v>2853</v>
      </c>
      <c r="N27" s="326" t="s">
        <v>2088</v>
      </c>
      <c r="O27" s="359">
        <v>43525</v>
      </c>
      <c r="P27" s="326" t="s">
        <v>3061</v>
      </c>
      <c r="Q27" s="326" t="s">
        <v>2829</v>
      </c>
      <c r="R27" s="337"/>
      <c r="S27" s="323">
        <f>Table137[[#This Row],[DATE  CLOSED]]-Table137[[#This Row],[INITIATION DATE]]</f>
        <v>10</v>
      </c>
    </row>
    <row r="28" spans="1:19" ht="25.35" customHeight="1" x14ac:dyDescent="0.2">
      <c r="A28" s="349" t="s">
        <v>4778</v>
      </c>
      <c r="B28" s="325">
        <v>43515</v>
      </c>
      <c r="C28" s="329" t="s">
        <v>4779</v>
      </c>
      <c r="D28" s="329" t="s">
        <v>4780</v>
      </c>
      <c r="E28" s="326" t="s">
        <v>2971</v>
      </c>
      <c r="F28" s="323">
        <v>1</v>
      </c>
      <c r="G28" s="326" t="s">
        <v>2841</v>
      </c>
      <c r="H28" s="326" t="s">
        <v>486</v>
      </c>
      <c r="I28" s="326" t="s">
        <v>229</v>
      </c>
      <c r="J28" s="325">
        <v>43555</v>
      </c>
      <c r="K28" s="325"/>
      <c r="L28" s="325"/>
      <c r="M28" s="326" t="s">
        <v>2853</v>
      </c>
      <c r="N28" s="326" t="s">
        <v>2088</v>
      </c>
      <c r="O28" s="359">
        <v>43539</v>
      </c>
      <c r="P28" s="326" t="s">
        <v>3061</v>
      </c>
      <c r="Q28" s="326" t="s">
        <v>2829</v>
      </c>
      <c r="R28" s="337"/>
      <c r="S28" s="323">
        <f>Table137[[#This Row],[DATE  CLOSED]]-Table137[[#This Row],[INITIATION DATE]]</f>
        <v>24</v>
      </c>
    </row>
    <row r="29" spans="1:19" ht="25.35" customHeight="1" x14ac:dyDescent="0.2">
      <c r="A29" s="349" t="s">
        <v>4781</v>
      </c>
      <c r="B29" s="325">
        <v>43517</v>
      </c>
      <c r="C29" s="328" t="s">
        <v>4782</v>
      </c>
      <c r="D29" s="328" t="s">
        <v>3225</v>
      </c>
      <c r="E29" s="323" t="s">
        <v>2971</v>
      </c>
      <c r="F29" s="323">
        <v>1</v>
      </c>
      <c r="G29" s="323" t="s">
        <v>2841</v>
      </c>
      <c r="H29" s="323" t="s">
        <v>486</v>
      </c>
      <c r="I29" s="323" t="s">
        <v>229</v>
      </c>
      <c r="J29" s="325">
        <v>43555</v>
      </c>
      <c r="K29" s="325"/>
      <c r="L29" s="325"/>
      <c r="M29" s="323" t="s">
        <v>2853</v>
      </c>
      <c r="N29" s="323" t="s">
        <v>2088</v>
      </c>
      <c r="O29" s="359">
        <v>43538</v>
      </c>
      <c r="P29" s="323" t="s">
        <v>3061</v>
      </c>
      <c r="Q29" s="323" t="s">
        <v>2829</v>
      </c>
      <c r="R29" s="337"/>
      <c r="S29" s="323">
        <f>Table137[[#This Row],[DATE  CLOSED]]-Table137[[#This Row],[INITIATION DATE]]</f>
        <v>21</v>
      </c>
    </row>
    <row r="30" spans="1:19" ht="25.35" customHeight="1" x14ac:dyDescent="0.2">
      <c r="A30" s="349" t="s">
        <v>4783</v>
      </c>
      <c r="B30" s="325">
        <v>43517</v>
      </c>
      <c r="C30" s="328" t="s">
        <v>4786</v>
      </c>
      <c r="D30" s="328" t="s">
        <v>4787</v>
      </c>
      <c r="E30" s="323" t="s">
        <v>2971</v>
      </c>
      <c r="F30" s="323">
        <v>1</v>
      </c>
      <c r="G30" s="323" t="s">
        <v>2836</v>
      </c>
      <c r="H30" s="323" t="s">
        <v>685</v>
      </c>
      <c r="I30" s="323" t="s">
        <v>229</v>
      </c>
      <c r="J30" s="325">
        <v>43524</v>
      </c>
      <c r="K30" s="325">
        <v>44012</v>
      </c>
      <c r="L30" s="325"/>
      <c r="M30" s="326" t="s">
        <v>5969</v>
      </c>
      <c r="N30" s="326" t="s">
        <v>2912</v>
      </c>
      <c r="O30" s="359">
        <v>44230</v>
      </c>
      <c r="P30" s="326" t="s">
        <v>2912</v>
      </c>
      <c r="Q30" s="326" t="s">
        <v>5989</v>
      </c>
      <c r="R30" s="337" t="s">
        <v>5990</v>
      </c>
      <c r="S30" s="323">
        <f>Table137[[#This Row],[DATE  CLOSED]]-Table137[[#This Row],[INITIATION DATE]]</f>
        <v>713</v>
      </c>
    </row>
    <row r="31" spans="1:19" ht="25.35" customHeight="1" x14ac:dyDescent="0.2">
      <c r="A31" s="349" t="s">
        <v>4784</v>
      </c>
      <c r="B31" s="325">
        <v>43517</v>
      </c>
      <c r="C31" s="328" t="s">
        <v>4788</v>
      </c>
      <c r="D31" s="328" t="s">
        <v>4790</v>
      </c>
      <c r="E31" s="323" t="s">
        <v>2971</v>
      </c>
      <c r="F31" s="323">
        <v>1</v>
      </c>
      <c r="G31" s="323" t="s">
        <v>2838</v>
      </c>
      <c r="H31" s="323" t="s">
        <v>685</v>
      </c>
      <c r="I31" s="323" t="s">
        <v>229</v>
      </c>
      <c r="J31" s="325">
        <v>43524</v>
      </c>
      <c r="K31" s="325"/>
      <c r="L31" s="325"/>
      <c r="M31" s="326" t="s">
        <v>2853</v>
      </c>
      <c r="N31" s="326" t="s">
        <v>2088</v>
      </c>
      <c r="O31" s="359">
        <v>43495</v>
      </c>
      <c r="P31" s="326" t="s">
        <v>2088</v>
      </c>
      <c r="Q31" s="326" t="s">
        <v>2829</v>
      </c>
      <c r="R31" s="337" t="s">
        <v>4797</v>
      </c>
      <c r="S31" s="323">
        <f>Table137[[#This Row],[DATE  CLOSED]]-Table137[[#This Row],[INITIATION DATE]]</f>
        <v>-22</v>
      </c>
    </row>
    <row r="32" spans="1:19" ht="25.35" customHeight="1" x14ac:dyDescent="0.2">
      <c r="A32" s="349" t="s">
        <v>4785</v>
      </c>
      <c r="B32" s="325">
        <v>43517</v>
      </c>
      <c r="C32" s="328" t="s">
        <v>4788</v>
      </c>
      <c r="D32" s="328" t="s">
        <v>4789</v>
      </c>
      <c r="E32" s="323" t="s">
        <v>2971</v>
      </c>
      <c r="F32" s="323">
        <v>1</v>
      </c>
      <c r="G32" s="323" t="s">
        <v>2838</v>
      </c>
      <c r="H32" s="323" t="s">
        <v>685</v>
      </c>
      <c r="I32" s="323" t="s">
        <v>229</v>
      </c>
      <c r="J32" s="325">
        <v>43585</v>
      </c>
      <c r="K32" s="325"/>
      <c r="L32" s="325"/>
      <c r="M32" s="323" t="s">
        <v>2853</v>
      </c>
      <c r="N32" s="323" t="s">
        <v>2088</v>
      </c>
      <c r="O32" s="359">
        <v>43556</v>
      </c>
      <c r="P32" s="323" t="s">
        <v>3061</v>
      </c>
      <c r="Q32" s="323" t="s">
        <v>2832</v>
      </c>
      <c r="R32" s="337"/>
      <c r="S32" s="323">
        <f>Table137[[#This Row],[DATE  CLOSED]]-Table137[[#This Row],[INITIATION DATE]]</f>
        <v>39</v>
      </c>
    </row>
    <row r="33" spans="1:19" ht="25.35" customHeight="1" x14ac:dyDescent="0.2">
      <c r="A33" s="349" t="s">
        <v>4791</v>
      </c>
      <c r="B33" s="325">
        <v>43521</v>
      </c>
      <c r="C33" s="328" t="s">
        <v>4792</v>
      </c>
      <c r="D33" s="328" t="s">
        <v>4793</v>
      </c>
      <c r="E33" s="323" t="s">
        <v>3335</v>
      </c>
      <c r="F33" s="323">
        <v>1</v>
      </c>
      <c r="G33" s="323" t="s">
        <v>2828</v>
      </c>
      <c r="H33" s="323" t="s">
        <v>4079</v>
      </c>
      <c r="I33" s="323" t="s">
        <v>3211</v>
      </c>
      <c r="J33" s="325">
        <v>43861</v>
      </c>
      <c r="K33" s="325"/>
      <c r="L33" s="325"/>
      <c r="M33" s="323" t="s">
        <v>2853</v>
      </c>
      <c r="N33" s="323" t="s">
        <v>2088</v>
      </c>
      <c r="O33" s="359">
        <v>43837</v>
      </c>
      <c r="P33" s="323" t="s">
        <v>3061</v>
      </c>
      <c r="Q33" s="323" t="s">
        <v>2837</v>
      </c>
      <c r="R33" s="337"/>
      <c r="S33" s="323">
        <f>Table137[[#This Row],[DATE  CLOSED]]-Table137[[#This Row],[INITIATION DATE]]</f>
        <v>316</v>
      </c>
    </row>
    <row r="34" spans="1:19" ht="25.35" customHeight="1" x14ac:dyDescent="0.2">
      <c r="A34" s="349" t="s">
        <v>4794</v>
      </c>
      <c r="B34" s="325">
        <v>43522</v>
      </c>
      <c r="C34" s="328" t="s">
        <v>4795</v>
      </c>
      <c r="D34" s="328" t="s">
        <v>3225</v>
      </c>
      <c r="E34" s="323" t="s">
        <v>2971</v>
      </c>
      <c r="F34" s="323">
        <v>1</v>
      </c>
      <c r="G34" s="323" t="s">
        <v>2841</v>
      </c>
      <c r="H34" s="323" t="s">
        <v>4796</v>
      </c>
      <c r="I34" s="323" t="s">
        <v>229</v>
      </c>
      <c r="J34" s="325">
        <v>43555</v>
      </c>
      <c r="K34" s="325"/>
      <c r="L34" s="325"/>
      <c r="M34" s="323" t="s">
        <v>2853</v>
      </c>
      <c r="N34" s="323" t="s">
        <v>2088</v>
      </c>
      <c r="O34" s="359">
        <v>43538</v>
      </c>
      <c r="P34" s="323" t="s">
        <v>3061</v>
      </c>
      <c r="Q34" s="323" t="s">
        <v>2829</v>
      </c>
      <c r="R34" s="337"/>
      <c r="S34" s="323">
        <f>Table137[[#This Row],[DATE  CLOSED]]-Table137[[#This Row],[INITIATION DATE]]</f>
        <v>16</v>
      </c>
    </row>
    <row r="35" spans="1:19" ht="25.35" customHeight="1" x14ac:dyDescent="0.2">
      <c r="A35" s="349" t="s">
        <v>4798</v>
      </c>
      <c r="B35" s="325">
        <v>43522</v>
      </c>
      <c r="C35" s="328" t="s">
        <v>4799</v>
      </c>
      <c r="D35" s="328" t="s">
        <v>4800</v>
      </c>
      <c r="E35" s="323" t="s">
        <v>2971</v>
      </c>
      <c r="F35" s="323">
        <v>1</v>
      </c>
      <c r="G35" s="323" t="s">
        <v>2841</v>
      </c>
      <c r="H35" s="323" t="s">
        <v>3423</v>
      </c>
      <c r="I35" s="323" t="s">
        <v>3211</v>
      </c>
      <c r="J35" s="325">
        <v>43555</v>
      </c>
      <c r="K35" s="325"/>
      <c r="L35" s="325"/>
      <c r="M35" s="323" t="s">
        <v>2853</v>
      </c>
      <c r="N35" s="323" t="s">
        <v>2088</v>
      </c>
      <c r="O35" s="359">
        <v>43553</v>
      </c>
      <c r="P35" s="323" t="s">
        <v>3061</v>
      </c>
      <c r="Q35" s="323" t="s">
        <v>2832</v>
      </c>
      <c r="R35" s="337"/>
      <c r="S35" s="323">
        <f>Table137[[#This Row],[DATE  CLOSED]]-Table137[[#This Row],[INITIATION DATE]]</f>
        <v>31</v>
      </c>
    </row>
    <row r="36" spans="1:19" ht="25.35" customHeight="1" x14ac:dyDescent="0.2">
      <c r="A36" s="349" t="s">
        <v>4801</v>
      </c>
      <c r="B36" s="325">
        <v>43525</v>
      </c>
      <c r="C36" s="328" t="s">
        <v>4802</v>
      </c>
      <c r="D36" s="328" t="s">
        <v>4803</v>
      </c>
      <c r="E36" s="323" t="s">
        <v>3825</v>
      </c>
      <c r="F36" s="323">
        <v>1</v>
      </c>
      <c r="G36" s="323" t="s">
        <v>2828</v>
      </c>
      <c r="H36" s="323" t="s">
        <v>4079</v>
      </c>
      <c r="I36" s="323" t="s">
        <v>3211</v>
      </c>
      <c r="J36" s="325">
        <v>43537</v>
      </c>
      <c r="K36" s="325"/>
      <c r="L36" s="325"/>
      <c r="M36" s="326" t="s">
        <v>2853</v>
      </c>
      <c r="N36" s="326" t="s">
        <v>2088</v>
      </c>
      <c r="O36" s="359">
        <v>43535</v>
      </c>
      <c r="P36" s="326" t="s">
        <v>3061</v>
      </c>
      <c r="Q36" s="326" t="s">
        <v>2829</v>
      </c>
      <c r="R36" s="337"/>
      <c r="S36" s="323">
        <f>Table137[[#This Row],[DATE  CLOSED]]-Table137[[#This Row],[INITIATION DATE]]</f>
        <v>10</v>
      </c>
    </row>
    <row r="37" spans="1:19" ht="25.35" customHeight="1" x14ac:dyDescent="0.2">
      <c r="A37" s="349" t="s">
        <v>4804</v>
      </c>
      <c r="B37" s="325">
        <v>43525</v>
      </c>
      <c r="C37" s="329" t="s">
        <v>4805</v>
      </c>
      <c r="D37" s="329" t="s">
        <v>4806</v>
      </c>
      <c r="E37" s="326" t="s">
        <v>2971</v>
      </c>
      <c r="F37" s="323">
        <v>1</v>
      </c>
      <c r="G37" s="326" t="s">
        <v>2838</v>
      </c>
      <c r="H37" s="326" t="s">
        <v>685</v>
      </c>
      <c r="I37" s="326" t="s">
        <v>229</v>
      </c>
      <c r="J37" s="325">
        <v>43585</v>
      </c>
      <c r="K37" s="325">
        <v>44012</v>
      </c>
      <c r="L37" s="325"/>
      <c r="M37" s="326" t="s">
        <v>2847</v>
      </c>
      <c r="N37" s="323"/>
      <c r="O37" s="359"/>
      <c r="P37" s="323"/>
      <c r="Q37" s="323"/>
      <c r="R37" s="337"/>
      <c r="S37" s="323">
        <f>Table137[[#This Row],[DATE  CLOSED]]-Table137[[#This Row],[INITIATION DATE]]</f>
        <v>-43525</v>
      </c>
    </row>
    <row r="38" spans="1:19" ht="25.35" customHeight="1" x14ac:dyDescent="0.2">
      <c r="A38" s="349" t="s">
        <v>4807</v>
      </c>
      <c r="B38" s="325">
        <v>43529</v>
      </c>
      <c r="C38" s="328" t="s">
        <v>4809</v>
      </c>
      <c r="D38" s="328" t="s">
        <v>4808</v>
      </c>
      <c r="E38" s="323" t="s">
        <v>3825</v>
      </c>
      <c r="F38" s="323">
        <v>1</v>
      </c>
      <c r="G38" s="323" t="s">
        <v>2828</v>
      </c>
      <c r="H38" s="323" t="s">
        <v>1351</v>
      </c>
      <c r="I38" s="323" t="s">
        <v>3211</v>
      </c>
      <c r="J38" s="325">
        <v>43560</v>
      </c>
      <c r="K38" s="325"/>
      <c r="L38" s="325"/>
      <c r="M38" s="323" t="s">
        <v>2853</v>
      </c>
      <c r="N38" s="323" t="s">
        <v>2088</v>
      </c>
      <c r="O38" s="359">
        <v>43538</v>
      </c>
      <c r="P38" s="323" t="s">
        <v>3061</v>
      </c>
      <c r="Q38" s="323" t="s">
        <v>2829</v>
      </c>
      <c r="R38" s="337"/>
      <c r="S38" s="323">
        <f>Table137[[#This Row],[DATE  CLOSED]]-Table137[[#This Row],[INITIATION DATE]]</f>
        <v>9</v>
      </c>
    </row>
    <row r="39" spans="1:19" ht="25.35" customHeight="1" x14ac:dyDescent="0.2">
      <c r="A39" s="349" t="s">
        <v>4810</v>
      </c>
      <c r="B39" s="325">
        <v>43530</v>
      </c>
      <c r="C39" s="328" t="s">
        <v>4811</v>
      </c>
      <c r="D39" s="328" t="s">
        <v>4812</v>
      </c>
      <c r="E39" s="323" t="s">
        <v>2971</v>
      </c>
      <c r="F39" s="323">
        <v>1</v>
      </c>
      <c r="G39" s="323" t="s">
        <v>2841</v>
      </c>
      <c r="H39" s="323" t="s">
        <v>3227</v>
      </c>
      <c r="I39" s="323" t="s">
        <v>3211</v>
      </c>
      <c r="J39" s="325">
        <v>43555</v>
      </c>
      <c r="K39" s="325"/>
      <c r="L39" s="325"/>
      <c r="M39" s="323" t="s">
        <v>2853</v>
      </c>
      <c r="N39" s="323" t="s">
        <v>2088</v>
      </c>
      <c r="O39" s="359">
        <v>43553</v>
      </c>
      <c r="P39" s="323" t="s">
        <v>3061</v>
      </c>
      <c r="Q39" s="323" t="s">
        <v>2829</v>
      </c>
      <c r="R39" s="337"/>
      <c r="S39" s="323">
        <f>Table137[[#This Row],[DATE  CLOSED]]-Table137[[#This Row],[INITIATION DATE]]</f>
        <v>23</v>
      </c>
    </row>
    <row r="40" spans="1:19" ht="25.35" customHeight="1" x14ac:dyDescent="0.2">
      <c r="A40" s="349" t="s">
        <v>4813</v>
      </c>
      <c r="B40" s="325">
        <v>43530</v>
      </c>
      <c r="C40" s="328" t="s">
        <v>4814</v>
      </c>
      <c r="D40" s="328" t="s">
        <v>4815</v>
      </c>
      <c r="E40" s="326" t="s">
        <v>4816</v>
      </c>
      <c r="F40" s="323">
        <v>1</v>
      </c>
      <c r="G40" s="326" t="s">
        <v>2841</v>
      </c>
      <c r="H40" s="326" t="s">
        <v>229</v>
      </c>
      <c r="I40" s="326" t="s">
        <v>229</v>
      </c>
      <c r="J40" s="325">
        <v>43555</v>
      </c>
      <c r="K40" s="325"/>
      <c r="L40" s="325"/>
      <c r="M40" s="326" t="s">
        <v>2853</v>
      </c>
      <c r="N40" s="323" t="s">
        <v>2088</v>
      </c>
      <c r="O40" s="359">
        <v>43545</v>
      </c>
      <c r="P40" s="323" t="s">
        <v>3061</v>
      </c>
      <c r="Q40" s="323" t="s">
        <v>2829</v>
      </c>
      <c r="R40" s="337"/>
      <c r="S40" s="323">
        <f>Table137[[#This Row],[DATE  CLOSED]]-Table137[[#This Row],[INITIATION DATE]]</f>
        <v>15</v>
      </c>
    </row>
    <row r="41" spans="1:19" ht="25.35" customHeight="1" x14ac:dyDescent="0.2">
      <c r="A41" s="349" t="s">
        <v>4817</v>
      </c>
      <c r="B41" s="325">
        <v>43531</v>
      </c>
      <c r="C41" s="328" t="s">
        <v>4818</v>
      </c>
      <c r="D41" s="328" t="s">
        <v>4819</v>
      </c>
      <c r="E41" s="323" t="s">
        <v>2971</v>
      </c>
      <c r="F41" s="323">
        <v>1</v>
      </c>
      <c r="G41" s="323" t="s">
        <v>2841</v>
      </c>
      <c r="H41" s="323" t="s">
        <v>1339</v>
      </c>
      <c r="I41" s="323" t="s">
        <v>229</v>
      </c>
      <c r="J41" s="325">
        <v>43555</v>
      </c>
      <c r="K41" s="325"/>
      <c r="L41" s="325"/>
      <c r="M41" s="323" t="s">
        <v>2853</v>
      </c>
      <c r="N41" s="323" t="s">
        <v>2088</v>
      </c>
      <c r="O41" s="359">
        <v>43563</v>
      </c>
      <c r="P41" s="323" t="s">
        <v>3061</v>
      </c>
      <c r="Q41" s="323" t="s">
        <v>2829</v>
      </c>
      <c r="R41" s="337" t="s">
        <v>4860</v>
      </c>
      <c r="S41" s="323">
        <f>Table137[[#This Row],[DATE  CLOSED]]-Table137[[#This Row],[INITIATION DATE]]</f>
        <v>32</v>
      </c>
    </row>
    <row r="42" spans="1:19" ht="25.35" customHeight="1" x14ac:dyDescent="0.2">
      <c r="A42" s="349" t="s">
        <v>4820</v>
      </c>
      <c r="B42" s="325">
        <v>43531</v>
      </c>
      <c r="C42" s="328" t="s">
        <v>4821</v>
      </c>
      <c r="D42" s="328" t="s">
        <v>4822</v>
      </c>
      <c r="E42" s="323" t="s">
        <v>2971</v>
      </c>
      <c r="F42" s="323">
        <v>1</v>
      </c>
      <c r="G42" s="323" t="s">
        <v>2841</v>
      </c>
      <c r="H42" s="323" t="s">
        <v>1339</v>
      </c>
      <c r="I42" s="323" t="s">
        <v>229</v>
      </c>
      <c r="J42" s="325">
        <v>43555</v>
      </c>
      <c r="K42" s="325"/>
      <c r="L42" s="325"/>
      <c r="M42" s="323" t="s">
        <v>2853</v>
      </c>
      <c r="N42" s="323" t="s">
        <v>2088</v>
      </c>
      <c r="O42" s="359">
        <v>43543</v>
      </c>
      <c r="P42" s="323" t="s">
        <v>3061</v>
      </c>
      <c r="Q42" s="323" t="s">
        <v>2829</v>
      </c>
      <c r="R42" s="337"/>
      <c r="S42" s="323">
        <f>Table137[[#This Row],[DATE  CLOSED]]-Table137[[#This Row],[INITIATION DATE]]</f>
        <v>12</v>
      </c>
    </row>
    <row r="43" spans="1:19" ht="25.35" customHeight="1" x14ac:dyDescent="0.2">
      <c r="A43" s="349" t="s">
        <v>4823</v>
      </c>
      <c r="B43" s="325">
        <v>43531</v>
      </c>
      <c r="C43" s="328" t="s">
        <v>4824</v>
      </c>
      <c r="D43" s="328" t="s">
        <v>4825</v>
      </c>
      <c r="E43" s="323" t="s">
        <v>2971</v>
      </c>
      <c r="F43" s="323">
        <v>1</v>
      </c>
      <c r="G43" s="323" t="s">
        <v>2836</v>
      </c>
      <c r="H43" s="323" t="s">
        <v>685</v>
      </c>
      <c r="I43" s="323" t="s">
        <v>229</v>
      </c>
      <c r="J43" s="325">
        <v>43616</v>
      </c>
      <c r="K43" s="325">
        <v>43861</v>
      </c>
      <c r="L43" s="325">
        <v>44561</v>
      </c>
      <c r="M43" s="323" t="s">
        <v>2847</v>
      </c>
      <c r="N43" s="323" t="s">
        <v>2912</v>
      </c>
      <c r="O43" s="359"/>
      <c r="P43" s="323"/>
      <c r="Q43" s="323"/>
      <c r="R43" s="337"/>
      <c r="S43" s="323">
        <f>Table137[[#This Row],[DATE  CLOSED]]-Table137[[#This Row],[INITIATION DATE]]</f>
        <v>-43531</v>
      </c>
    </row>
    <row r="44" spans="1:19" ht="25.35" customHeight="1" x14ac:dyDescent="0.2">
      <c r="A44" s="349" t="s">
        <v>4826</v>
      </c>
      <c r="B44" s="325">
        <v>43538</v>
      </c>
      <c r="C44" s="328" t="s">
        <v>4827</v>
      </c>
      <c r="D44" s="328" t="s">
        <v>4828</v>
      </c>
      <c r="E44" s="323" t="s">
        <v>4675</v>
      </c>
      <c r="F44" s="323">
        <v>1</v>
      </c>
      <c r="G44" s="323" t="s">
        <v>2836</v>
      </c>
      <c r="H44" s="323" t="s">
        <v>3747</v>
      </c>
      <c r="I44" s="323" t="s">
        <v>229</v>
      </c>
      <c r="J44" s="325">
        <v>43555</v>
      </c>
      <c r="K44" s="325"/>
      <c r="L44" s="325"/>
      <c r="M44" s="323" t="s">
        <v>2853</v>
      </c>
      <c r="N44" s="323" t="s">
        <v>2088</v>
      </c>
      <c r="O44" s="359">
        <v>43550</v>
      </c>
      <c r="P44" s="323" t="s">
        <v>3061</v>
      </c>
      <c r="Q44" s="323" t="s">
        <v>2829</v>
      </c>
      <c r="R44" s="337"/>
      <c r="S44" s="323">
        <f>Table137[[#This Row],[DATE  CLOSED]]-Table137[[#This Row],[INITIATION DATE]]</f>
        <v>12</v>
      </c>
    </row>
    <row r="45" spans="1:19" ht="25.35" customHeight="1" x14ac:dyDescent="0.2">
      <c r="A45" s="349" t="s">
        <v>4829</v>
      </c>
      <c r="B45" s="325">
        <v>43542</v>
      </c>
      <c r="C45" s="328" t="s">
        <v>4830</v>
      </c>
      <c r="D45" s="328" t="s">
        <v>4831</v>
      </c>
      <c r="E45" s="323" t="s">
        <v>2971</v>
      </c>
      <c r="F45" s="323">
        <v>1</v>
      </c>
      <c r="G45" s="323" t="s">
        <v>2840</v>
      </c>
      <c r="H45" s="323" t="s">
        <v>1461</v>
      </c>
      <c r="I45" s="323" t="s">
        <v>229</v>
      </c>
      <c r="J45" s="325">
        <v>43585</v>
      </c>
      <c r="K45" s="325"/>
      <c r="L45" s="325"/>
      <c r="M45" s="323" t="s">
        <v>2853</v>
      </c>
      <c r="N45" s="323" t="s">
        <v>2088</v>
      </c>
      <c r="O45" s="359">
        <v>43564</v>
      </c>
      <c r="P45" s="323" t="s">
        <v>3061</v>
      </c>
      <c r="Q45" s="323" t="s">
        <v>2829</v>
      </c>
      <c r="R45" s="337"/>
      <c r="S45" s="323">
        <f>Table137[[#This Row],[DATE  CLOSED]]-Table137[[#This Row],[INITIATION DATE]]</f>
        <v>22</v>
      </c>
    </row>
    <row r="46" spans="1:19" ht="25.35" customHeight="1" x14ac:dyDescent="0.2">
      <c r="A46" s="349" t="s">
        <v>4832</v>
      </c>
      <c r="B46" s="325">
        <v>43542</v>
      </c>
      <c r="C46" s="328" t="s">
        <v>5256</v>
      </c>
      <c r="D46" s="329" t="s">
        <v>5257</v>
      </c>
      <c r="E46" s="326" t="s">
        <v>3825</v>
      </c>
      <c r="F46" s="323">
        <v>1</v>
      </c>
      <c r="G46" s="323" t="s">
        <v>2828</v>
      </c>
      <c r="H46" s="326" t="s">
        <v>4232</v>
      </c>
      <c r="I46" s="326" t="s">
        <v>3926</v>
      </c>
      <c r="J46" s="325">
        <v>43555</v>
      </c>
      <c r="K46" s="325"/>
      <c r="L46" s="325"/>
      <c r="M46" s="326" t="s">
        <v>2853</v>
      </c>
      <c r="N46" s="323" t="s">
        <v>2088</v>
      </c>
      <c r="O46" s="359">
        <v>43811</v>
      </c>
      <c r="P46" s="323" t="s">
        <v>3061</v>
      </c>
      <c r="Q46" s="323" t="s">
        <v>2829</v>
      </c>
      <c r="R46" s="337" t="s">
        <v>5258</v>
      </c>
      <c r="S46" s="323">
        <f>Table137[[#This Row],[DATE  CLOSED]]-Table137[[#This Row],[INITIATION DATE]]</f>
        <v>269</v>
      </c>
    </row>
    <row r="47" spans="1:19" ht="25.35" customHeight="1" x14ac:dyDescent="0.2">
      <c r="A47" s="346" t="s">
        <v>4833</v>
      </c>
      <c r="B47" s="325">
        <v>43542</v>
      </c>
      <c r="C47" s="328" t="s">
        <v>4834</v>
      </c>
      <c r="D47" s="328" t="s">
        <v>4835</v>
      </c>
      <c r="E47" s="323" t="s">
        <v>2971</v>
      </c>
      <c r="F47" s="323">
        <v>1</v>
      </c>
      <c r="G47" s="323" t="s">
        <v>2841</v>
      </c>
      <c r="H47" s="323" t="s">
        <v>481</v>
      </c>
      <c r="I47" s="323" t="s">
        <v>229</v>
      </c>
      <c r="J47" s="325">
        <v>43585</v>
      </c>
      <c r="K47" s="325"/>
      <c r="L47" s="325"/>
      <c r="M47" s="323" t="s">
        <v>2853</v>
      </c>
      <c r="N47" s="323" t="s">
        <v>2088</v>
      </c>
      <c r="O47" s="359">
        <v>43563</v>
      </c>
      <c r="P47" s="323" t="s">
        <v>3061</v>
      </c>
      <c r="Q47" s="323" t="s">
        <v>2829</v>
      </c>
      <c r="R47" s="337"/>
      <c r="S47" s="323">
        <f>Table137[[#This Row],[DATE  CLOSED]]-Table137[[#This Row],[INITIATION DATE]]</f>
        <v>21</v>
      </c>
    </row>
    <row r="48" spans="1:19" ht="25.35" customHeight="1" x14ac:dyDescent="0.2">
      <c r="A48" s="349" t="s">
        <v>4836</v>
      </c>
      <c r="B48" s="325">
        <v>43544</v>
      </c>
      <c r="C48" s="328" t="s">
        <v>4838</v>
      </c>
      <c r="D48" s="328" t="s">
        <v>4839</v>
      </c>
      <c r="E48" s="323" t="s">
        <v>4111</v>
      </c>
      <c r="F48" s="323">
        <v>1</v>
      </c>
      <c r="G48" s="323" t="s">
        <v>2828</v>
      </c>
      <c r="H48" s="323" t="s">
        <v>3975</v>
      </c>
      <c r="I48" s="323" t="s">
        <v>3211</v>
      </c>
      <c r="J48" s="325">
        <v>43585</v>
      </c>
      <c r="K48" s="325"/>
      <c r="L48" s="325"/>
      <c r="M48" s="323" t="s">
        <v>2853</v>
      </c>
      <c r="N48" s="323" t="s">
        <v>3022</v>
      </c>
      <c r="O48" s="359">
        <v>43635</v>
      </c>
      <c r="P48" s="323" t="s">
        <v>3022</v>
      </c>
      <c r="Q48" s="323" t="s">
        <v>2835</v>
      </c>
      <c r="R48" s="337"/>
      <c r="S48" s="323">
        <f>Table137[[#This Row],[DATE  CLOSED]]-Table137[[#This Row],[INITIATION DATE]]</f>
        <v>91</v>
      </c>
    </row>
    <row r="49" spans="1:19" ht="25.35" customHeight="1" x14ac:dyDescent="0.2">
      <c r="A49" s="349" t="s">
        <v>4837</v>
      </c>
      <c r="B49" s="325">
        <v>43544</v>
      </c>
      <c r="C49" s="328" t="s">
        <v>4840</v>
      </c>
      <c r="D49" s="328" t="s">
        <v>4841</v>
      </c>
      <c r="E49" s="323" t="s">
        <v>4631</v>
      </c>
      <c r="F49" s="323">
        <v>1</v>
      </c>
      <c r="G49" s="323" t="s">
        <v>2828</v>
      </c>
      <c r="H49" s="323" t="s">
        <v>3975</v>
      </c>
      <c r="I49" s="323" t="s">
        <v>3211</v>
      </c>
      <c r="J49" s="325">
        <v>43585</v>
      </c>
      <c r="K49" s="325"/>
      <c r="L49" s="325"/>
      <c r="M49" s="323" t="s">
        <v>2853</v>
      </c>
      <c r="N49" s="323" t="s">
        <v>3022</v>
      </c>
      <c r="O49" s="359">
        <v>43672</v>
      </c>
      <c r="P49" s="323" t="s">
        <v>3022</v>
      </c>
      <c r="Q49" s="323" t="s">
        <v>2835</v>
      </c>
      <c r="R49" s="337"/>
      <c r="S49" s="323">
        <f>Table137[[#This Row],[DATE  CLOSED]]-Table137[[#This Row],[INITIATION DATE]]</f>
        <v>128</v>
      </c>
    </row>
    <row r="50" spans="1:19" ht="25.35" customHeight="1" x14ac:dyDescent="0.2">
      <c r="A50" s="349" t="s">
        <v>4842</v>
      </c>
      <c r="B50" s="325">
        <v>43549</v>
      </c>
      <c r="C50" s="329" t="s">
        <v>4843</v>
      </c>
      <c r="D50" s="329" t="s">
        <v>4844</v>
      </c>
      <c r="E50" s="326" t="s">
        <v>2971</v>
      </c>
      <c r="F50" s="323">
        <v>1</v>
      </c>
      <c r="G50" s="326" t="s">
        <v>2836</v>
      </c>
      <c r="H50" s="326" t="s">
        <v>4845</v>
      </c>
      <c r="I50" s="326" t="s">
        <v>229</v>
      </c>
      <c r="J50" s="325">
        <v>43585</v>
      </c>
      <c r="K50" s="325"/>
      <c r="L50" s="325"/>
      <c r="M50" s="326" t="s">
        <v>2853</v>
      </c>
      <c r="N50" s="323" t="s">
        <v>2088</v>
      </c>
      <c r="O50" s="359">
        <v>43615</v>
      </c>
      <c r="P50" s="323" t="s">
        <v>3022</v>
      </c>
      <c r="Q50" s="323" t="s">
        <v>2832</v>
      </c>
      <c r="R50" s="337"/>
      <c r="S50" s="323">
        <f>Table137[[#This Row],[DATE  CLOSED]]-Table137[[#This Row],[INITIATION DATE]]</f>
        <v>66</v>
      </c>
    </row>
    <row r="51" spans="1:19" ht="25.35" customHeight="1" x14ac:dyDescent="0.2">
      <c r="A51" s="349" t="s">
        <v>4846</v>
      </c>
      <c r="B51" s="325">
        <v>43551</v>
      </c>
      <c r="C51" s="328" t="s">
        <v>4847</v>
      </c>
      <c r="D51" s="328" t="s">
        <v>4819</v>
      </c>
      <c r="E51" s="323" t="s">
        <v>2971</v>
      </c>
      <c r="F51" s="323">
        <v>1</v>
      </c>
      <c r="G51" s="323" t="s">
        <v>2841</v>
      </c>
      <c r="H51" s="323" t="s">
        <v>624</v>
      </c>
      <c r="I51" s="323" t="s">
        <v>229</v>
      </c>
      <c r="J51" s="325">
        <v>43585</v>
      </c>
      <c r="K51" s="325"/>
      <c r="L51" s="325"/>
      <c r="M51" s="323" t="s">
        <v>2853</v>
      </c>
      <c r="N51" s="323" t="s">
        <v>2088</v>
      </c>
      <c r="O51" s="359">
        <v>43570</v>
      </c>
      <c r="P51" s="323" t="s">
        <v>3061</v>
      </c>
      <c r="Q51" s="323" t="s">
        <v>2829</v>
      </c>
      <c r="R51" s="337"/>
      <c r="S51" s="323">
        <f>Table137[[#This Row],[DATE  CLOSED]]-Table137[[#This Row],[INITIATION DATE]]</f>
        <v>19</v>
      </c>
    </row>
    <row r="52" spans="1:19" ht="25.35" customHeight="1" x14ac:dyDescent="0.2">
      <c r="A52" s="349" t="s">
        <v>4848</v>
      </c>
      <c r="B52" s="325">
        <v>43558</v>
      </c>
      <c r="C52" s="328" t="s">
        <v>4852</v>
      </c>
      <c r="D52" s="328" t="s">
        <v>4849</v>
      </c>
      <c r="E52" s="323" t="s">
        <v>3532</v>
      </c>
      <c r="F52" s="323">
        <v>1</v>
      </c>
      <c r="G52" s="323" t="s">
        <v>2828</v>
      </c>
      <c r="H52" s="323" t="s">
        <v>4850</v>
      </c>
      <c r="I52" s="323" t="s">
        <v>3926</v>
      </c>
      <c r="J52" s="325">
        <v>43585</v>
      </c>
      <c r="K52" s="325"/>
      <c r="L52" s="325"/>
      <c r="M52" s="323" t="s">
        <v>2853</v>
      </c>
      <c r="N52" s="323" t="s">
        <v>2088</v>
      </c>
      <c r="O52" s="359">
        <v>43746</v>
      </c>
      <c r="P52" s="323" t="s">
        <v>3061</v>
      </c>
      <c r="Q52" s="323" t="s">
        <v>2829</v>
      </c>
      <c r="R52" s="337" t="s">
        <v>5153</v>
      </c>
      <c r="S52" s="323">
        <f>Table137[[#This Row],[DATE  CLOSED]]-Table137[[#This Row],[INITIATION DATE]]</f>
        <v>188</v>
      </c>
    </row>
    <row r="53" spans="1:19" ht="25.35" customHeight="1" x14ac:dyDescent="0.2">
      <c r="A53" s="349" t="s">
        <v>4851</v>
      </c>
      <c r="B53" s="325">
        <v>43558</v>
      </c>
      <c r="C53" s="328" t="s">
        <v>4853</v>
      </c>
      <c r="D53" s="328" t="s">
        <v>4854</v>
      </c>
      <c r="E53" s="323" t="s">
        <v>4260</v>
      </c>
      <c r="F53" s="323">
        <v>1</v>
      </c>
      <c r="G53" s="323" t="s">
        <v>2828</v>
      </c>
      <c r="H53" s="323" t="s">
        <v>4232</v>
      </c>
      <c r="I53" s="323" t="s">
        <v>3926</v>
      </c>
      <c r="J53" s="325">
        <v>43616</v>
      </c>
      <c r="K53" s="325"/>
      <c r="L53" s="325"/>
      <c r="M53" s="323" t="s">
        <v>2853</v>
      </c>
      <c r="N53" s="323" t="s">
        <v>2088</v>
      </c>
      <c r="O53" s="359">
        <v>43570</v>
      </c>
      <c r="P53" s="323" t="s">
        <v>3061</v>
      </c>
      <c r="Q53" s="323" t="s">
        <v>2829</v>
      </c>
      <c r="R53" s="337"/>
      <c r="S53" s="323">
        <f>Table137[[#This Row],[DATE  CLOSED]]-Table137[[#This Row],[INITIATION DATE]]</f>
        <v>12</v>
      </c>
    </row>
    <row r="54" spans="1:19" ht="25.35" customHeight="1" x14ac:dyDescent="0.2">
      <c r="A54" s="349" t="s">
        <v>4855</v>
      </c>
      <c r="B54" s="325">
        <v>43560</v>
      </c>
      <c r="C54" s="328" t="s">
        <v>4856</v>
      </c>
      <c r="D54" s="328" t="s">
        <v>4812</v>
      </c>
      <c r="E54" s="323" t="s">
        <v>2971</v>
      </c>
      <c r="F54" s="323">
        <v>1</v>
      </c>
      <c r="G54" s="323" t="s">
        <v>2841</v>
      </c>
      <c r="H54" s="323" t="s">
        <v>4079</v>
      </c>
      <c r="I54" s="323" t="s">
        <v>3211</v>
      </c>
      <c r="J54" s="325">
        <v>43585</v>
      </c>
      <c r="K54" s="325"/>
      <c r="L54" s="325"/>
      <c r="M54" s="326" t="s">
        <v>2853</v>
      </c>
      <c r="N54" s="326" t="s">
        <v>2088</v>
      </c>
      <c r="O54" s="359">
        <v>43591</v>
      </c>
      <c r="P54" s="326" t="s">
        <v>3061</v>
      </c>
      <c r="Q54" s="326" t="s">
        <v>2829</v>
      </c>
      <c r="R54" s="335"/>
      <c r="S54" s="323">
        <f>Table137[[#This Row],[DATE  CLOSED]]-Table137[[#This Row],[INITIATION DATE]]</f>
        <v>31</v>
      </c>
    </row>
    <row r="55" spans="1:19" ht="25.35" customHeight="1" x14ac:dyDescent="0.2">
      <c r="A55" s="349" t="s">
        <v>4857</v>
      </c>
      <c r="B55" s="325">
        <v>43560</v>
      </c>
      <c r="C55" s="328" t="s">
        <v>4858</v>
      </c>
      <c r="D55" s="328" t="s">
        <v>4859</v>
      </c>
      <c r="E55" s="323" t="s">
        <v>4208</v>
      </c>
      <c r="F55" s="323">
        <v>1</v>
      </c>
      <c r="G55" s="323" t="s">
        <v>2828</v>
      </c>
      <c r="H55" s="323" t="s">
        <v>4232</v>
      </c>
      <c r="I55" s="323" t="s">
        <v>3211</v>
      </c>
      <c r="J55" s="325">
        <v>43616</v>
      </c>
      <c r="K55" s="325"/>
      <c r="L55" s="325"/>
      <c r="M55" s="326" t="s">
        <v>2853</v>
      </c>
      <c r="N55" s="326" t="s">
        <v>3022</v>
      </c>
      <c r="O55" s="359">
        <v>43633</v>
      </c>
      <c r="P55" s="326" t="s">
        <v>3022</v>
      </c>
      <c r="Q55" s="326" t="s">
        <v>2832</v>
      </c>
      <c r="R55" s="337"/>
      <c r="S55" s="323">
        <f>Table137[[#This Row],[DATE  CLOSED]]-Table137[[#This Row],[INITIATION DATE]]</f>
        <v>73</v>
      </c>
    </row>
    <row r="56" spans="1:19" ht="25.35" customHeight="1" x14ac:dyDescent="0.2">
      <c r="A56" s="349" t="s">
        <v>4861</v>
      </c>
      <c r="B56" s="325">
        <v>43567</v>
      </c>
      <c r="C56" s="328" t="s">
        <v>4862</v>
      </c>
      <c r="D56" s="328" t="s">
        <v>4863</v>
      </c>
      <c r="E56" s="323" t="s">
        <v>3323</v>
      </c>
      <c r="F56" s="323">
        <v>1</v>
      </c>
      <c r="G56" s="323" t="s">
        <v>2828</v>
      </c>
      <c r="H56" s="323" t="s">
        <v>3227</v>
      </c>
      <c r="I56" s="323" t="s">
        <v>3926</v>
      </c>
      <c r="J56" s="325">
        <v>43585</v>
      </c>
      <c r="K56" s="325"/>
      <c r="L56" s="325"/>
      <c r="M56" s="323" t="s">
        <v>2853</v>
      </c>
      <c r="N56" s="323" t="s">
        <v>2088</v>
      </c>
      <c r="O56" s="359">
        <v>43567</v>
      </c>
      <c r="P56" s="323" t="s">
        <v>3061</v>
      </c>
      <c r="Q56" s="323" t="s">
        <v>2829</v>
      </c>
      <c r="R56" s="337"/>
      <c r="S56" s="323">
        <f>Table137[[#This Row],[DATE  CLOSED]]-Table137[[#This Row],[INITIATION DATE]]</f>
        <v>0</v>
      </c>
    </row>
    <row r="57" spans="1:19" ht="25.35" customHeight="1" x14ac:dyDescent="0.2">
      <c r="A57" s="349" t="s">
        <v>4864</v>
      </c>
      <c r="B57" s="325">
        <v>43567</v>
      </c>
      <c r="C57" s="328" t="s">
        <v>4866</v>
      </c>
      <c r="D57" s="328" t="s">
        <v>4865</v>
      </c>
      <c r="E57" s="323" t="s">
        <v>2971</v>
      </c>
      <c r="F57" s="323">
        <v>1</v>
      </c>
      <c r="G57" s="323" t="s">
        <v>2838</v>
      </c>
      <c r="H57" s="323" t="s">
        <v>685</v>
      </c>
      <c r="I57" s="323" t="s">
        <v>229</v>
      </c>
      <c r="J57" s="325">
        <v>43567</v>
      </c>
      <c r="K57" s="325"/>
      <c r="L57" s="325"/>
      <c r="M57" s="323" t="s">
        <v>2853</v>
      </c>
      <c r="N57" s="323" t="s">
        <v>2088</v>
      </c>
      <c r="O57" s="359">
        <v>43567</v>
      </c>
      <c r="P57" s="323" t="s">
        <v>3061</v>
      </c>
      <c r="Q57" s="323" t="s">
        <v>2829</v>
      </c>
      <c r="R57" s="337"/>
      <c r="S57" s="323">
        <f>Table137[[#This Row],[DATE  CLOSED]]-Table137[[#This Row],[INITIATION DATE]]</f>
        <v>0</v>
      </c>
    </row>
    <row r="58" spans="1:19" ht="25.35" customHeight="1" x14ac:dyDescent="0.2">
      <c r="A58" s="349" t="s">
        <v>4867</v>
      </c>
      <c r="B58" s="325">
        <v>43570</v>
      </c>
      <c r="C58" s="328" t="s">
        <v>4945</v>
      </c>
      <c r="D58" s="328" t="s">
        <v>3225</v>
      </c>
      <c r="E58" s="323" t="s">
        <v>2971</v>
      </c>
      <c r="F58" s="323">
        <v>1</v>
      </c>
      <c r="G58" s="323" t="s">
        <v>2841</v>
      </c>
      <c r="H58" s="323" t="s">
        <v>486</v>
      </c>
      <c r="I58" s="323" t="s">
        <v>229</v>
      </c>
      <c r="J58" s="325">
        <v>43585</v>
      </c>
      <c r="K58" s="325"/>
      <c r="L58" s="325"/>
      <c r="M58" s="323" t="s">
        <v>2853</v>
      </c>
      <c r="N58" s="323" t="s">
        <v>3022</v>
      </c>
      <c r="O58" s="359">
        <v>43600</v>
      </c>
      <c r="P58" s="323" t="s">
        <v>3022</v>
      </c>
      <c r="Q58" s="323" t="s">
        <v>2829</v>
      </c>
      <c r="R58" s="337" t="s">
        <v>4925</v>
      </c>
      <c r="S58" s="323">
        <f>Table137[[#This Row],[DATE  CLOSED]]-Table137[[#This Row],[INITIATION DATE]]</f>
        <v>30</v>
      </c>
    </row>
    <row r="59" spans="1:19" ht="25.35" customHeight="1" x14ac:dyDescent="0.2">
      <c r="A59" s="349" t="s">
        <v>4868</v>
      </c>
      <c r="B59" s="325">
        <v>43571</v>
      </c>
      <c r="C59" s="328" t="s">
        <v>4869</v>
      </c>
      <c r="D59" s="328" t="s">
        <v>4870</v>
      </c>
      <c r="E59" s="323" t="s">
        <v>3969</v>
      </c>
      <c r="F59" s="323">
        <v>1</v>
      </c>
      <c r="G59" s="323" t="s">
        <v>2828</v>
      </c>
      <c r="H59" s="323" t="s">
        <v>3423</v>
      </c>
      <c r="I59" s="323" t="s">
        <v>3211</v>
      </c>
      <c r="J59" s="325">
        <v>43662</v>
      </c>
      <c r="K59" s="325"/>
      <c r="L59" s="325"/>
      <c r="M59" s="323" t="s">
        <v>2853</v>
      </c>
      <c r="N59" s="323" t="s">
        <v>2088</v>
      </c>
      <c r="O59" s="359">
        <v>43627</v>
      </c>
      <c r="P59" s="323" t="s">
        <v>3061</v>
      </c>
      <c r="Q59" s="323" t="s">
        <v>2832</v>
      </c>
      <c r="R59" s="337"/>
      <c r="S59" s="323">
        <f>Table137[[#This Row],[DATE  CLOSED]]-Table137[[#This Row],[INITIATION DATE]]</f>
        <v>56</v>
      </c>
    </row>
    <row r="60" spans="1:19" ht="25.35" customHeight="1" x14ac:dyDescent="0.2">
      <c r="A60" s="349" t="s">
        <v>4871</v>
      </c>
      <c r="B60" s="325">
        <v>43572</v>
      </c>
      <c r="C60" s="328" t="s">
        <v>4872</v>
      </c>
      <c r="D60" s="328" t="s">
        <v>4873</v>
      </c>
      <c r="E60" s="323" t="s">
        <v>4256</v>
      </c>
      <c r="F60" s="323">
        <v>1</v>
      </c>
      <c r="G60" s="323" t="s">
        <v>2828</v>
      </c>
      <c r="H60" s="323" t="s">
        <v>4232</v>
      </c>
      <c r="I60" s="323" t="s">
        <v>3211</v>
      </c>
      <c r="J60" s="325">
        <v>43600</v>
      </c>
      <c r="K60" s="325"/>
      <c r="L60" s="325"/>
      <c r="M60" s="326" t="s">
        <v>2853</v>
      </c>
      <c r="N60" s="326" t="s">
        <v>2088</v>
      </c>
      <c r="O60" s="359">
        <v>43588</v>
      </c>
      <c r="P60" s="326" t="s">
        <v>3061</v>
      </c>
      <c r="Q60" s="326" t="s">
        <v>2829</v>
      </c>
      <c r="R60" s="337"/>
      <c r="S60" s="323">
        <f>Table137[[#This Row],[DATE  CLOSED]]-Table137[[#This Row],[INITIATION DATE]]</f>
        <v>16</v>
      </c>
    </row>
    <row r="61" spans="1:19" ht="25.35" customHeight="1" x14ac:dyDescent="0.2">
      <c r="A61" s="349" t="s">
        <v>4876</v>
      </c>
      <c r="B61" s="325">
        <v>43577</v>
      </c>
      <c r="C61" s="328" t="s">
        <v>4874</v>
      </c>
      <c r="D61" s="328" t="s">
        <v>4875</v>
      </c>
      <c r="E61" s="323" t="s">
        <v>2971</v>
      </c>
      <c r="F61" s="323">
        <v>1</v>
      </c>
      <c r="G61" s="323" t="s">
        <v>2834</v>
      </c>
      <c r="H61" s="323" t="s">
        <v>3645</v>
      </c>
      <c r="I61" s="323" t="s">
        <v>441</v>
      </c>
      <c r="J61" s="325">
        <v>43585</v>
      </c>
      <c r="K61" s="325"/>
      <c r="L61" s="325"/>
      <c r="M61" s="323" t="s">
        <v>2853</v>
      </c>
      <c r="N61" s="323" t="s">
        <v>2088</v>
      </c>
      <c r="O61" s="359">
        <v>43579</v>
      </c>
      <c r="P61" s="323" t="s">
        <v>3061</v>
      </c>
      <c r="Q61" s="323" t="s">
        <v>2829</v>
      </c>
      <c r="R61" s="337"/>
      <c r="S61" s="323">
        <f>Table137[[#This Row],[DATE  CLOSED]]-Table137[[#This Row],[INITIATION DATE]]</f>
        <v>2</v>
      </c>
    </row>
    <row r="62" spans="1:19" ht="25.35" customHeight="1" x14ac:dyDescent="0.2">
      <c r="A62" s="349" t="s">
        <v>4877</v>
      </c>
      <c r="B62" s="325">
        <v>43578</v>
      </c>
      <c r="C62" s="328" t="s">
        <v>4946</v>
      </c>
      <c r="D62" s="328" t="s">
        <v>3225</v>
      </c>
      <c r="E62" s="323" t="s">
        <v>2971</v>
      </c>
      <c r="F62" s="323">
        <v>1</v>
      </c>
      <c r="G62" s="323" t="s">
        <v>2841</v>
      </c>
      <c r="H62" s="323" t="s">
        <v>2067</v>
      </c>
      <c r="I62" s="323" t="s">
        <v>229</v>
      </c>
      <c r="J62" s="325">
        <v>43616</v>
      </c>
      <c r="K62" s="325"/>
      <c r="L62" s="325"/>
      <c r="M62" s="323" t="s">
        <v>2853</v>
      </c>
      <c r="N62" s="323" t="s">
        <v>2088</v>
      </c>
      <c r="O62" s="359">
        <v>43600</v>
      </c>
      <c r="P62" s="323" t="s">
        <v>3061</v>
      </c>
      <c r="Q62" s="323" t="s">
        <v>2829</v>
      </c>
      <c r="R62" s="337"/>
      <c r="S62" s="323">
        <f>Table137[[#This Row],[DATE  CLOSED]]-Table137[[#This Row],[INITIATION DATE]]</f>
        <v>22</v>
      </c>
    </row>
    <row r="63" spans="1:19" ht="25.35" customHeight="1" x14ac:dyDescent="0.2">
      <c r="A63" s="349" t="s">
        <v>4878</v>
      </c>
      <c r="B63" s="325">
        <v>43578</v>
      </c>
      <c r="C63" s="328" t="s">
        <v>4879</v>
      </c>
      <c r="D63" s="328" t="s">
        <v>4880</v>
      </c>
      <c r="E63" s="323" t="s">
        <v>3323</v>
      </c>
      <c r="F63" s="323">
        <v>1</v>
      </c>
      <c r="G63" s="323" t="s">
        <v>2828</v>
      </c>
      <c r="H63" s="323" t="s">
        <v>3842</v>
      </c>
      <c r="I63" s="323" t="s">
        <v>3211</v>
      </c>
      <c r="J63" s="325">
        <v>43616</v>
      </c>
      <c r="K63" s="325"/>
      <c r="L63" s="325"/>
      <c r="M63" s="323" t="s">
        <v>2853</v>
      </c>
      <c r="N63" s="323" t="s">
        <v>2088</v>
      </c>
      <c r="O63" s="359">
        <v>43598</v>
      </c>
      <c r="P63" s="323" t="s">
        <v>3061</v>
      </c>
      <c r="Q63" s="323" t="s">
        <v>2829</v>
      </c>
      <c r="R63" s="337"/>
      <c r="S63" s="323">
        <f>Table137[[#This Row],[DATE  CLOSED]]-Table137[[#This Row],[INITIATION DATE]]</f>
        <v>20</v>
      </c>
    </row>
    <row r="64" spans="1:19" ht="25.35" customHeight="1" x14ac:dyDescent="0.2">
      <c r="A64" s="346" t="s">
        <v>4881</v>
      </c>
      <c r="B64" s="325">
        <v>43579</v>
      </c>
      <c r="C64" s="329" t="s">
        <v>4882</v>
      </c>
      <c r="D64" s="329" t="s">
        <v>4883</v>
      </c>
      <c r="E64" s="326" t="s">
        <v>3825</v>
      </c>
      <c r="F64" s="323">
        <v>1</v>
      </c>
      <c r="G64" s="326" t="s">
        <v>2828</v>
      </c>
      <c r="H64" s="326" t="s">
        <v>3747</v>
      </c>
      <c r="I64" s="326" t="s">
        <v>4261</v>
      </c>
      <c r="J64" s="325">
        <v>43609</v>
      </c>
      <c r="K64" s="325"/>
      <c r="L64" s="325"/>
      <c r="M64" s="326" t="s">
        <v>2853</v>
      </c>
      <c r="N64" s="323" t="s">
        <v>2088</v>
      </c>
      <c r="O64" s="359">
        <v>43588</v>
      </c>
      <c r="P64" s="323" t="s">
        <v>3061</v>
      </c>
      <c r="Q64" s="323" t="s">
        <v>4987</v>
      </c>
      <c r="R64" s="337"/>
      <c r="S64" s="323">
        <f>Table137[[#This Row],[DATE  CLOSED]]-Table137[[#This Row],[INITIATION DATE]]</f>
        <v>9</v>
      </c>
    </row>
    <row r="65" spans="1:19" ht="25.35" customHeight="1" x14ac:dyDescent="0.2">
      <c r="A65" s="349" t="s">
        <v>4884</v>
      </c>
      <c r="B65" s="325">
        <v>43579</v>
      </c>
      <c r="C65" s="328" t="s">
        <v>4885</v>
      </c>
      <c r="D65" s="328" t="s">
        <v>4886</v>
      </c>
      <c r="E65" s="323" t="s">
        <v>3586</v>
      </c>
      <c r="F65" s="323">
        <v>1</v>
      </c>
      <c r="G65" s="323" t="s">
        <v>2828</v>
      </c>
      <c r="H65" s="323" t="s">
        <v>615</v>
      </c>
      <c r="I65" s="323" t="s">
        <v>3211</v>
      </c>
      <c r="J65" s="325">
        <v>43609</v>
      </c>
      <c r="K65" s="325"/>
      <c r="L65" s="325"/>
      <c r="M65" s="323" t="s">
        <v>2853</v>
      </c>
      <c r="N65" s="323" t="s">
        <v>2088</v>
      </c>
      <c r="O65" s="359">
        <v>43588</v>
      </c>
      <c r="P65" s="323" t="s">
        <v>3061</v>
      </c>
      <c r="Q65" s="323" t="s">
        <v>2829</v>
      </c>
      <c r="R65" s="337"/>
      <c r="S65" s="323">
        <f>Table137[[#This Row],[DATE  CLOSED]]-Table137[[#This Row],[INITIATION DATE]]</f>
        <v>9</v>
      </c>
    </row>
    <row r="66" spans="1:19" ht="25.35" customHeight="1" x14ac:dyDescent="0.2">
      <c r="A66" s="349" t="s">
        <v>4887</v>
      </c>
      <c r="B66" s="325">
        <v>43580</v>
      </c>
      <c r="C66" s="328" t="s">
        <v>4888</v>
      </c>
      <c r="D66" s="328" t="s">
        <v>4889</v>
      </c>
      <c r="E66" s="323" t="s">
        <v>2971</v>
      </c>
      <c r="F66" s="323">
        <v>1</v>
      </c>
      <c r="G66" s="323" t="s">
        <v>2840</v>
      </c>
      <c r="H66" s="323" t="s">
        <v>441</v>
      </c>
      <c r="I66" s="323" t="s">
        <v>229</v>
      </c>
      <c r="J66" s="325">
        <v>43616</v>
      </c>
      <c r="K66" s="325"/>
      <c r="L66" s="325"/>
      <c r="M66" s="323" t="s">
        <v>2853</v>
      </c>
      <c r="N66" s="323" t="s">
        <v>2088</v>
      </c>
      <c r="O66" s="359">
        <v>43609</v>
      </c>
      <c r="P66" s="323" t="s">
        <v>3061</v>
      </c>
      <c r="Q66" s="323" t="s">
        <v>2829</v>
      </c>
      <c r="R66" s="337"/>
      <c r="S66" s="323">
        <f>Table137[[#This Row],[DATE  CLOSED]]-Table137[[#This Row],[INITIATION DATE]]</f>
        <v>29</v>
      </c>
    </row>
    <row r="67" spans="1:19" ht="25.35" customHeight="1" x14ac:dyDescent="0.2">
      <c r="A67" s="349" t="s">
        <v>4890</v>
      </c>
      <c r="B67" s="325">
        <v>43581</v>
      </c>
      <c r="C67" s="328" t="s">
        <v>4891</v>
      </c>
      <c r="D67" s="328" t="s">
        <v>4892</v>
      </c>
      <c r="E67" s="323" t="s">
        <v>4256</v>
      </c>
      <c r="F67" s="323">
        <v>1</v>
      </c>
      <c r="G67" s="323" t="s">
        <v>2828</v>
      </c>
      <c r="H67" s="323" t="s">
        <v>615</v>
      </c>
      <c r="I67" s="323" t="s">
        <v>3211</v>
      </c>
      <c r="J67" s="325">
        <v>43611</v>
      </c>
      <c r="K67" s="325"/>
      <c r="L67" s="325"/>
      <c r="M67" s="323" t="s">
        <v>2853</v>
      </c>
      <c r="N67" s="323" t="s">
        <v>2088</v>
      </c>
      <c r="O67" s="359">
        <v>43584</v>
      </c>
      <c r="P67" s="323" t="s">
        <v>3061</v>
      </c>
      <c r="Q67" s="323" t="s">
        <v>2829</v>
      </c>
      <c r="R67" s="337"/>
      <c r="S67" s="323">
        <f>Table137[[#This Row],[DATE  CLOSED]]-Table137[[#This Row],[INITIATION DATE]]</f>
        <v>3</v>
      </c>
    </row>
    <row r="68" spans="1:19" ht="25.35" customHeight="1" x14ac:dyDescent="0.2">
      <c r="A68" s="349" t="s">
        <v>4893</v>
      </c>
      <c r="B68" s="325">
        <v>43585</v>
      </c>
      <c r="C68" s="328" t="s">
        <v>4972</v>
      </c>
      <c r="D68" s="328" t="s">
        <v>4973</v>
      </c>
      <c r="E68" s="323" t="s">
        <v>3386</v>
      </c>
      <c r="F68" s="323">
        <v>1</v>
      </c>
      <c r="G68" s="323" t="s">
        <v>2828</v>
      </c>
      <c r="H68" s="323" t="s">
        <v>615</v>
      </c>
      <c r="I68" s="326" t="s">
        <v>3926</v>
      </c>
      <c r="J68" s="325">
        <v>43615</v>
      </c>
      <c r="K68" s="325"/>
      <c r="L68" s="325"/>
      <c r="M68" s="323" t="s">
        <v>2853</v>
      </c>
      <c r="N68" s="323" t="s">
        <v>3022</v>
      </c>
      <c r="O68" s="359">
        <v>43629</v>
      </c>
      <c r="P68" s="323" t="s">
        <v>3022</v>
      </c>
      <c r="Q68" s="323" t="s">
        <v>2832</v>
      </c>
      <c r="R68" s="337"/>
      <c r="S68" s="323">
        <f>Table137[[#This Row],[DATE  CLOSED]]-Table137[[#This Row],[INITIATION DATE]]</f>
        <v>44</v>
      </c>
    </row>
    <row r="69" spans="1:19" ht="25.35" customHeight="1" x14ac:dyDescent="0.2">
      <c r="A69" s="349" t="s">
        <v>4894</v>
      </c>
      <c r="B69" s="325">
        <v>43586</v>
      </c>
      <c r="C69" s="328" t="s">
        <v>4895</v>
      </c>
      <c r="D69" s="328" t="s">
        <v>4896</v>
      </c>
      <c r="E69" s="323" t="s">
        <v>3519</v>
      </c>
      <c r="F69" s="323">
        <v>1</v>
      </c>
      <c r="G69" s="323" t="s">
        <v>2828</v>
      </c>
      <c r="H69" s="323" t="s">
        <v>4163</v>
      </c>
      <c r="I69" s="323" t="s">
        <v>3211</v>
      </c>
      <c r="J69" s="325">
        <v>43617</v>
      </c>
      <c r="K69" s="325"/>
      <c r="L69" s="325"/>
      <c r="M69" s="323" t="s">
        <v>2853</v>
      </c>
      <c r="N69" s="323" t="s">
        <v>2088</v>
      </c>
      <c r="O69" s="359">
        <v>43609</v>
      </c>
      <c r="P69" s="323" t="s">
        <v>3061</v>
      </c>
      <c r="Q69" s="323" t="s">
        <v>2829</v>
      </c>
      <c r="R69" s="337"/>
      <c r="S69" s="323">
        <f>Table137[[#This Row],[DATE  CLOSED]]-Table137[[#This Row],[INITIATION DATE]]</f>
        <v>23</v>
      </c>
    </row>
    <row r="70" spans="1:19" ht="25.35" customHeight="1" x14ac:dyDescent="0.2">
      <c r="A70" s="349" t="s">
        <v>4897</v>
      </c>
      <c r="B70" s="325">
        <v>43587</v>
      </c>
      <c r="C70" s="328" t="s">
        <v>4898</v>
      </c>
      <c r="D70" s="328" t="s">
        <v>4899</v>
      </c>
      <c r="E70" s="323" t="s">
        <v>3825</v>
      </c>
      <c r="F70" s="323">
        <v>1</v>
      </c>
      <c r="G70" s="323" t="s">
        <v>2828</v>
      </c>
      <c r="H70" s="323" t="s">
        <v>4232</v>
      </c>
      <c r="I70" s="323" t="s">
        <v>3926</v>
      </c>
      <c r="J70" s="325">
        <v>43646</v>
      </c>
      <c r="K70" s="325"/>
      <c r="L70" s="325"/>
      <c r="M70" s="323" t="s">
        <v>2853</v>
      </c>
      <c r="N70" s="323" t="s">
        <v>2088</v>
      </c>
      <c r="O70" s="359">
        <v>43600</v>
      </c>
      <c r="P70" s="323" t="s">
        <v>3061</v>
      </c>
      <c r="Q70" s="323" t="s">
        <v>2829</v>
      </c>
      <c r="R70" s="337"/>
      <c r="S70" s="323">
        <f>Table137[[#This Row],[DATE  CLOSED]]-Table137[[#This Row],[INITIATION DATE]]</f>
        <v>13</v>
      </c>
    </row>
    <row r="71" spans="1:19" ht="25.35" customHeight="1" x14ac:dyDescent="0.2">
      <c r="A71" s="349" t="s">
        <v>4900</v>
      </c>
      <c r="B71" s="325">
        <v>43587</v>
      </c>
      <c r="C71" s="328" t="s">
        <v>4901</v>
      </c>
      <c r="D71" s="328" t="s">
        <v>4902</v>
      </c>
      <c r="E71" s="323" t="s">
        <v>3323</v>
      </c>
      <c r="F71" s="323">
        <v>1</v>
      </c>
      <c r="G71" s="323" t="s">
        <v>2828</v>
      </c>
      <c r="H71" s="323" t="s">
        <v>4163</v>
      </c>
      <c r="I71" s="323" t="s">
        <v>3211</v>
      </c>
      <c r="J71" s="325">
        <v>43799</v>
      </c>
      <c r="K71" s="325"/>
      <c r="L71" s="325"/>
      <c r="M71" s="323" t="s">
        <v>2853</v>
      </c>
      <c r="N71" s="323" t="s">
        <v>2088</v>
      </c>
      <c r="O71" s="359">
        <v>43763</v>
      </c>
      <c r="P71" s="326" t="s">
        <v>3061</v>
      </c>
      <c r="Q71" s="323" t="s">
        <v>2835</v>
      </c>
      <c r="R71" s="337"/>
      <c r="S71" s="323">
        <f>Table137[[#This Row],[DATE  CLOSED]]-Table137[[#This Row],[INITIATION DATE]]</f>
        <v>176</v>
      </c>
    </row>
    <row r="72" spans="1:19" ht="25.35" customHeight="1" x14ac:dyDescent="0.2">
      <c r="A72" s="346" t="s">
        <v>4903</v>
      </c>
      <c r="B72" s="325">
        <v>43587</v>
      </c>
      <c r="C72" s="329" t="s">
        <v>4904</v>
      </c>
      <c r="D72" s="329" t="s">
        <v>4904</v>
      </c>
      <c r="E72" s="326" t="s">
        <v>3825</v>
      </c>
      <c r="F72" s="323">
        <v>1</v>
      </c>
      <c r="G72" s="326" t="s">
        <v>2828</v>
      </c>
      <c r="H72" s="326" t="s">
        <v>3747</v>
      </c>
      <c r="I72" s="326" t="s">
        <v>4261</v>
      </c>
      <c r="J72" s="325">
        <v>43615</v>
      </c>
      <c r="K72" s="325"/>
      <c r="L72" s="325"/>
      <c r="M72" s="326" t="s">
        <v>2853</v>
      </c>
      <c r="N72" s="323" t="s">
        <v>2088</v>
      </c>
      <c r="O72" s="359">
        <v>43593</v>
      </c>
      <c r="P72" s="323" t="s">
        <v>3061</v>
      </c>
      <c r="Q72" s="323" t="s">
        <v>4987</v>
      </c>
      <c r="R72" s="337"/>
      <c r="S72" s="323">
        <f>Table137[[#This Row],[DATE  CLOSED]]-Table137[[#This Row],[INITIATION DATE]]</f>
        <v>6</v>
      </c>
    </row>
    <row r="73" spans="1:19" ht="25.35" customHeight="1" x14ac:dyDescent="0.2">
      <c r="A73" s="349" t="s">
        <v>4905</v>
      </c>
      <c r="B73" s="325">
        <v>43587</v>
      </c>
      <c r="C73" s="328" t="s">
        <v>4947</v>
      </c>
      <c r="D73" s="328" t="s">
        <v>4906</v>
      </c>
      <c r="E73" s="323" t="s">
        <v>2971</v>
      </c>
      <c r="F73" s="323">
        <v>1</v>
      </c>
      <c r="G73" s="323" t="s">
        <v>2841</v>
      </c>
      <c r="H73" s="323" t="s">
        <v>685</v>
      </c>
      <c r="I73" s="323" t="s">
        <v>229</v>
      </c>
      <c r="J73" s="325">
        <v>43616</v>
      </c>
      <c r="K73" s="325"/>
      <c r="L73" s="325"/>
      <c r="M73" s="323" t="s">
        <v>2853</v>
      </c>
      <c r="N73" s="323" t="s">
        <v>2088</v>
      </c>
      <c r="O73" s="359">
        <v>43608</v>
      </c>
      <c r="P73" s="323" t="s">
        <v>3061</v>
      </c>
      <c r="Q73" s="323" t="s">
        <v>2829</v>
      </c>
      <c r="R73" s="337"/>
      <c r="S73" s="323">
        <f>Table137[[#This Row],[DATE  CLOSED]]-Table137[[#This Row],[INITIATION DATE]]</f>
        <v>21</v>
      </c>
    </row>
    <row r="74" spans="1:19" ht="25.35" customHeight="1" x14ac:dyDescent="0.2">
      <c r="A74" s="349" t="s">
        <v>4907</v>
      </c>
      <c r="B74" s="325">
        <v>43587</v>
      </c>
      <c r="C74" s="328" t="s">
        <v>4948</v>
      </c>
      <c r="D74" s="328" t="s">
        <v>3225</v>
      </c>
      <c r="E74" s="323" t="s">
        <v>2971</v>
      </c>
      <c r="F74" s="323">
        <v>1</v>
      </c>
      <c r="G74" s="323" t="s">
        <v>2841</v>
      </c>
      <c r="H74" s="323" t="s">
        <v>486</v>
      </c>
      <c r="I74" s="323" t="s">
        <v>229</v>
      </c>
      <c r="J74" s="325">
        <v>43616</v>
      </c>
      <c r="K74" s="325"/>
      <c r="L74" s="325"/>
      <c r="M74" s="323" t="s">
        <v>2853</v>
      </c>
      <c r="N74" s="323" t="s">
        <v>2088</v>
      </c>
      <c r="O74" s="359">
        <v>43608</v>
      </c>
      <c r="P74" s="323" t="s">
        <v>3061</v>
      </c>
      <c r="Q74" s="323" t="s">
        <v>2829</v>
      </c>
      <c r="R74" s="337"/>
      <c r="S74" s="323">
        <f>Table137[[#This Row],[DATE  CLOSED]]-Table137[[#This Row],[INITIATION DATE]]</f>
        <v>21</v>
      </c>
    </row>
    <row r="75" spans="1:19" ht="25.35" customHeight="1" x14ac:dyDescent="0.2">
      <c r="A75" s="349" t="s">
        <v>4908</v>
      </c>
      <c r="B75" s="325">
        <v>43588</v>
      </c>
      <c r="C75" s="328" t="s">
        <v>4949</v>
      </c>
      <c r="D75" s="328" t="s">
        <v>4909</v>
      </c>
      <c r="E75" s="323" t="s">
        <v>2971</v>
      </c>
      <c r="F75" s="323">
        <v>1</v>
      </c>
      <c r="G75" s="323" t="s">
        <v>2841</v>
      </c>
      <c r="H75" s="323" t="s">
        <v>3645</v>
      </c>
      <c r="I75" s="323" t="s">
        <v>229</v>
      </c>
      <c r="J75" s="325">
        <v>43616</v>
      </c>
      <c r="K75" s="325"/>
      <c r="L75" s="325"/>
      <c r="M75" s="323" t="s">
        <v>2853</v>
      </c>
      <c r="N75" s="323" t="s">
        <v>2088</v>
      </c>
      <c r="O75" s="359">
        <v>43605</v>
      </c>
      <c r="P75" s="323" t="s">
        <v>3061</v>
      </c>
      <c r="Q75" s="323" t="s">
        <v>2829</v>
      </c>
      <c r="R75" s="337"/>
      <c r="S75" s="323">
        <f>Table137[[#This Row],[DATE  CLOSED]]-Table137[[#This Row],[INITIATION DATE]]</f>
        <v>17</v>
      </c>
    </row>
    <row r="76" spans="1:19" ht="25.35" customHeight="1" x14ac:dyDescent="0.2">
      <c r="A76" s="349" t="s">
        <v>4910</v>
      </c>
      <c r="B76" s="325">
        <v>43592</v>
      </c>
      <c r="C76" s="328" t="s">
        <v>4912</v>
      </c>
      <c r="D76" s="328" t="s">
        <v>4911</v>
      </c>
      <c r="E76" s="323" t="s">
        <v>4631</v>
      </c>
      <c r="F76" s="323">
        <v>1</v>
      </c>
      <c r="G76" s="323" t="s">
        <v>2840</v>
      </c>
      <c r="H76" s="323" t="s">
        <v>1339</v>
      </c>
      <c r="I76" s="323" t="s">
        <v>229</v>
      </c>
      <c r="J76" s="325">
        <v>43602</v>
      </c>
      <c r="K76" s="325"/>
      <c r="L76" s="325"/>
      <c r="M76" s="323" t="s">
        <v>2853</v>
      </c>
      <c r="N76" s="323" t="s">
        <v>2088</v>
      </c>
      <c r="O76" s="359">
        <v>43601</v>
      </c>
      <c r="P76" s="323" t="s">
        <v>3061</v>
      </c>
      <c r="Q76" s="323" t="s">
        <v>2829</v>
      </c>
      <c r="R76" s="337"/>
      <c r="S76" s="323">
        <f>Table137[[#This Row],[DATE  CLOSED]]-Table137[[#This Row],[INITIATION DATE]]</f>
        <v>9</v>
      </c>
    </row>
    <row r="77" spans="1:19" ht="25.35" customHeight="1" x14ac:dyDescent="0.2">
      <c r="A77" s="349" t="s">
        <v>4913</v>
      </c>
      <c r="B77" s="325">
        <v>43594</v>
      </c>
      <c r="C77" s="328" t="s">
        <v>4914</v>
      </c>
      <c r="D77" s="328" t="s">
        <v>4915</v>
      </c>
      <c r="E77" s="323" t="s">
        <v>3969</v>
      </c>
      <c r="F77" s="323">
        <v>1</v>
      </c>
      <c r="G77" s="323" t="s">
        <v>2828</v>
      </c>
      <c r="H77" s="323" t="s">
        <v>3423</v>
      </c>
      <c r="I77" s="323" t="s">
        <v>3926</v>
      </c>
      <c r="J77" s="325">
        <v>43616</v>
      </c>
      <c r="K77" s="325"/>
      <c r="L77" s="325"/>
      <c r="M77" s="323" t="s">
        <v>2853</v>
      </c>
      <c r="N77" s="323" t="s">
        <v>3022</v>
      </c>
      <c r="O77" s="359">
        <v>43637</v>
      </c>
      <c r="P77" s="323" t="s">
        <v>3022</v>
      </c>
      <c r="Q77" s="323" t="s">
        <v>2832</v>
      </c>
      <c r="R77" s="337"/>
      <c r="S77" s="323">
        <f>Table137[[#This Row],[DATE  CLOSED]]-Table137[[#This Row],[INITIATION DATE]]</f>
        <v>43</v>
      </c>
    </row>
    <row r="78" spans="1:19" ht="25.35" customHeight="1" x14ac:dyDescent="0.2">
      <c r="A78" s="346" t="s">
        <v>4916</v>
      </c>
      <c r="B78" s="325">
        <v>43598</v>
      </c>
      <c r="C78" s="329" t="s">
        <v>4917</v>
      </c>
      <c r="D78" s="329" t="s">
        <v>3426</v>
      </c>
      <c r="E78" s="326" t="s">
        <v>2971</v>
      </c>
      <c r="F78" s="323">
        <v>1</v>
      </c>
      <c r="G78" s="326" t="s">
        <v>2828</v>
      </c>
      <c r="H78" s="326" t="s">
        <v>3842</v>
      </c>
      <c r="I78" s="326" t="s">
        <v>3211</v>
      </c>
      <c r="J78" s="325">
        <v>43629</v>
      </c>
      <c r="K78" s="325"/>
      <c r="L78" s="325"/>
      <c r="M78" s="326" t="s">
        <v>2853</v>
      </c>
      <c r="N78" s="323" t="s">
        <v>2088</v>
      </c>
      <c r="O78" s="359">
        <v>43600</v>
      </c>
      <c r="P78" s="323" t="s">
        <v>3061</v>
      </c>
      <c r="Q78" s="323" t="s">
        <v>2829</v>
      </c>
      <c r="R78" s="337"/>
      <c r="S78" s="323">
        <f>Table137[[#This Row],[DATE  CLOSED]]-Table137[[#This Row],[INITIATION DATE]]</f>
        <v>2</v>
      </c>
    </row>
    <row r="79" spans="1:19" ht="25.35" customHeight="1" x14ac:dyDescent="0.2">
      <c r="A79" s="349" t="s">
        <v>4918</v>
      </c>
      <c r="B79" s="325">
        <v>43598</v>
      </c>
      <c r="C79" s="328" t="s">
        <v>4919</v>
      </c>
      <c r="D79" s="328" t="s">
        <v>4920</v>
      </c>
      <c r="E79" s="323" t="s">
        <v>4921</v>
      </c>
      <c r="F79" s="323">
        <v>1</v>
      </c>
      <c r="G79" s="323" t="s">
        <v>2828</v>
      </c>
      <c r="H79" s="323" t="s">
        <v>3423</v>
      </c>
      <c r="I79" s="323" t="s">
        <v>3926</v>
      </c>
      <c r="J79" s="325">
        <v>43629</v>
      </c>
      <c r="K79" s="325"/>
      <c r="L79" s="325"/>
      <c r="M79" s="323" t="s">
        <v>2853</v>
      </c>
      <c r="N79" s="323" t="s">
        <v>2088</v>
      </c>
      <c r="O79" s="359">
        <v>43642</v>
      </c>
      <c r="P79" s="323" t="s">
        <v>3061</v>
      </c>
      <c r="Q79" s="323" t="s">
        <v>2829</v>
      </c>
      <c r="R79" s="337"/>
      <c r="S79" s="323">
        <f>Table137[[#This Row],[DATE  CLOSED]]-Table137[[#This Row],[INITIATION DATE]]</f>
        <v>44</v>
      </c>
    </row>
    <row r="80" spans="1:19" ht="25.35" customHeight="1" x14ac:dyDescent="0.2">
      <c r="A80" s="349" t="s">
        <v>4922</v>
      </c>
      <c r="B80" s="325">
        <v>43598</v>
      </c>
      <c r="C80" s="328" t="s">
        <v>4923</v>
      </c>
      <c r="D80" s="329" t="s">
        <v>4924</v>
      </c>
      <c r="E80" s="323" t="s">
        <v>2971</v>
      </c>
      <c r="F80" s="323">
        <v>1</v>
      </c>
      <c r="G80" s="323" t="s">
        <v>2841</v>
      </c>
      <c r="H80" s="323" t="s">
        <v>3729</v>
      </c>
      <c r="I80" s="323" t="s">
        <v>229</v>
      </c>
      <c r="J80" s="325">
        <v>43616</v>
      </c>
      <c r="K80" s="325"/>
      <c r="L80" s="325"/>
      <c r="M80" s="323" t="s">
        <v>2853</v>
      </c>
      <c r="N80" s="323" t="s">
        <v>2088</v>
      </c>
      <c r="O80" s="359">
        <v>43616</v>
      </c>
      <c r="P80" s="323" t="s">
        <v>3061</v>
      </c>
      <c r="Q80" s="323" t="s">
        <v>2829</v>
      </c>
      <c r="R80" s="337"/>
      <c r="S80" s="323">
        <f>Table137[[#This Row],[DATE  CLOSED]]-Table137[[#This Row],[INITIATION DATE]]</f>
        <v>18</v>
      </c>
    </row>
    <row r="81" spans="1:19" ht="25.35" customHeight="1" x14ac:dyDescent="0.2">
      <c r="A81" s="349" t="s">
        <v>4926</v>
      </c>
      <c r="B81" s="325">
        <v>43608</v>
      </c>
      <c r="C81" s="328" t="s">
        <v>2605</v>
      </c>
      <c r="D81" s="328" t="s">
        <v>4927</v>
      </c>
      <c r="E81" s="323" t="s">
        <v>2971</v>
      </c>
      <c r="F81" s="323">
        <v>1</v>
      </c>
      <c r="G81" s="323" t="s">
        <v>2838</v>
      </c>
      <c r="H81" s="323" t="s">
        <v>685</v>
      </c>
      <c r="I81" s="323" t="s">
        <v>229</v>
      </c>
      <c r="J81" s="325">
        <v>43644</v>
      </c>
      <c r="K81" s="325"/>
      <c r="L81" s="325"/>
      <c r="M81" s="323" t="s">
        <v>2853</v>
      </c>
      <c r="N81" s="323" t="s">
        <v>2088</v>
      </c>
      <c r="O81" s="359">
        <v>43616</v>
      </c>
      <c r="P81" s="323" t="s">
        <v>3061</v>
      </c>
      <c r="Q81" s="323" t="s">
        <v>2829</v>
      </c>
      <c r="R81" s="337"/>
      <c r="S81" s="323">
        <f>Table137[[#This Row],[DATE  CLOSED]]-Table137[[#This Row],[INITIATION DATE]]</f>
        <v>8</v>
      </c>
    </row>
    <row r="82" spans="1:19" ht="25.35" customHeight="1" x14ac:dyDescent="0.2">
      <c r="A82" s="349" t="s">
        <v>4928</v>
      </c>
      <c r="B82" s="325">
        <v>43609</v>
      </c>
      <c r="C82" s="328" t="s">
        <v>4950</v>
      </c>
      <c r="D82" s="328" t="s">
        <v>4930</v>
      </c>
      <c r="E82" s="323" t="s">
        <v>2971</v>
      </c>
      <c r="F82" s="323">
        <v>1</v>
      </c>
      <c r="G82" s="323" t="s">
        <v>2841</v>
      </c>
      <c r="H82" s="323" t="s">
        <v>4021</v>
      </c>
      <c r="I82" s="323" t="s">
        <v>3211</v>
      </c>
      <c r="J82" s="325">
        <v>43646</v>
      </c>
      <c r="K82" s="325"/>
      <c r="L82" s="325"/>
      <c r="M82" s="323" t="s">
        <v>2853</v>
      </c>
      <c r="N82" s="323" t="s">
        <v>3022</v>
      </c>
      <c r="O82" s="359">
        <v>43656</v>
      </c>
      <c r="P82" s="323" t="s">
        <v>3022</v>
      </c>
      <c r="Q82" s="323" t="s">
        <v>2832</v>
      </c>
      <c r="R82" s="337"/>
      <c r="S82" s="323">
        <f>Table137[[#This Row],[DATE  CLOSED]]-Table137[[#This Row],[INITIATION DATE]]</f>
        <v>47</v>
      </c>
    </row>
    <row r="83" spans="1:19" ht="25.35" customHeight="1" x14ac:dyDescent="0.2">
      <c r="A83" s="349" t="s">
        <v>4929</v>
      </c>
      <c r="B83" s="325">
        <v>43609</v>
      </c>
      <c r="C83" s="328" t="s">
        <v>4951</v>
      </c>
      <c r="D83" s="328" t="s">
        <v>4930</v>
      </c>
      <c r="E83" s="323" t="s">
        <v>2971</v>
      </c>
      <c r="F83" s="323">
        <v>1</v>
      </c>
      <c r="G83" s="323" t="s">
        <v>2841</v>
      </c>
      <c r="H83" s="323" t="s">
        <v>4021</v>
      </c>
      <c r="I83" s="323" t="s">
        <v>3211</v>
      </c>
      <c r="J83" s="325">
        <v>43646</v>
      </c>
      <c r="K83" s="325"/>
      <c r="L83" s="325"/>
      <c r="M83" s="323" t="s">
        <v>2853</v>
      </c>
      <c r="N83" s="323" t="s">
        <v>3022</v>
      </c>
      <c r="O83" s="359">
        <v>43656</v>
      </c>
      <c r="P83" s="323" t="s">
        <v>3022</v>
      </c>
      <c r="Q83" s="323" t="s">
        <v>2832</v>
      </c>
      <c r="R83" s="337"/>
      <c r="S83" s="323">
        <f>Table137[[#This Row],[DATE  CLOSED]]-Table137[[#This Row],[INITIATION DATE]]</f>
        <v>47</v>
      </c>
    </row>
    <row r="84" spans="1:19" ht="25.35" customHeight="1" x14ac:dyDescent="0.2">
      <c r="A84" s="346" t="s">
        <v>4931</v>
      </c>
      <c r="B84" s="325">
        <v>43614</v>
      </c>
      <c r="C84" s="329" t="s">
        <v>4932</v>
      </c>
      <c r="D84" s="329" t="s">
        <v>4933</v>
      </c>
      <c r="E84" s="326" t="s">
        <v>4242</v>
      </c>
      <c r="F84" s="323">
        <v>1</v>
      </c>
      <c r="G84" s="326" t="s">
        <v>2828</v>
      </c>
      <c r="H84" s="326" t="s">
        <v>3423</v>
      </c>
      <c r="I84" s="326" t="s">
        <v>3211</v>
      </c>
      <c r="J84" s="325">
        <v>43646</v>
      </c>
      <c r="K84" s="325"/>
      <c r="L84" s="325"/>
      <c r="M84" s="326" t="s">
        <v>2853</v>
      </c>
      <c r="N84" s="323" t="s">
        <v>3022</v>
      </c>
      <c r="O84" s="359">
        <v>43644</v>
      </c>
      <c r="P84" s="323" t="s">
        <v>3061</v>
      </c>
      <c r="Q84" s="323" t="s">
        <v>2829</v>
      </c>
      <c r="R84" s="337"/>
      <c r="S84" s="323">
        <f>Table137[[#This Row],[DATE  CLOSED]]-Table137[[#This Row],[INITIATION DATE]]</f>
        <v>30</v>
      </c>
    </row>
    <row r="85" spans="1:19" ht="25.35" customHeight="1" x14ac:dyDescent="0.2">
      <c r="A85" s="346" t="s">
        <v>4934</v>
      </c>
      <c r="B85" s="325">
        <v>43616</v>
      </c>
      <c r="C85" s="328" t="s">
        <v>4935</v>
      </c>
      <c r="D85" s="328" t="s">
        <v>4936</v>
      </c>
      <c r="E85" s="323" t="s">
        <v>4675</v>
      </c>
      <c r="F85" s="323">
        <v>1</v>
      </c>
      <c r="G85" s="323" t="s">
        <v>2828</v>
      </c>
      <c r="H85" s="323" t="s">
        <v>3975</v>
      </c>
      <c r="I85" s="323" t="s">
        <v>3926</v>
      </c>
      <c r="J85" s="325">
        <v>43646</v>
      </c>
      <c r="K85" s="325"/>
      <c r="L85" s="325"/>
      <c r="M85" s="323" t="s">
        <v>2853</v>
      </c>
      <c r="N85" s="323" t="s">
        <v>2088</v>
      </c>
      <c r="O85" s="359">
        <v>43628</v>
      </c>
      <c r="P85" s="323" t="s">
        <v>3061</v>
      </c>
      <c r="Q85" s="323" t="s">
        <v>2829</v>
      </c>
      <c r="R85" s="337"/>
      <c r="S85" s="323">
        <f>Table137[[#This Row],[DATE  CLOSED]]-Table137[[#This Row],[INITIATION DATE]]</f>
        <v>12</v>
      </c>
    </row>
    <row r="86" spans="1:19" ht="25.35" customHeight="1" x14ac:dyDescent="0.2">
      <c r="A86" s="346" t="s">
        <v>4937</v>
      </c>
      <c r="B86" s="325">
        <v>43616</v>
      </c>
      <c r="C86" s="328" t="s">
        <v>4939</v>
      </c>
      <c r="D86" s="328" t="s">
        <v>4940</v>
      </c>
      <c r="E86" s="323" t="s">
        <v>2971</v>
      </c>
      <c r="F86" s="323">
        <v>1</v>
      </c>
      <c r="G86" s="323" t="s">
        <v>2838</v>
      </c>
      <c r="H86" s="323" t="s">
        <v>685</v>
      </c>
      <c r="I86" s="323" t="s">
        <v>229</v>
      </c>
      <c r="J86" s="325">
        <v>43616</v>
      </c>
      <c r="K86" s="325"/>
      <c r="L86" s="325"/>
      <c r="M86" s="323" t="s">
        <v>2853</v>
      </c>
      <c r="N86" s="323" t="s">
        <v>2088</v>
      </c>
      <c r="O86" s="359">
        <v>43616</v>
      </c>
      <c r="P86" s="323" t="s">
        <v>3061</v>
      </c>
      <c r="Q86" s="323" t="s">
        <v>2829</v>
      </c>
      <c r="R86" s="337"/>
      <c r="S86" s="323">
        <f>Table137[[#This Row],[DATE  CLOSED]]-Table137[[#This Row],[INITIATION DATE]]</f>
        <v>0</v>
      </c>
    </row>
    <row r="87" spans="1:19" ht="25.35" customHeight="1" x14ac:dyDescent="0.2">
      <c r="A87" s="346" t="s">
        <v>4938</v>
      </c>
      <c r="B87" s="325">
        <v>43616</v>
      </c>
      <c r="C87" s="328" t="s">
        <v>4941</v>
      </c>
      <c r="D87" s="328" t="s">
        <v>4942</v>
      </c>
      <c r="E87" s="323" t="s">
        <v>2971</v>
      </c>
      <c r="F87" s="323">
        <v>1</v>
      </c>
      <c r="G87" s="323" t="s">
        <v>2838</v>
      </c>
      <c r="H87" s="323" t="s">
        <v>685</v>
      </c>
      <c r="I87" s="323" t="s">
        <v>229</v>
      </c>
      <c r="J87" s="325">
        <v>43644</v>
      </c>
      <c r="K87" s="325"/>
      <c r="L87" s="325"/>
      <c r="M87" s="323" t="s">
        <v>2853</v>
      </c>
      <c r="N87" s="323" t="s">
        <v>3022</v>
      </c>
      <c r="O87" s="359">
        <v>43697</v>
      </c>
      <c r="P87" s="323" t="s">
        <v>3022</v>
      </c>
      <c r="Q87" s="323" t="s">
        <v>2832</v>
      </c>
      <c r="R87" s="337"/>
      <c r="S87" s="323">
        <f>Table137[[#This Row],[DATE  CLOSED]]-Table137[[#This Row],[INITIATION DATE]]</f>
        <v>81</v>
      </c>
    </row>
    <row r="88" spans="1:19" ht="25.35" customHeight="1" x14ac:dyDescent="0.2">
      <c r="A88" s="346" t="s">
        <v>4943</v>
      </c>
      <c r="B88" s="325">
        <v>43619</v>
      </c>
      <c r="C88" s="328" t="s">
        <v>4944</v>
      </c>
      <c r="D88" s="328" t="s">
        <v>3039</v>
      </c>
      <c r="E88" s="323" t="s">
        <v>2971</v>
      </c>
      <c r="F88" s="323">
        <v>1</v>
      </c>
      <c r="G88" s="323" t="s">
        <v>2841</v>
      </c>
      <c r="H88" s="323" t="s">
        <v>1339</v>
      </c>
      <c r="I88" s="323" t="s">
        <v>229</v>
      </c>
      <c r="J88" s="325">
        <v>43644</v>
      </c>
      <c r="K88" s="325"/>
      <c r="L88" s="325"/>
      <c r="M88" s="323" t="s">
        <v>2853</v>
      </c>
      <c r="N88" s="323" t="s">
        <v>2088</v>
      </c>
      <c r="O88" s="359">
        <v>43636</v>
      </c>
      <c r="P88" s="323" t="s">
        <v>3061</v>
      </c>
      <c r="Q88" s="323" t="s">
        <v>2829</v>
      </c>
      <c r="R88" s="337"/>
      <c r="S88" s="323">
        <f>Table137[[#This Row],[DATE  CLOSED]]-Table137[[#This Row],[INITIATION DATE]]</f>
        <v>17</v>
      </c>
    </row>
    <row r="89" spans="1:19" ht="25.35" customHeight="1" x14ac:dyDescent="0.2">
      <c r="A89" s="346" t="s">
        <v>4952</v>
      </c>
      <c r="B89" s="325">
        <v>43621</v>
      </c>
      <c r="C89" s="328" t="s">
        <v>4953</v>
      </c>
      <c r="D89" s="328" t="s">
        <v>4954</v>
      </c>
      <c r="E89" s="323" t="s">
        <v>3586</v>
      </c>
      <c r="F89" s="323">
        <v>1</v>
      </c>
      <c r="G89" s="323" t="s">
        <v>2828</v>
      </c>
      <c r="H89" s="323" t="s">
        <v>2106</v>
      </c>
      <c r="I89" s="323" t="s">
        <v>3211</v>
      </c>
      <c r="J89" s="325">
        <v>43646</v>
      </c>
      <c r="K89" s="325"/>
      <c r="L89" s="325"/>
      <c r="M89" s="323" t="s">
        <v>2853</v>
      </c>
      <c r="N89" s="323" t="s">
        <v>2088</v>
      </c>
      <c r="O89" s="359">
        <v>43627</v>
      </c>
      <c r="P89" s="323" t="s">
        <v>3061</v>
      </c>
      <c r="Q89" s="323" t="s">
        <v>2829</v>
      </c>
      <c r="R89" s="337"/>
      <c r="S89" s="323">
        <f>Table137[[#This Row],[DATE  CLOSED]]-Table137[[#This Row],[INITIATION DATE]]</f>
        <v>6</v>
      </c>
    </row>
    <row r="90" spans="1:19" ht="25.35" customHeight="1" x14ac:dyDescent="0.2">
      <c r="A90" s="346" t="s">
        <v>4955</v>
      </c>
      <c r="B90" s="325">
        <v>43621</v>
      </c>
      <c r="C90" s="328" t="s">
        <v>4956</v>
      </c>
      <c r="D90" s="328" t="s">
        <v>4957</v>
      </c>
      <c r="E90" s="323" t="s">
        <v>2971</v>
      </c>
      <c r="F90" s="323">
        <v>1</v>
      </c>
      <c r="G90" s="323" t="s">
        <v>2836</v>
      </c>
      <c r="H90" s="323" t="s">
        <v>3991</v>
      </c>
      <c r="I90" s="323" t="s">
        <v>229</v>
      </c>
      <c r="J90" s="325">
        <v>43677</v>
      </c>
      <c r="K90" s="325"/>
      <c r="L90" s="325"/>
      <c r="M90" s="323" t="s">
        <v>2853</v>
      </c>
      <c r="N90" s="323" t="s">
        <v>3061</v>
      </c>
      <c r="O90" s="359">
        <v>43658</v>
      </c>
      <c r="P90" s="323" t="s">
        <v>3061</v>
      </c>
      <c r="Q90" s="323" t="s">
        <v>2832</v>
      </c>
      <c r="R90" s="337"/>
      <c r="S90" s="323">
        <f>Table137[[#This Row],[DATE  CLOSED]]-Table137[[#This Row],[INITIATION DATE]]</f>
        <v>37</v>
      </c>
    </row>
    <row r="91" spans="1:19" ht="25.35" customHeight="1" x14ac:dyDescent="0.2">
      <c r="A91" s="349" t="s">
        <v>4960</v>
      </c>
      <c r="B91" s="325">
        <v>43622</v>
      </c>
      <c r="C91" s="328" t="s">
        <v>4958</v>
      </c>
      <c r="D91" s="328" t="s">
        <v>4959</v>
      </c>
      <c r="E91" s="323" t="s">
        <v>2971</v>
      </c>
      <c r="F91" s="323">
        <v>1</v>
      </c>
      <c r="G91" s="323" t="s">
        <v>2828</v>
      </c>
      <c r="H91" s="323" t="s">
        <v>4079</v>
      </c>
      <c r="I91" s="323" t="s">
        <v>3211</v>
      </c>
      <c r="J91" s="325">
        <v>43654</v>
      </c>
      <c r="K91" s="325"/>
      <c r="L91" s="325"/>
      <c r="M91" s="323" t="s">
        <v>2853</v>
      </c>
      <c r="N91" s="323" t="s">
        <v>2088</v>
      </c>
      <c r="O91" s="359">
        <v>43749</v>
      </c>
      <c r="P91" s="323" t="s">
        <v>3061</v>
      </c>
      <c r="Q91" s="323" t="s">
        <v>2835</v>
      </c>
      <c r="R91" s="337"/>
      <c r="S91" s="323">
        <f>Table137[[#This Row],[DATE  CLOSED]]-Table137[[#This Row],[INITIATION DATE]]</f>
        <v>127</v>
      </c>
    </row>
    <row r="92" spans="1:19" ht="25.35" customHeight="1" x14ac:dyDescent="0.2">
      <c r="A92" s="349" t="s">
        <v>4961</v>
      </c>
      <c r="B92" s="325">
        <v>43623</v>
      </c>
      <c r="C92" s="328" t="s">
        <v>4962</v>
      </c>
      <c r="D92" s="328" t="s">
        <v>4963</v>
      </c>
      <c r="E92" s="323" t="s">
        <v>2971</v>
      </c>
      <c r="F92" s="323">
        <v>1</v>
      </c>
      <c r="G92" s="323" t="s">
        <v>2836</v>
      </c>
      <c r="H92" s="323" t="s">
        <v>685</v>
      </c>
      <c r="I92" s="323" t="s">
        <v>229</v>
      </c>
      <c r="J92" s="325">
        <v>43644</v>
      </c>
      <c r="K92" s="325"/>
      <c r="L92" s="325"/>
      <c r="M92" s="323" t="s">
        <v>2853</v>
      </c>
      <c r="N92" s="323" t="s">
        <v>2088</v>
      </c>
      <c r="O92" s="359">
        <v>43629</v>
      </c>
      <c r="P92" s="323" t="s">
        <v>3061</v>
      </c>
      <c r="Q92" s="323" t="s">
        <v>2829</v>
      </c>
      <c r="R92" s="337"/>
      <c r="S92" s="323">
        <f>Table137[[#This Row],[DATE  CLOSED]]-Table137[[#This Row],[INITIATION DATE]]</f>
        <v>6</v>
      </c>
    </row>
    <row r="93" spans="1:19" ht="25.35" customHeight="1" x14ac:dyDescent="0.2">
      <c r="A93" s="349" t="s">
        <v>4964</v>
      </c>
      <c r="B93" s="325">
        <v>43623</v>
      </c>
      <c r="C93" s="329" t="s">
        <v>4965</v>
      </c>
      <c r="D93" s="329" t="s">
        <v>4966</v>
      </c>
      <c r="E93" s="326" t="s">
        <v>3969</v>
      </c>
      <c r="F93" s="323">
        <v>1</v>
      </c>
      <c r="G93" s="326" t="s">
        <v>2828</v>
      </c>
      <c r="H93" s="326" t="s">
        <v>3423</v>
      </c>
      <c r="I93" s="326" t="s">
        <v>3211</v>
      </c>
      <c r="J93" s="325">
        <v>43654</v>
      </c>
      <c r="K93" s="325"/>
      <c r="L93" s="325"/>
      <c r="M93" s="326" t="s">
        <v>2853</v>
      </c>
      <c r="N93" s="323" t="s">
        <v>2088</v>
      </c>
      <c r="O93" s="359">
        <v>43642</v>
      </c>
      <c r="P93" s="323" t="s">
        <v>3061</v>
      </c>
      <c r="Q93" s="323" t="s">
        <v>2829</v>
      </c>
      <c r="R93" s="337"/>
      <c r="S93" s="323">
        <f>Table137[[#This Row],[DATE  CLOSED]]-Table137[[#This Row],[INITIATION DATE]]</f>
        <v>19</v>
      </c>
    </row>
    <row r="94" spans="1:19" ht="25.35" customHeight="1" x14ac:dyDescent="0.2">
      <c r="A94" s="349" t="s">
        <v>4967</v>
      </c>
      <c r="B94" s="325">
        <v>43626</v>
      </c>
      <c r="C94" s="328" t="s">
        <v>4968</v>
      </c>
      <c r="D94" s="328" t="s">
        <v>4048</v>
      </c>
      <c r="E94" s="323" t="s">
        <v>2971</v>
      </c>
      <c r="F94" s="323">
        <v>1</v>
      </c>
      <c r="G94" s="323" t="s">
        <v>2841</v>
      </c>
      <c r="H94" s="323" t="s">
        <v>229</v>
      </c>
      <c r="I94" s="323" t="s">
        <v>229</v>
      </c>
      <c r="J94" s="325">
        <v>43644</v>
      </c>
      <c r="K94" s="325"/>
      <c r="L94" s="325"/>
      <c r="M94" s="323" t="s">
        <v>2853</v>
      </c>
      <c r="N94" s="323" t="s">
        <v>2088</v>
      </c>
      <c r="O94" s="359">
        <v>43648</v>
      </c>
      <c r="P94" s="323" t="s">
        <v>3061</v>
      </c>
      <c r="Q94" s="323" t="s">
        <v>2829</v>
      </c>
      <c r="R94" s="337"/>
      <c r="S94" s="323">
        <f>Table137[[#This Row],[DATE  CLOSED]]-Table137[[#This Row],[INITIATION DATE]]</f>
        <v>22</v>
      </c>
    </row>
    <row r="95" spans="1:19" ht="25.35" customHeight="1" x14ac:dyDescent="0.2">
      <c r="A95" s="349" t="s">
        <v>4969</v>
      </c>
      <c r="B95" s="325">
        <v>43627</v>
      </c>
      <c r="C95" s="328" t="s">
        <v>4970</v>
      </c>
      <c r="D95" s="328" t="s">
        <v>4456</v>
      </c>
      <c r="E95" s="323" t="s">
        <v>2971</v>
      </c>
      <c r="F95" s="323">
        <v>1</v>
      </c>
      <c r="G95" s="323" t="s">
        <v>2841</v>
      </c>
      <c r="H95" s="323" t="s">
        <v>3926</v>
      </c>
      <c r="I95" s="323" t="s">
        <v>229</v>
      </c>
      <c r="J95" s="325">
        <v>43646</v>
      </c>
      <c r="K95" s="325"/>
      <c r="L95" s="325"/>
      <c r="M95" s="323" t="s">
        <v>2853</v>
      </c>
      <c r="N95" s="323" t="s">
        <v>2088</v>
      </c>
      <c r="O95" s="359">
        <v>43658</v>
      </c>
      <c r="P95" s="323" t="s">
        <v>3061</v>
      </c>
      <c r="Q95" s="323" t="s">
        <v>2829</v>
      </c>
      <c r="R95" s="337"/>
      <c r="S95" s="323">
        <f>Table137[[#This Row],[DATE  CLOSED]]-Table137[[#This Row],[INITIATION DATE]]</f>
        <v>31</v>
      </c>
    </row>
    <row r="96" spans="1:19" ht="25.35" customHeight="1" x14ac:dyDescent="0.2">
      <c r="A96" s="349" t="s">
        <v>4974</v>
      </c>
      <c r="B96" s="325">
        <v>43629</v>
      </c>
      <c r="C96" s="328" t="s">
        <v>4975</v>
      </c>
      <c r="D96" s="328" t="s">
        <v>3225</v>
      </c>
      <c r="E96" s="323" t="s">
        <v>2971</v>
      </c>
      <c r="F96" s="323">
        <v>1</v>
      </c>
      <c r="G96" s="323" t="s">
        <v>2841</v>
      </c>
      <c r="H96" s="323" t="s">
        <v>486</v>
      </c>
      <c r="I96" s="323" t="s">
        <v>229</v>
      </c>
      <c r="J96" s="325">
        <v>43644</v>
      </c>
      <c r="K96" s="325"/>
      <c r="L96" s="325"/>
      <c r="M96" s="323" t="s">
        <v>2853</v>
      </c>
      <c r="N96" s="323" t="s">
        <v>2088</v>
      </c>
      <c r="O96" s="359">
        <v>43654</v>
      </c>
      <c r="P96" s="323" t="s">
        <v>3061</v>
      </c>
      <c r="Q96" s="323" t="s">
        <v>2829</v>
      </c>
      <c r="R96" s="337"/>
      <c r="S96" s="323">
        <f>Table137[[#This Row],[DATE  CLOSED]]-Table137[[#This Row],[INITIATION DATE]]</f>
        <v>25</v>
      </c>
    </row>
    <row r="97" spans="1:19" ht="25.35" customHeight="1" x14ac:dyDescent="0.2">
      <c r="A97" s="349" t="s">
        <v>4976</v>
      </c>
      <c r="B97" s="325">
        <v>43630</v>
      </c>
      <c r="C97" s="328" t="s">
        <v>4977</v>
      </c>
      <c r="D97" s="328" t="s">
        <v>3873</v>
      </c>
      <c r="E97" s="323" t="s">
        <v>2971</v>
      </c>
      <c r="F97" s="323">
        <v>1</v>
      </c>
      <c r="G97" s="323" t="s">
        <v>2841</v>
      </c>
      <c r="H97" s="323" t="s">
        <v>3991</v>
      </c>
      <c r="I97" s="323" t="s">
        <v>229</v>
      </c>
      <c r="J97" s="325">
        <v>43644</v>
      </c>
      <c r="K97" s="325"/>
      <c r="L97" s="325"/>
      <c r="M97" s="323" t="s">
        <v>2853</v>
      </c>
      <c r="N97" s="323" t="s">
        <v>2088</v>
      </c>
      <c r="O97" s="359">
        <v>43648</v>
      </c>
      <c r="P97" s="323" t="s">
        <v>3061</v>
      </c>
      <c r="Q97" s="323" t="s">
        <v>2829</v>
      </c>
      <c r="R97" s="337"/>
      <c r="S97" s="323">
        <f>Table137[[#This Row],[DATE  CLOSED]]-Table137[[#This Row],[INITIATION DATE]]</f>
        <v>18</v>
      </c>
    </row>
    <row r="98" spans="1:19" ht="25.35" customHeight="1" x14ac:dyDescent="0.2">
      <c r="A98" s="349" t="s">
        <v>4978</v>
      </c>
      <c r="B98" s="325">
        <v>43630</v>
      </c>
      <c r="C98" s="328" t="s">
        <v>4980</v>
      </c>
      <c r="D98" s="328" t="s">
        <v>4979</v>
      </c>
      <c r="E98" s="323" t="s">
        <v>2971</v>
      </c>
      <c r="F98" s="323">
        <v>1</v>
      </c>
      <c r="G98" s="323" t="s">
        <v>2834</v>
      </c>
      <c r="H98" s="323" t="s">
        <v>3645</v>
      </c>
      <c r="I98" s="323" t="s">
        <v>441</v>
      </c>
      <c r="J98" s="325">
        <v>43637</v>
      </c>
      <c r="K98" s="325"/>
      <c r="L98" s="325"/>
      <c r="M98" s="323" t="s">
        <v>2853</v>
      </c>
      <c r="N98" s="323" t="s">
        <v>1139</v>
      </c>
      <c r="O98" s="359">
        <v>43633</v>
      </c>
      <c r="P98" s="323" t="s">
        <v>3061</v>
      </c>
      <c r="Q98" s="323" t="s">
        <v>2829</v>
      </c>
      <c r="R98" s="337" t="s">
        <v>5016</v>
      </c>
      <c r="S98" s="323">
        <f>Table137[[#This Row],[DATE  CLOSED]]-Table137[[#This Row],[INITIATION DATE]]</f>
        <v>3</v>
      </c>
    </row>
    <row r="99" spans="1:19" ht="25.35" customHeight="1" x14ac:dyDescent="0.2">
      <c r="A99" s="349" t="s">
        <v>4984</v>
      </c>
      <c r="B99" s="325">
        <v>43634</v>
      </c>
      <c r="C99" s="329" t="s">
        <v>4986</v>
      </c>
      <c r="D99" s="329" t="s">
        <v>4985</v>
      </c>
      <c r="E99" s="326" t="s">
        <v>3777</v>
      </c>
      <c r="F99" s="323">
        <v>1</v>
      </c>
      <c r="G99" s="326" t="s">
        <v>2828</v>
      </c>
      <c r="H99" s="326" t="s">
        <v>4079</v>
      </c>
      <c r="I99" s="326" t="s">
        <v>3926</v>
      </c>
      <c r="J99" s="325">
        <v>43677</v>
      </c>
      <c r="K99" s="325"/>
      <c r="L99" s="325"/>
      <c r="M99" s="326" t="s">
        <v>2853</v>
      </c>
      <c r="N99" s="323" t="s">
        <v>2088</v>
      </c>
      <c r="O99" s="359">
        <v>43665</v>
      </c>
      <c r="P99" s="323" t="s">
        <v>3061</v>
      </c>
      <c r="Q99" s="323" t="s">
        <v>2829</v>
      </c>
      <c r="R99" s="337"/>
      <c r="S99" s="323">
        <f>Table137[[#This Row],[DATE  CLOSED]]-Table137[[#This Row],[INITIATION DATE]]</f>
        <v>31</v>
      </c>
    </row>
    <row r="100" spans="1:19" ht="25.35" customHeight="1" x14ac:dyDescent="0.2">
      <c r="A100" s="346" t="s">
        <v>4988</v>
      </c>
      <c r="B100" s="327">
        <v>43636</v>
      </c>
      <c r="C100" s="329" t="s">
        <v>4989</v>
      </c>
      <c r="D100" s="329" t="s">
        <v>4990</v>
      </c>
      <c r="E100" s="326" t="s">
        <v>3825</v>
      </c>
      <c r="F100" s="323">
        <v>1</v>
      </c>
      <c r="G100" s="326" t="s">
        <v>2828</v>
      </c>
      <c r="H100" s="326" t="s">
        <v>4232</v>
      </c>
      <c r="I100" s="326" t="s">
        <v>3211</v>
      </c>
      <c r="J100" s="325">
        <v>43668</v>
      </c>
      <c r="K100" s="325"/>
      <c r="L100" s="325"/>
      <c r="M100" s="326" t="s">
        <v>2853</v>
      </c>
      <c r="N100" s="323" t="s">
        <v>1139</v>
      </c>
      <c r="O100" s="359">
        <v>43642</v>
      </c>
      <c r="P100" s="323" t="s">
        <v>3061</v>
      </c>
      <c r="Q100" s="323" t="s">
        <v>2829</v>
      </c>
      <c r="R100" s="337"/>
      <c r="S100" s="323">
        <f>Table137[[#This Row],[DATE  CLOSED]]-Table137[[#This Row],[INITIATION DATE]]</f>
        <v>6</v>
      </c>
    </row>
    <row r="101" spans="1:19" ht="25.35" customHeight="1" x14ac:dyDescent="0.2">
      <c r="A101" s="346" t="s">
        <v>4991</v>
      </c>
      <c r="B101" s="325">
        <v>43640</v>
      </c>
      <c r="C101" s="329" t="s">
        <v>4992</v>
      </c>
      <c r="D101" s="329" t="s">
        <v>3873</v>
      </c>
      <c r="E101" s="326" t="s">
        <v>2971</v>
      </c>
      <c r="F101" s="323">
        <v>1</v>
      </c>
      <c r="G101" s="326" t="s">
        <v>2841</v>
      </c>
      <c r="H101" s="326" t="s">
        <v>727</v>
      </c>
      <c r="I101" s="326" t="s">
        <v>229</v>
      </c>
      <c r="J101" s="325">
        <v>43644</v>
      </c>
      <c r="K101" s="325"/>
      <c r="L101" s="325"/>
      <c r="M101" s="326" t="s">
        <v>2853</v>
      </c>
      <c r="N101" s="323" t="s">
        <v>2088</v>
      </c>
      <c r="O101" s="359">
        <v>43658</v>
      </c>
      <c r="P101" s="323" t="s">
        <v>3061</v>
      </c>
      <c r="Q101" s="323" t="s">
        <v>2829</v>
      </c>
      <c r="R101" s="337"/>
      <c r="S101" s="323">
        <f>Table137[[#This Row],[DATE  CLOSED]]-Table137[[#This Row],[INITIATION DATE]]</f>
        <v>18</v>
      </c>
    </row>
    <row r="102" spans="1:19" ht="25.35" customHeight="1" x14ac:dyDescent="0.2">
      <c r="A102" s="346" t="s">
        <v>4994</v>
      </c>
      <c r="B102" s="325">
        <v>43641</v>
      </c>
      <c r="C102" s="328" t="s">
        <v>4995</v>
      </c>
      <c r="D102" s="328" t="s">
        <v>3873</v>
      </c>
      <c r="E102" s="323" t="s">
        <v>2971</v>
      </c>
      <c r="F102" s="323">
        <v>1</v>
      </c>
      <c r="G102" s="323" t="s">
        <v>2841</v>
      </c>
      <c r="H102" s="323" t="s">
        <v>486</v>
      </c>
      <c r="I102" s="323" t="s">
        <v>229</v>
      </c>
      <c r="J102" s="325">
        <v>43644</v>
      </c>
      <c r="K102" s="325"/>
      <c r="L102" s="325"/>
      <c r="M102" s="323" t="s">
        <v>2853</v>
      </c>
      <c r="N102" s="323" t="s">
        <v>2088</v>
      </c>
      <c r="O102" s="359">
        <v>43656</v>
      </c>
      <c r="P102" s="323" t="s">
        <v>3061</v>
      </c>
      <c r="Q102" s="323" t="s">
        <v>2829</v>
      </c>
      <c r="R102" s="337"/>
      <c r="S102" s="323">
        <f>Table137[[#This Row],[DATE  CLOSED]]-Table137[[#This Row],[INITIATION DATE]]</f>
        <v>15</v>
      </c>
    </row>
    <row r="103" spans="1:19" ht="25.35" customHeight="1" x14ac:dyDescent="0.2">
      <c r="A103" s="346" t="s">
        <v>4996</v>
      </c>
      <c r="B103" s="325">
        <v>43641</v>
      </c>
      <c r="C103" s="328" t="s">
        <v>4997</v>
      </c>
      <c r="D103" s="328" t="s">
        <v>3873</v>
      </c>
      <c r="E103" s="323" t="s">
        <v>2971</v>
      </c>
      <c r="F103" s="323">
        <v>1</v>
      </c>
      <c r="G103" s="323" t="s">
        <v>2841</v>
      </c>
      <c r="H103" s="323" t="s">
        <v>481</v>
      </c>
      <c r="I103" s="323" t="s">
        <v>229</v>
      </c>
      <c r="J103" s="325">
        <v>43644</v>
      </c>
      <c r="K103" s="325"/>
      <c r="L103" s="325"/>
      <c r="M103" s="323" t="s">
        <v>2853</v>
      </c>
      <c r="N103" s="323" t="s">
        <v>2088</v>
      </c>
      <c r="O103" s="359">
        <v>43656</v>
      </c>
      <c r="P103" s="323" t="s">
        <v>3061</v>
      </c>
      <c r="Q103" s="323" t="s">
        <v>2829</v>
      </c>
      <c r="R103" s="337"/>
      <c r="S103" s="323">
        <f>Table137[[#This Row],[DATE  CLOSED]]-Table137[[#This Row],[INITIATION DATE]]</f>
        <v>15</v>
      </c>
    </row>
    <row r="104" spans="1:19" ht="25.35" customHeight="1" x14ac:dyDescent="0.2">
      <c r="A104" s="349" t="s">
        <v>4998</v>
      </c>
      <c r="B104" s="325">
        <v>43642</v>
      </c>
      <c r="C104" s="328" t="s">
        <v>4999</v>
      </c>
      <c r="D104" s="328" t="s">
        <v>5000</v>
      </c>
      <c r="E104" s="323" t="s">
        <v>3532</v>
      </c>
      <c r="F104" s="323">
        <v>1</v>
      </c>
      <c r="G104" s="323" t="s">
        <v>2836</v>
      </c>
      <c r="H104" s="323" t="s">
        <v>3423</v>
      </c>
      <c r="I104" s="323" t="s">
        <v>3211</v>
      </c>
      <c r="J104" s="325">
        <v>43679</v>
      </c>
      <c r="K104" s="325">
        <v>43799</v>
      </c>
      <c r="L104" s="325">
        <v>43861</v>
      </c>
      <c r="M104" s="323" t="s">
        <v>2853</v>
      </c>
      <c r="N104" s="323" t="s">
        <v>3061</v>
      </c>
      <c r="O104" s="359">
        <v>43861</v>
      </c>
      <c r="P104" s="323" t="s">
        <v>3061</v>
      </c>
      <c r="Q104" s="323" t="s">
        <v>2837</v>
      </c>
      <c r="R104" s="337"/>
      <c r="S104" s="323">
        <f>Table137[[#This Row],[DATE  CLOSED]]-Table137[[#This Row],[INITIATION DATE]]</f>
        <v>219</v>
      </c>
    </row>
    <row r="105" spans="1:19" ht="25.35" customHeight="1" x14ac:dyDescent="0.2">
      <c r="A105" s="349" t="s">
        <v>5001</v>
      </c>
      <c r="B105" s="325">
        <v>43643</v>
      </c>
      <c r="C105" s="328" t="s">
        <v>5002</v>
      </c>
      <c r="D105" s="328" t="s">
        <v>5003</v>
      </c>
      <c r="E105" s="323" t="s">
        <v>3473</v>
      </c>
      <c r="F105" s="323">
        <v>1</v>
      </c>
      <c r="G105" s="323" t="s">
        <v>2828</v>
      </c>
      <c r="H105" s="323" t="s">
        <v>4079</v>
      </c>
      <c r="I105" s="323" t="s">
        <v>3926</v>
      </c>
      <c r="J105" s="325">
        <v>43677</v>
      </c>
      <c r="K105" s="325"/>
      <c r="L105" s="325"/>
      <c r="M105" s="323" t="s">
        <v>2853</v>
      </c>
      <c r="N105" s="323" t="s">
        <v>2088</v>
      </c>
      <c r="O105" s="359">
        <v>43671</v>
      </c>
      <c r="P105" s="323" t="s">
        <v>3061</v>
      </c>
      <c r="Q105" s="323" t="s">
        <v>2829</v>
      </c>
      <c r="R105" s="337"/>
      <c r="S105" s="323">
        <f>Table137[[#This Row],[DATE  CLOSED]]-Table137[[#This Row],[INITIATION DATE]]</f>
        <v>28</v>
      </c>
    </row>
    <row r="106" spans="1:19" ht="25.35" customHeight="1" x14ac:dyDescent="0.2">
      <c r="A106" s="349" t="s">
        <v>5004</v>
      </c>
      <c r="B106" s="325">
        <v>43648</v>
      </c>
      <c r="C106" s="328" t="s">
        <v>5040</v>
      </c>
      <c r="D106" s="328" t="s">
        <v>5005</v>
      </c>
      <c r="E106" s="323" t="s">
        <v>2971</v>
      </c>
      <c r="F106" s="323">
        <v>1</v>
      </c>
      <c r="G106" s="323" t="s">
        <v>2838</v>
      </c>
      <c r="H106" s="323" t="s">
        <v>685</v>
      </c>
      <c r="I106" s="323" t="s">
        <v>229</v>
      </c>
      <c r="J106" s="325">
        <v>43707</v>
      </c>
      <c r="K106" s="325"/>
      <c r="L106" s="325"/>
      <c r="M106" s="323" t="s">
        <v>2853</v>
      </c>
      <c r="N106" s="323" t="s">
        <v>2088</v>
      </c>
      <c r="O106" s="359">
        <v>43654</v>
      </c>
      <c r="P106" s="323" t="s">
        <v>3061</v>
      </c>
      <c r="Q106" s="323" t="s">
        <v>2829</v>
      </c>
      <c r="R106" s="337"/>
      <c r="S106" s="323">
        <f>Table137[[#This Row],[DATE  CLOSED]]-Table137[[#This Row],[INITIATION DATE]]</f>
        <v>6</v>
      </c>
    </row>
    <row r="107" spans="1:19" ht="25.35" customHeight="1" x14ac:dyDescent="0.2">
      <c r="A107" s="349" t="s">
        <v>5006</v>
      </c>
      <c r="B107" s="325">
        <v>43648</v>
      </c>
      <c r="C107" s="328" t="s">
        <v>5007</v>
      </c>
      <c r="D107" s="328" t="s">
        <v>5008</v>
      </c>
      <c r="E107" s="323" t="s">
        <v>3519</v>
      </c>
      <c r="F107" s="323">
        <v>2</v>
      </c>
      <c r="G107" s="323" t="s">
        <v>2828</v>
      </c>
      <c r="H107" s="323" t="s">
        <v>4163</v>
      </c>
      <c r="I107" s="323" t="s">
        <v>3211</v>
      </c>
      <c r="J107" s="325">
        <v>43679</v>
      </c>
      <c r="K107" s="325">
        <v>43738</v>
      </c>
      <c r="L107" s="325"/>
      <c r="M107" s="323" t="s">
        <v>2853</v>
      </c>
      <c r="N107" s="323" t="s">
        <v>2088</v>
      </c>
      <c r="O107" s="359">
        <v>43669</v>
      </c>
      <c r="P107" s="323" t="s">
        <v>3061</v>
      </c>
      <c r="Q107" s="323" t="s">
        <v>2829</v>
      </c>
      <c r="R107" s="337" t="s">
        <v>5139</v>
      </c>
      <c r="S107" s="323">
        <f>Table137[[#This Row],[DATE  CLOSED]]-Table137[[#This Row],[INITIATION DATE]]</f>
        <v>21</v>
      </c>
    </row>
    <row r="108" spans="1:19" ht="25.35" customHeight="1" x14ac:dyDescent="0.2">
      <c r="A108" s="349" t="s">
        <v>5014</v>
      </c>
      <c r="B108" s="325">
        <v>43657</v>
      </c>
      <c r="C108" s="328" t="s">
        <v>5015</v>
      </c>
      <c r="D108" s="328" t="s">
        <v>3873</v>
      </c>
      <c r="E108" s="323" t="s">
        <v>2971</v>
      </c>
      <c r="F108" s="323">
        <v>1</v>
      </c>
      <c r="G108" s="323" t="s">
        <v>2841</v>
      </c>
      <c r="H108" s="323" t="s">
        <v>229</v>
      </c>
      <c r="I108" s="323" t="s">
        <v>3645</v>
      </c>
      <c r="J108" s="325">
        <v>43677</v>
      </c>
      <c r="K108" s="325"/>
      <c r="L108" s="325"/>
      <c r="M108" s="323" t="s">
        <v>2853</v>
      </c>
      <c r="N108" s="323" t="s">
        <v>2088</v>
      </c>
      <c r="O108" s="359">
        <v>43671</v>
      </c>
      <c r="P108" s="323" t="s">
        <v>3061</v>
      </c>
      <c r="Q108" s="323" t="s">
        <v>2829</v>
      </c>
      <c r="R108" s="337"/>
      <c r="S108" s="323">
        <f>Table137[[#This Row],[DATE  CLOSED]]-Table137[[#This Row],[INITIATION DATE]]</f>
        <v>14</v>
      </c>
    </row>
    <row r="109" spans="1:19" ht="25.35" customHeight="1" x14ac:dyDescent="0.2">
      <c r="A109" s="349" t="s">
        <v>5017</v>
      </c>
      <c r="B109" s="325">
        <v>43658</v>
      </c>
      <c r="C109" s="328" t="s">
        <v>5018</v>
      </c>
      <c r="D109" s="328" t="s">
        <v>5019</v>
      </c>
      <c r="E109" s="323" t="s">
        <v>3519</v>
      </c>
      <c r="F109" s="323">
        <v>2</v>
      </c>
      <c r="G109" s="323" t="s">
        <v>2828</v>
      </c>
      <c r="H109" s="323" t="s">
        <v>4163</v>
      </c>
      <c r="I109" s="323" t="s">
        <v>3211</v>
      </c>
      <c r="J109" s="325">
        <v>43720</v>
      </c>
      <c r="K109" s="325">
        <v>43756</v>
      </c>
      <c r="L109" s="325"/>
      <c r="M109" s="323" t="s">
        <v>2853</v>
      </c>
      <c r="N109" s="323" t="s">
        <v>3061</v>
      </c>
      <c r="O109" s="359">
        <v>43731</v>
      </c>
      <c r="P109" s="323" t="s">
        <v>3061</v>
      </c>
      <c r="Q109" s="323" t="s">
        <v>2832</v>
      </c>
      <c r="R109" s="337"/>
      <c r="S109" s="323">
        <f>Table137[[#This Row],[DATE  CLOSED]]-Table137[[#This Row],[INITIATION DATE]]</f>
        <v>73</v>
      </c>
    </row>
    <row r="110" spans="1:19" ht="25.35" customHeight="1" x14ac:dyDescent="0.2">
      <c r="A110" s="349" t="s">
        <v>5020</v>
      </c>
      <c r="B110" s="325">
        <v>43662</v>
      </c>
      <c r="C110" s="328" t="s">
        <v>5021</v>
      </c>
      <c r="D110" s="328" t="s">
        <v>3039</v>
      </c>
      <c r="E110" s="323" t="s">
        <v>2971</v>
      </c>
      <c r="F110" s="323">
        <v>1</v>
      </c>
      <c r="G110" s="323" t="s">
        <v>2841</v>
      </c>
      <c r="H110" s="323" t="s">
        <v>3747</v>
      </c>
      <c r="I110" s="323" t="s">
        <v>229</v>
      </c>
      <c r="J110" s="325">
        <v>43677</v>
      </c>
      <c r="K110" s="325"/>
      <c r="L110" s="325"/>
      <c r="M110" s="323" t="s">
        <v>2853</v>
      </c>
      <c r="N110" s="323" t="s">
        <v>2088</v>
      </c>
      <c r="O110" s="359">
        <v>43670</v>
      </c>
      <c r="P110" s="323" t="s">
        <v>3061</v>
      </c>
      <c r="Q110" s="323" t="s">
        <v>2829</v>
      </c>
      <c r="R110" s="337"/>
      <c r="S110" s="323">
        <f>Table137[[#This Row],[DATE  CLOSED]]-Table137[[#This Row],[INITIATION DATE]]</f>
        <v>8</v>
      </c>
    </row>
    <row r="111" spans="1:19" ht="25.35" customHeight="1" x14ac:dyDescent="0.2">
      <c r="A111" s="346" t="s">
        <v>5022</v>
      </c>
      <c r="B111" s="325">
        <v>43662</v>
      </c>
      <c r="C111" s="329" t="s">
        <v>5023</v>
      </c>
      <c r="D111" s="329" t="s">
        <v>5024</v>
      </c>
      <c r="E111" s="326" t="s">
        <v>3825</v>
      </c>
      <c r="F111" s="323">
        <v>1</v>
      </c>
      <c r="G111" s="326" t="s">
        <v>2828</v>
      </c>
      <c r="H111" s="326" t="s">
        <v>4232</v>
      </c>
      <c r="I111" s="326" t="s">
        <v>3211</v>
      </c>
      <c r="J111" s="325">
        <v>43693</v>
      </c>
      <c r="K111" s="325"/>
      <c r="L111" s="325"/>
      <c r="M111" s="326" t="s">
        <v>2853</v>
      </c>
      <c r="N111" s="323" t="s">
        <v>2088</v>
      </c>
      <c r="O111" s="359">
        <v>43662</v>
      </c>
      <c r="P111" s="326" t="s">
        <v>3061</v>
      </c>
      <c r="Q111" s="323" t="s">
        <v>2829</v>
      </c>
      <c r="R111" s="337"/>
      <c r="S111" s="323">
        <f>Table137[[#This Row],[DATE  CLOSED]]-Table137[[#This Row],[INITIATION DATE]]</f>
        <v>0</v>
      </c>
    </row>
    <row r="112" spans="1:19" ht="25.35" customHeight="1" x14ac:dyDescent="0.2">
      <c r="A112" s="346" t="s">
        <v>5030</v>
      </c>
      <c r="B112" s="325">
        <v>43663</v>
      </c>
      <c r="C112" s="329" t="s">
        <v>5031</v>
      </c>
      <c r="D112" s="329" t="s">
        <v>5032</v>
      </c>
      <c r="E112" s="326" t="s">
        <v>2971</v>
      </c>
      <c r="F112" s="323">
        <v>1</v>
      </c>
      <c r="G112" s="326" t="s">
        <v>2838</v>
      </c>
      <c r="H112" s="326" t="s">
        <v>4796</v>
      </c>
      <c r="I112" s="326" t="s">
        <v>229</v>
      </c>
      <c r="J112" s="325">
        <v>43769</v>
      </c>
      <c r="K112" s="325">
        <v>43982</v>
      </c>
      <c r="L112" s="325"/>
      <c r="M112" s="326" t="s">
        <v>2853</v>
      </c>
      <c r="N112" s="323" t="s">
        <v>3022</v>
      </c>
      <c r="O112" s="359">
        <v>44196</v>
      </c>
      <c r="P112" s="326" t="s">
        <v>3022</v>
      </c>
      <c r="Q112" s="323" t="s">
        <v>2839</v>
      </c>
      <c r="R112" s="337"/>
      <c r="S112" s="323">
        <f>Table137[[#This Row],[DATE  CLOSED]]-Table137[[#This Row],[INITIATION DATE]]</f>
        <v>533</v>
      </c>
    </row>
    <row r="113" spans="1:19" ht="25.35" customHeight="1" x14ac:dyDescent="0.2">
      <c r="A113" s="346" t="s">
        <v>5034</v>
      </c>
      <c r="B113" s="325">
        <v>43664</v>
      </c>
      <c r="C113" s="329" t="s">
        <v>5046</v>
      </c>
      <c r="D113" s="329" t="s">
        <v>5008</v>
      </c>
      <c r="E113" s="326" t="s">
        <v>4256</v>
      </c>
      <c r="F113" s="323">
        <v>1</v>
      </c>
      <c r="G113" s="326" t="s">
        <v>2828</v>
      </c>
      <c r="H113" s="326" t="s">
        <v>4232</v>
      </c>
      <c r="I113" s="326" t="s">
        <v>3211</v>
      </c>
      <c r="J113" s="325">
        <v>43696</v>
      </c>
      <c r="K113" s="325"/>
      <c r="L113" s="325"/>
      <c r="M113" s="326" t="s">
        <v>2853</v>
      </c>
      <c r="N113" s="323" t="s">
        <v>2088</v>
      </c>
      <c r="O113" s="359">
        <v>43675</v>
      </c>
      <c r="P113" s="326" t="s">
        <v>3061</v>
      </c>
      <c r="Q113" s="323" t="s">
        <v>2829</v>
      </c>
      <c r="R113" s="337"/>
      <c r="S113" s="323">
        <f>Table137[[#This Row],[DATE  CLOSED]]-Table137[[#This Row],[INITIATION DATE]]</f>
        <v>11</v>
      </c>
    </row>
    <row r="114" spans="1:19" ht="25.35" customHeight="1" x14ac:dyDescent="0.2">
      <c r="A114" s="346" t="s">
        <v>5035</v>
      </c>
      <c r="B114" s="325">
        <v>43665</v>
      </c>
      <c r="C114" s="329" t="s">
        <v>5036</v>
      </c>
      <c r="D114" s="329" t="s">
        <v>3606</v>
      </c>
      <c r="E114" s="326" t="s">
        <v>4675</v>
      </c>
      <c r="F114" s="323">
        <v>1</v>
      </c>
      <c r="G114" s="326" t="s">
        <v>2828</v>
      </c>
      <c r="H114" s="326" t="s">
        <v>3975</v>
      </c>
      <c r="I114" s="326" t="s">
        <v>3211</v>
      </c>
      <c r="J114" s="325">
        <v>43696</v>
      </c>
      <c r="K114" s="325"/>
      <c r="L114" s="325"/>
      <c r="M114" s="326" t="s">
        <v>2853</v>
      </c>
      <c r="N114" s="323" t="s">
        <v>2088</v>
      </c>
      <c r="O114" s="359">
        <v>43668</v>
      </c>
      <c r="P114" s="326" t="s">
        <v>3061</v>
      </c>
      <c r="Q114" s="323" t="s">
        <v>2829</v>
      </c>
      <c r="R114" s="337"/>
      <c r="S114" s="323">
        <f>Table137[[#This Row],[DATE  CLOSED]]-Table137[[#This Row],[INITIATION DATE]]</f>
        <v>3</v>
      </c>
    </row>
    <row r="115" spans="1:19" ht="25.35" customHeight="1" x14ac:dyDescent="0.2">
      <c r="A115" s="346" t="s">
        <v>5037</v>
      </c>
      <c r="B115" s="325">
        <v>43665</v>
      </c>
      <c r="C115" s="329" t="s">
        <v>5038</v>
      </c>
      <c r="D115" s="329" t="s">
        <v>5039</v>
      </c>
      <c r="E115" s="326" t="s">
        <v>2971</v>
      </c>
      <c r="F115" s="323">
        <v>1</v>
      </c>
      <c r="G115" s="326" t="s">
        <v>2838</v>
      </c>
      <c r="H115" s="326" t="s">
        <v>685</v>
      </c>
      <c r="I115" s="326" t="s">
        <v>229</v>
      </c>
      <c r="J115" s="325">
        <v>43677</v>
      </c>
      <c r="K115" s="325"/>
      <c r="L115" s="325"/>
      <c r="M115" s="326" t="s">
        <v>2853</v>
      </c>
      <c r="N115" s="323" t="s">
        <v>2088</v>
      </c>
      <c r="O115" s="359">
        <v>43740</v>
      </c>
      <c r="P115" s="326" t="s">
        <v>3022</v>
      </c>
      <c r="Q115" s="323" t="s">
        <v>2835</v>
      </c>
      <c r="R115" s="337" t="s">
        <v>5080</v>
      </c>
      <c r="S115" s="323">
        <f>Table137[[#This Row],[DATE  CLOSED]]-Table137[[#This Row],[INITIATION DATE]]</f>
        <v>75</v>
      </c>
    </row>
    <row r="116" spans="1:19" ht="25.35" customHeight="1" x14ac:dyDescent="0.2">
      <c r="A116" s="346" t="s">
        <v>5041</v>
      </c>
      <c r="B116" s="325">
        <v>43668</v>
      </c>
      <c r="C116" s="328" t="s">
        <v>5042</v>
      </c>
      <c r="D116" s="328" t="s">
        <v>3039</v>
      </c>
      <c r="E116" s="323" t="s">
        <v>2971</v>
      </c>
      <c r="F116" s="323">
        <v>1</v>
      </c>
      <c r="G116" s="323" t="s">
        <v>2841</v>
      </c>
      <c r="H116" s="323" t="s">
        <v>685</v>
      </c>
      <c r="I116" s="323" t="s">
        <v>229</v>
      </c>
      <c r="J116" s="325">
        <v>43677</v>
      </c>
      <c r="K116" s="325"/>
      <c r="L116" s="325"/>
      <c r="M116" s="323" t="s">
        <v>2853</v>
      </c>
      <c r="N116" s="323" t="s">
        <v>2088</v>
      </c>
      <c r="O116" s="359">
        <v>43670</v>
      </c>
      <c r="P116" s="323" t="s">
        <v>3061</v>
      </c>
      <c r="Q116" s="323" t="s">
        <v>2829</v>
      </c>
      <c r="R116" s="337"/>
      <c r="S116" s="323">
        <f>Table137[[#This Row],[DATE  CLOSED]]-Table137[[#This Row],[INITIATION DATE]]</f>
        <v>2</v>
      </c>
    </row>
    <row r="117" spans="1:19" ht="25.35" customHeight="1" x14ac:dyDescent="0.2">
      <c r="A117" s="346" t="s">
        <v>5043</v>
      </c>
      <c r="B117" s="325">
        <v>43672</v>
      </c>
      <c r="C117" s="328" t="s">
        <v>5044</v>
      </c>
      <c r="D117" s="328" t="s">
        <v>5045</v>
      </c>
      <c r="E117" s="323" t="s">
        <v>3473</v>
      </c>
      <c r="F117" s="323">
        <v>1</v>
      </c>
      <c r="G117" s="323" t="s">
        <v>2828</v>
      </c>
      <c r="H117" s="323" t="s">
        <v>4079</v>
      </c>
      <c r="I117" s="323" t="s">
        <v>3211</v>
      </c>
      <c r="J117" s="325">
        <v>43860</v>
      </c>
      <c r="K117" s="325"/>
      <c r="L117" s="325"/>
      <c r="M117" s="323" t="s">
        <v>2853</v>
      </c>
      <c r="N117" s="323" t="s">
        <v>2088</v>
      </c>
      <c r="O117" s="359">
        <v>43830</v>
      </c>
      <c r="P117" s="323" t="s">
        <v>3061</v>
      </c>
      <c r="Q117" s="323" t="s">
        <v>2835</v>
      </c>
      <c r="R117" s="337"/>
      <c r="S117" s="323">
        <f>Table137[[#This Row],[DATE  CLOSED]]-Table137[[#This Row],[INITIATION DATE]]</f>
        <v>158</v>
      </c>
    </row>
    <row r="118" spans="1:19" ht="25.35" customHeight="1" x14ac:dyDescent="0.2">
      <c r="A118" s="346" t="s">
        <v>5047</v>
      </c>
      <c r="B118" s="325">
        <v>43676</v>
      </c>
      <c r="C118" s="328" t="s">
        <v>5048</v>
      </c>
      <c r="D118" s="328" t="s">
        <v>5049</v>
      </c>
      <c r="E118" s="323" t="s">
        <v>2971</v>
      </c>
      <c r="F118" s="323">
        <v>1</v>
      </c>
      <c r="G118" s="323" t="s">
        <v>2836</v>
      </c>
      <c r="H118" s="323" t="s">
        <v>229</v>
      </c>
      <c r="I118" s="323" t="s">
        <v>755</v>
      </c>
      <c r="J118" s="325">
        <v>43707</v>
      </c>
      <c r="K118" s="325"/>
      <c r="L118" s="325"/>
      <c r="M118" s="323" t="s">
        <v>2853</v>
      </c>
      <c r="N118" s="323" t="s">
        <v>2088</v>
      </c>
      <c r="O118" s="359">
        <v>43682</v>
      </c>
      <c r="P118" s="323" t="s">
        <v>3061</v>
      </c>
      <c r="Q118" s="323" t="s">
        <v>2829</v>
      </c>
      <c r="R118" s="337"/>
      <c r="S118" s="323">
        <f>Table137[[#This Row],[DATE  CLOSED]]-Table137[[#This Row],[INITIATION DATE]]</f>
        <v>6</v>
      </c>
    </row>
    <row r="119" spans="1:19" ht="25.35" customHeight="1" x14ac:dyDescent="0.2">
      <c r="A119" s="346" t="s">
        <v>5050</v>
      </c>
      <c r="B119" s="325">
        <v>43676</v>
      </c>
      <c r="C119" s="328" t="s">
        <v>5051</v>
      </c>
      <c r="D119" s="328" t="s">
        <v>5052</v>
      </c>
      <c r="E119" s="323" t="s">
        <v>2971</v>
      </c>
      <c r="F119" s="323">
        <v>1</v>
      </c>
      <c r="G119" s="323" t="s">
        <v>2836</v>
      </c>
      <c r="H119" s="323" t="s">
        <v>685</v>
      </c>
      <c r="I119" s="323" t="s">
        <v>229</v>
      </c>
      <c r="J119" s="325">
        <v>43686</v>
      </c>
      <c r="K119" s="325"/>
      <c r="L119" s="325"/>
      <c r="M119" s="323" t="s">
        <v>2853</v>
      </c>
      <c r="N119" s="323" t="s">
        <v>2088</v>
      </c>
      <c r="O119" s="359">
        <v>43678</v>
      </c>
      <c r="P119" s="323" t="s">
        <v>3061</v>
      </c>
      <c r="Q119" s="323" t="s">
        <v>2829</v>
      </c>
      <c r="R119" s="337"/>
      <c r="S119" s="323">
        <f>Table137[[#This Row],[DATE  CLOSED]]-Table137[[#This Row],[INITIATION DATE]]</f>
        <v>2</v>
      </c>
    </row>
    <row r="120" spans="1:19" ht="25.35" customHeight="1" x14ac:dyDescent="0.2">
      <c r="A120" s="346" t="s">
        <v>5053</v>
      </c>
      <c r="B120" s="325">
        <v>43678</v>
      </c>
      <c r="C120" s="329" t="s">
        <v>5054</v>
      </c>
      <c r="D120" s="329" t="s">
        <v>5055</v>
      </c>
      <c r="E120" s="326" t="s">
        <v>2971</v>
      </c>
      <c r="F120" s="323">
        <v>1</v>
      </c>
      <c r="G120" s="323" t="s">
        <v>2834</v>
      </c>
      <c r="H120" s="326" t="s">
        <v>516</v>
      </c>
      <c r="I120" s="326" t="s">
        <v>3645</v>
      </c>
      <c r="J120" s="325">
        <v>43685</v>
      </c>
      <c r="K120" s="325"/>
      <c r="L120" s="325"/>
      <c r="M120" s="326" t="s">
        <v>2853</v>
      </c>
      <c r="N120" s="323" t="s">
        <v>2088</v>
      </c>
      <c r="O120" s="359">
        <v>43679</v>
      </c>
      <c r="P120" s="323" t="s">
        <v>4224</v>
      </c>
      <c r="Q120" s="323" t="s">
        <v>2829</v>
      </c>
      <c r="R120" s="337"/>
      <c r="S120" s="323">
        <f>Table137[[#This Row],[DATE  CLOSED]]-Table137[[#This Row],[INITIATION DATE]]</f>
        <v>1</v>
      </c>
    </row>
    <row r="121" spans="1:19" ht="25.35" customHeight="1" x14ac:dyDescent="0.2">
      <c r="A121" s="346" t="s">
        <v>5057</v>
      </c>
      <c r="B121" s="325">
        <v>43682</v>
      </c>
      <c r="C121" s="328" t="s">
        <v>5058</v>
      </c>
      <c r="D121" s="328" t="s">
        <v>5059</v>
      </c>
      <c r="E121" s="323" t="s">
        <v>3825</v>
      </c>
      <c r="F121" s="323">
        <v>1</v>
      </c>
      <c r="G121" s="323" t="s">
        <v>2828</v>
      </c>
      <c r="H121" s="323" t="s">
        <v>5060</v>
      </c>
      <c r="I121" s="323" t="s">
        <v>3926</v>
      </c>
      <c r="J121" s="325">
        <v>43713</v>
      </c>
      <c r="K121" s="325"/>
      <c r="L121" s="325"/>
      <c r="M121" s="323" t="s">
        <v>2853</v>
      </c>
      <c r="N121" s="323" t="s">
        <v>2088</v>
      </c>
      <c r="O121" s="359">
        <v>43716</v>
      </c>
      <c r="P121" s="323" t="s">
        <v>4224</v>
      </c>
      <c r="Q121" s="323" t="s">
        <v>2829</v>
      </c>
      <c r="R121" s="337" t="s">
        <v>4971</v>
      </c>
      <c r="S121" s="323">
        <f>Table137[[#This Row],[DATE  CLOSED]]-Table137[[#This Row],[INITIATION DATE]]</f>
        <v>34</v>
      </c>
    </row>
    <row r="122" spans="1:19" ht="25.35" customHeight="1" x14ac:dyDescent="0.2">
      <c r="A122" s="346" t="s">
        <v>5061</v>
      </c>
      <c r="B122" s="325">
        <v>43682</v>
      </c>
      <c r="C122" s="328" t="s">
        <v>5064</v>
      </c>
      <c r="D122" s="328" t="s">
        <v>5063</v>
      </c>
      <c r="E122" s="323" t="s">
        <v>2971</v>
      </c>
      <c r="F122" s="323">
        <v>1</v>
      </c>
      <c r="G122" s="323" t="s">
        <v>2836</v>
      </c>
      <c r="H122" s="323" t="s">
        <v>4079</v>
      </c>
      <c r="I122" s="323" t="s">
        <v>3926</v>
      </c>
      <c r="J122" s="325">
        <v>43713</v>
      </c>
      <c r="K122" s="325"/>
      <c r="L122" s="325"/>
      <c r="M122" s="323" t="s">
        <v>2853</v>
      </c>
      <c r="N122" s="323" t="s">
        <v>2088</v>
      </c>
      <c r="O122" s="359">
        <v>43692</v>
      </c>
      <c r="P122" s="323" t="s">
        <v>3061</v>
      </c>
      <c r="Q122" s="323" t="s">
        <v>2829</v>
      </c>
      <c r="R122" s="337"/>
      <c r="S122" s="323">
        <f>Table137[[#This Row],[DATE  CLOSED]]-Table137[[#This Row],[INITIATION DATE]]</f>
        <v>10</v>
      </c>
    </row>
    <row r="123" spans="1:19" ht="25.35" customHeight="1" x14ac:dyDescent="0.2">
      <c r="A123" s="346" t="s">
        <v>5062</v>
      </c>
      <c r="B123" s="325">
        <v>43683</v>
      </c>
      <c r="C123" s="328" t="s">
        <v>5065</v>
      </c>
      <c r="D123" s="328" t="s">
        <v>5066</v>
      </c>
      <c r="E123" s="323" t="s">
        <v>2971</v>
      </c>
      <c r="F123" s="323">
        <v>1</v>
      </c>
      <c r="G123" s="323" t="s">
        <v>2836</v>
      </c>
      <c r="H123" s="323" t="s">
        <v>4079</v>
      </c>
      <c r="I123" s="323" t="s">
        <v>3926</v>
      </c>
      <c r="J123" s="325">
        <v>43775</v>
      </c>
      <c r="K123" s="325"/>
      <c r="L123" s="325"/>
      <c r="M123" s="323" t="s">
        <v>2853</v>
      </c>
      <c r="N123" s="323" t="s">
        <v>2088</v>
      </c>
      <c r="O123" s="359">
        <v>43781</v>
      </c>
      <c r="P123" s="323" t="s">
        <v>3061</v>
      </c>
      <c r="Q123" s="323" t="s">
        <v>2832</v>
      </c>
      <c r="R123" s="337" t="s">
        <v>5217</v>
      </c>
      <c r="S123" s="323">
        <f>Table137[[#This Row],[DATE  CLOSED]]-Table137[[#This Row],[INITIATION DATE]]</f>
        <v>98</v>
      </c>
    </row>
    <row r="124" spans="1:19" ht="25.35" customHeight="1" x14ac:dyDescent="0.2">
      <c r="A124" s="346" t="s">
        <v>5242</v>
      </c>
      <c r="B124" s="347">
        <v>43684</v>
      </c>
      <c r="C124" s="348" t="s">
        <v>5090</v>
      </c>
      <c r="D124" s="348" t="s">
        <v>5067</v>
      </c>
      <c r="E124" s="349" t="s">
        <v>2971</v>
      </c>
      <c r="F124" s="349">
        <v>1</v>
      </c>
      <c r="G124" s="349" t="s">
        <v>2836</v>
      </c>
      <c r="H124" s="349" t="s">
        <v>481</v>
      </c>
      <c r="I124" s="349" t="s">
        <v>3926</v>
      </c>
      <c r="J124" s="347">
        <v>43689</v>
      </c>
      <c r="K124" s="347"/>
      <c r="L124" s="347"/>
      <c r="M124" s="349" t="s">
        <v>2853</v>
      </c>
      <c r="N124" s="349" t="s">
        <v>2088</v>
      </c>
      <c r="O124" s="361">
        <v>43689</v>
      </c>
      <c r="P124" s="349" t="s">
        <v>3061</v>
      </c>
      <c r="Q124" s="349" t="s">
        <v>2829</v>
      </c>
      <c r="R124" s="350"/>
      <c r="S124" s="323">
        <f>Table137[[#This Row],[DATE  CLOSED]]-Table137[[#This Row],[INITIATION DATE]]</f>
        <v>5</v>
      </c>
    </row>
    <row r="125" spans="1:19" s="369" customFormat="1" ht="25.35" customHeight="1" x14ac:dyDescent="0.2">
      <c r="A125" s="346" t="s">
        <v>5069</v>
      </c>
      <c r="B125" s="347">
        <v>43689</v>
      </c>
      <c r="C125" s="366" t="s">
        <v>3102</v>
      </c>
      <c r="D125" s="366" t="s">
        <v>3103</v>
      </c>
      <c r="E125" s="346" t="s">
        <v>2971</v>
      </c>
      <c r="F125" s="346">
        <v>1</v>
      </c>
      <c r="G125" s="349" t="s">
        <v>2840</v>
      </c>
      <c r="H125" s="346" t="s">
        <v>441</v>
      </c>
      <c r="I125" s="346" t="s">
        <v>229</v>
      </c>
      <c r="J125" s="347">
        <v>43708</v>
      </c>
      <c r="K125" s="367"/>
      <c r="L125" s="346"/>
      <c r="M125" s="347" t="s">
        <v>2853</v>
      </c>
      <c r="N125" s="346" t="s">
        <v>2088</v>
      </c>
      <c r="O125" s="368">
        <v>43693</v>
      </c>
      <c r="P125" s="349" t="s">
        <v>3061</v>
      </c>
      <c r="Q125" s="323" t="s">
        <v>2829</v>
      </c>
      <c r="R125" s="323"/>
      <c r="S125" s="323">
        <f>Table137[[#This Row],[DATE  CLOSED]]-Table137[[#This Row],[INITIATION DATE]]</f>
        <v>4</v>
      </c>
    </row>
    <row r="126" spans="1:19" ht="25.35" customHeight="1" x14ac:dyDescent="0.2">
      <c r="A126" s="346" t="s">
        <v>5071</v>
      </c>
      <c r="B126" s="325">
        <v>43690</v>
      </c>
      <c r="C126" s="328" t="s">
        <v>5073</v>
      </c>
      <c r="D126" s="328" t="s">
        <v>5072</v>
      </c>
      <c r="E126" s="323" t="s">
        <v>4256</v>
      </c>
      <c r="F126" s="323">
        <v>2</v>
      </c>
      <c r="G126" s="323" t="s">
        <v>2828</v>
      </c>
      <c r="H126" s="323" t="s">
        <v>4232</v>
      </c>
      <c r="I126" s="323" t="s">
        <v>3211</v>
      </c>
      <c r="J126" s="325">
        <v>43721</v>
      </c>
      <c r="K126" s="325"/>
      <c r="L126" s="325"/>
      <c r="M126" s="323" t="s">
        <v>2853</v>
      </c>
      <c r="N126" s="323" t="s">
        <v>2088</v>
      </c>
      <c r="O126" s="359">
        <v>43704</v>
      </c>
      <c r="P126" s="323" t="s">
        <v>3061</v>
      </c>
      <c r="Q126" s="323" t="s">
        <v>2829</v>
      </c>
      <c r="R126" s="337"/>
      <c r="S126" s="323">
        <f>Table137[[#This Row],[DATE  CLOSED]]-Table137[[#This Row],[INITIATION DATE]]</f>
        <v>14</v>
      </c>
    </row>
    <row r="127" spans="1:19" ht="25.35" customHeight="1" x14ac:dyDescent="0.2">
      <c r="A127" s="346" t="s">
        <v>5074</v>
      </c>
      <c r="B127" s="325">
        <v>43691</v>
      </c>
      <c r="C127" s="328" t="s">
        <v>5075</v>
      </c>
      <c r="D127" s="328" t="s">
        <v>5076</v>
      </c>
      <c r="E127" s="323" t="s">
        <v>2971</v>
      </c>
      <c r="F127" s="323">
        <v>1</v>
      </c>
      <c r="G127" s="323" t="s">
        <v>2838</v>
      </c>
      <c r="H127" s="323" t="s">
        <v>685</v>
      </c>
      <c r="I127" s="323" t="s">
        <v>755</v>
      </c>
      <c r="J127" s="325">
        <v>43707</v>
      </c>
      <c r="K127" s="325"/>
      <c r="L127" s="325"/>
      <c r="M127" s="323" t="s">
        <v>2853</v>
      </c>
      <c r="N127" s="323" t="s">
        <v>2088</v>
      </c>
      <c r="O127" s="359">
        <v>43691</v>
      </c>
      <c r="P127" s="323" t="s">
        <v>3061</v>
      </c>
      <c r="Q127" s="323" t="s">
        <v>2829</v>
      </c>
      <c r="R127" s="337" t="s">
        <v>5080</v>
      </c>
      <c r="S127" s="323">
        <f>Table137[[#This Row],[DATE  CLOSED]]-Table137[[#This Row],[INITIATION DATE]]</f>
        <v>0</v>
      </c>
    </row>
    <row r="128" spans="1:19" ht="25.35" customHeight="1" x14ac:dyDescent="0.2">
      <c r="A128" s="346" t="s">
        <v>5077</v>
      </c>
      <c r="B128" s="325">
        <v>43691</v>
      </c>
      <c r="C128" s="328" t="s">
        <v>5078</v>
      </c>
      <c r="D128" s="328" t="s">
        <v>5079</v>
      </c>
      <c r="E128" s="323" t="s">
        <v>2971</v>
      </c>
      <c r="F128" s="323">
        <v>1</v>
      </c>
      <c r="G128" s="323" t="s">
        <v>2828</v>
      </c>
      <c r="H128" s="323" t="s">
        <v>3975</v>
      </c>
      <c r="I128" s="323" t="s">
        <v>3926</v>
      </c>
      <c r="J128" s="325">
        <v>43708</v>
      </c>
      <c r="K128" s="325">
        <v>43722</v>
      </c>
      <c r="L128" s="325"/>
      <c r="M128" s="323" t="s">
        <v>2853</v>
      </c>
      <c r="N128" s="323" t="s">
        <v>3061</v>
      </c>
      <c r="O128" s="359">
        <v>43718</v>
      </c>
      <c r="P128" s="323" t="s">
        <v>3061</v>
      </c>
      <c r="Q128" s="323" t="s">
        <v>2832</v>
      </c>
      <c r="R128" s="358"/>
      <c r="S128" s="323">
        <f>Table137[[#This Row],[DATE  CLOSED]]-Table137[[#This Row],[INITIATION DATE]]</f>
        <v>27</v>
      </c>
    </row>
    <row r="129" spans="1:19" ht="25.35" customHeight="1" x14ac:dyDescent="0.2">
      <c r="A129" s="346" t="s">
        <v>5081</v>
      </c>
      <c r="B129" s="325">
        <v>43693</v>
      </c>
      <c r="C129" s="328" t="s">
        <v>5083</v>
      </c>
      <c r="D129" s="328" t="s">
        <v>5082</v>
      </c>
      <c r="E129" s="323" t="s">
        <v>2971</v>
      </c>
      <c r="F129" s="323">
        <v>2</v>
      </c>
      <c r="G129" s="323" t="s">
        <v>2836</v>
      </c>
      <c r="H129" s="323" t="s">
        <v>3211</v>
      </c>
      <c r="I129" s="323" t="s">
        <v>3211</v>
      </c>
      <c r="J129" s="325">
        <v>44316</v>
      </c>
      <c r="K129" s="325"/>
      <c r="L129" s="325"/>
      <c r="M129" s="323" t="s">
        <v>2853</v>
      </c>
      <c r="N129" s="323" t="s">
        <v>2088</v>
      </c>
      <c r="O129" s="359">
        <v>44280</v>
      </c>
      <c r="P129" s="323" t="s">
        <v>3061</v>
      </c>
      <c r="Q129" s="323" t="s">
        <v>2839</v>
      </c>
      <c r="R129" s="358"/>
      <c r="S129" s="323">
        <f>Table137[[#This Row],[DATE  CLOSED]]-Table137[[#This Row],[INITIATION DATE]]</f>
        <v>587</v>
      </c>
    </row>
    <row r="130" spans="1:19" ht="25.35" customHeight="1" x14ac:dyDescent="0.2">
      <c r="A130" s="346" t="s">
        <v>5084</v>
      </c>
      <c r="B130" s="325">
        <v>43697</v>
      </c>
      <c r="C130" s="328" t="s">
        <v>5085</v>
      </c>
      <c r="D130" s="328" t="s">
        <v>5086</v>
      </c>
      <c r="E130" s="323" t="s">
        <v>3210</v>
      </c>
      <c r="F130" s="323">
        <v>1</v>
      </c>
      <c r="G130" s="323" t="s">
        <v>2828</v>
      </c>
      <c r="H130" s="323" t="s">
        <v>4021</v>
      </c>
      <c r="I130" s="323" t="s">
        <v>3211</v>
      </c>
      <c r="J130" s="325">
        <v>43728</v>
      </c>
      <c r="K130" s="325"/>
      <c r="L130" s="325"/>
      <c r="M130" s="323" t="s">
        <v>2853</v>
      </c>
      <c r="N130" s="323" t="s">
        <v>2088</v>
      </c>
      <c r="O130" s="359">
        <v>43697</v>
      </c>
      <c r="P130" s="323" t="s">
        <v>3061</v>
      </c>
      <c r="Q130" s="323" t="s">
        <v>2829</v>
      </c>
      <c r="R130" s="358"/>
      <c r="S130" s="323">
        <f>Table137[[#This Row],[DATE  CLOSED]]-Table137[[#This Row],[INITIATION DATE]]</f>
        <v>0</v>
      </c>
    </row>
    <row r="131" spans="1:19" ht="25.35" customHeight="1" x14ac:dyDescent="0.2">
      <c r="A131" s="346" t="s">
        <v>5087</v>
      </c>
      <c r="B131" s="325">
        <v>43697</v>
      </c>
      <c r="C131" s="328" t="s">
        <v>5088</v>
      </c>
      <c r="D131" s="328" t="s">
        <v>5089</v>
      </c>
      <c r="E131" s="323" t="s">
        <v>2971</v>
      </c>
      <c r="F131" s="323">
        <v>1</v>
      </c>
      <c r="G131" s="323" t="s">
        <v>2841</v>
      </c>
      <c r="H131" s="323" t="s">
        <v>4796</v>
      </c>
      <c r="I131" s="323" t="s">
        <v>229</v>
      </c>
      <c r="J131" s="325">
        <v>43738</v>
      </c>
      <c r="K131" s="325">
        <v>43769</v>
      </c>
      <c r="L131" s="325"/>
      <c r="M131" s="323" t="s">
        <v>2853</v>
      </c>
      <c r="N131" s="323" t="s">
        <v>3061</v>
      </c>
      <c r="O131" s="359">
        <v>43740</v>
      </c>
      <c r="P131" s="323" t="s">
        <v>3061</v>
      </c>
      <c r="Q131" s="323" t="s">
        <v>2832</v>
      </c>
      <c r="R131" s="358"/>
      <c r="S131" s="323">
        <f>Table137[[#This Row],[DATE  CLOSED]]-Table137[[#This Row],[INITIATION DATE]]</f>
        <v>43</v>
      </c>
    </row>
    <row r="132" spans="1:19" ht="25.35" customHeight="1" x14ac:dyDescent="0.2">
      <c r="A132" s="346" t="s">
        <v>5091</v>
      </c>
      <c r="B132" s="325">
        <v>43700</v>
      </c>
      <c r="C132" s="329" t="s">
        <v>5092</v>
      </c>
      <c r="D132" s="329" t="s">
        <v>5093</v>
      </c>
      <c r="E132" s="326" t="s">
        <v>2971</v>
      </c>
      <c r="F132" s="323">
        <v>1</v>
      </c>
      <c r="G132" s="326" t="s">
        <v>2841</v>
      </c>
      <c r="H132" s="326" t="s">
        <v>755</v>
      </c>
      <c r="I132" s="326" t="s">
        <v>229</v>
      </c>
      <c r="J132" s="325">
        <v>43738</v>
      </c>
      <c r="K132" s="325"/>
      <c r="L132" s="325"/>
      <c r="M132" s="326" t="s">
        <v>2853</v>
      </c>
      <c r="N132" s="323" t="s">
        <v>2088</v>
      </c>
      <c r="O132" s="359">
        <v>43717</v>
      </c>
      <c r="P132" s="323" t="s">
        <v>3061</v>
      </c>
      <c r="Q132" s="323" t="s">
        <v>2829</v>
      </c>
      <c r="R132" s="358"/>
      <c r="S132" s="323">
        <f>Table137[[#This Row],[DATE  CLOSED]]-Table137[[#This Row],[INITIATION DATE]]</f>
        <v>17</v>
      </c>
    </row>
    <row r="133" spans="1:19" ht="25.35" customHeight="1" x14ac:dyDescent="0.2">
      <c r="A133" s="346" t="s">
        <v>5094</v>
      </c>
      <c r="B133" s="325">
        <v>43703</v>
      </c>
      <c r="C133" s="328" t="s">
        <v>5095</v>
      </c>
      <c r="D133" s="328" t="s">
        <v>5096</v>
      </c>
      <c r="E133" s="323" t="s">
        <v>2971</v>
      </c>
      <c r="F133" s="323">
        <v>1</v>
      </c>
      <c r="G133" s="323" t="s">
        <v>2838</v>
      </c>
      <c r="H133" s="323" t="s">
        <v>516</v>
      </c>
      <c r="I133" s="323" t="s">
        <v>229</v>
      </c>
      <c r="J133" s="325">
        <v>43708</v>
      </c>
      <c r="K133" s="325"/>
      <c r="L133" s="325"/>
      <c r="M133" s="323" t="s">
        <v>2853</v>
      </c>
      <c r="N133" s="323" t="s">
        <v>2088</v>
      </c>
      <c r="O133" s="359">
        <v>43703</v>
      </c>
      <c r="P133" s="323" t="s">
        <v>3061</v>
      </c>
      <c r="Q133" s="323" t="s">
        <v>2829</v>
      </c>
      <c r="R133" s="358"/>
      <c r="S133" s="323">
        <f>Table137[[#This Row],[DATE  CLOSED]]-Table137[[#This Row],[INITIATION DATE]]</f>
        <v>0</v>
      </c>
    </row>
    <row r="134" spans="1:19" ht="25.35" customHeight="1" x14ac:dyDescent="0.2">
      <c r="A134" s="346" t="s">
        <v>5097</v>
      </c>
      <c r="B134" s="325">
        <v>43704</v>
      </c>
      <c r="C134" s="328" t="s">
        <v>5098</v>
      </c>
      <c r="D134" s="328" t="s">
        <v>5099</v>
      </c>
      <c r="E134" s="323" t="s">
        <v>2971</v>
      </c>
      <c r="F134" s="323">
        <v>1</v>
      </c>
      <c r="G134" s="323" t="s">
        <v>2841</v>
      </c>
      <c r="H134" s="323" t="s">
        <v>516</v>
      </c>
      <c r="I134" s="323" t="s">
        <v>229</v>
      </c>
      <c r="J134" s="325">
        <v>43738</v>
      </c>
      <c r="K134" s="325"/>
      <c r="L134" s="325"/>
      <c r="M134" s="323" t="s">
        <v>2853</v>
      </c>
      <c r="N134" s="323" t="s">
        <v>2088</v>
      </c>
      <c r="O134" s="359">
        <v>43719</v>
      </c>
      <c r="P134" s="323" t="s">
        <v>3061</v>
      </c>
      <c r="Q134" s="323" t="s">
        <v>2829</v>
      </c>
      <c r="R134" s="358"/>
      <c r="S134" s="323">
        <f>Table137[[#This Row],[DATE  CLOSED]]-Table137[[#This Row],[INITIATION DATE]]</f>
        <v>15</v>
      </c>
    </row>
    <row r="135" spans="1:19" ht="25.35" customHeight="1" x14ac:dyDescent="0.2">
      <c r="A135" s="346" t="s">
        <v>5100</v>
      </c>
      <c r="B135" s="325">
        <v>43705</v>
      </c>
      <c r="C135" s="329" t="s">
        <v>5101</v>
      </c>
      <c r="D135" s="329" t="s">
        <v>5102</v>
      </c>
      <c r="E135" s="326" t="s">
        <v>2971</v>
      </c>
      <c r="F135" s="323">
        <v>1</v>
      </c>
      <c r="G135" s="326" t="s">
        <v>2841</v>
      </c>
      <c r="H135" s="326" t="s">
        <v>229</v>
      </c>
      <c r="I135" s="326" t="s">
        <v>755</v>
      </c>
      <c r="J135" s="325">
        <v>43738</v>
      </c>
      <c r="K135" s="325"/>
      <c r="L135" s="325"/>
      <c r="M135" s="323" t="s">
        <v>2853</v>
      </c>
      <c r="N135" s="323" t="s">
        <v>2088</v>
      </c>
      <c r="O135" s="359">
        <v>43720</v>
      </c>
      <c r="P135" s="323" t="s">
        <v>3061</v>
      </c>
      <c r="Q135" s="323" t="s">
        <v>2829</v>
      </c>
      <c r="R135" s="358"/>
      <c r="S135" s="323">
        <f>Table137[[#This Row],[DATE  CLOSED]]-Table137[[#This Row],[INITIATION DATE]]</f>
        <v>15</v>
      </c>
    </row>
    <row r="136" spans="1:19" ht="25.35" customHeight="1" x14ac:dyDescent="0.2">
      <c r="A136" s="346" t="s">
        <v>5103</v>
      </c>
      <c r="B136" s="325">
        <v>43705</v>
      </c>
      <c r="C136" s="329" t="s">
        <v>5104</v>
      </c>
      <c r="D136" s="329" t="s">
        <v>5105</v>
      </c>
      <c r="E136" s="326" t="s">
        <v>2971</v>
      </c>
      <c r="F136" s="323">
        <v>1</v>
      </c>
      <c r="G136" s="326" t="s">
        <v>2838</v>
      </c>
      <c r="H136" s="326" t="s">
        <v>685</v>
      </c>
      <c r="I136" s="326" t="s">
        <v>229</v>
      </c>
      <c r="J136" s="325">
        <v>43708</v>
      </c>
      <c r="K136" s="325"/>
      <c r="L136" s="325"/>
      <c r="M136" s="323" t="s">
        <v>2853</v>
      </c>
      <c r="N136" s="323"/>
      <c r="O136" s="359">
        <v>43705</v>
      </c>
      <c r="P136" s="323" t="s">
        <v>3061</v>
      </c>
      <c r="Q136" s="323" t="s">
        <v>2829</v>
      </c>
      <c r="R136" s="358"/>
      <c r="S136" s="323">
        <f>Table137[[#This Row],[DATE  CLOSED]]-Table137[[#This Row],[INITIATION DATE]]</f>
        <v>0</v>
      </c>
    </row>
    <row r="137" spans="1:19" ht="25.35" customHeight="1" x14ac:dyDescent="0.2">
      <c r="A137" s="346" t="s">
        <v>5106</v>
      </c>
      <c r="B137" s="325">
        <v>43705</v>
      </c>
      <c r="C137" s="329" t="s">
        <v>5107</v>
      </c>
      <c r="D137" s="329" t="s">
        <v>5108</v>
      </c>
      <c r="E137" s="326" t="s">
        <v>2971</v>
      </c>
      <c r="F137" s="323">
        <v>1</v>
      </c>
      <c r="G137" s="326" t="s">
        <v>2841</v>
      </c>
      <c r="H137" s="326" t="s">
        <v>834</v>
      </c>
      <c r="I137" s="326" t="s">
        <v>229</v>
      </c>
      <c r="J137" s="325">
        <v>43738</v>
      </c>
      <c r="K137" s="325"/>
      <c r="L137" s="325"/>
      <c r="M137" s="323" t="s">
        <v>2853</v>
      </c>
      <c r="N137" s="323" t="s">
        <v>2088</v>
      </c>
      <c r="O137" s="359">
        <v>43720</v>
      </c>
      <c r="P137" s="323" t="s">
        <v>3061</v>
      </c>
      <c r="Q137" s="323" t="s">
        <v>2829</v>
      </c>
      <c r="R137" s="358"/>
      <c r="S137" s="323">
        <f>Table137[[#This Row],[DATE  CLOSED]]-Table137[[#This Row],[INITIATION DATE]]</f>
        <v>15</v>
      </c>
    </row>
    <row r="138" spans="1:19" ht="25.35" customHeight="1" x14ac:dyDescent="0.2">
      <c r="A138" s="349" t="s">
        <v>5109</v>
      </c>
      <c r="B138" s="325">
        <v>43712</v>
      </c>
      <c r="C138" s="328" t="s">
        <v>5110</v>
      </c>
      <c r="D138" s="328" t="s">
        <v>5111</v>
      </c>
      <c r="E138" s="323" t="s">
        <v>3519</v>
      </c>
      <c r="F138" s="323">
        <v>1</v>
      </c>
      <c r="G138" s="323" t="s">
        <v>2828</v>
      </c>
      <c r="H138" s="323" t="s">
        <v>4163</v>
      </c>
      <c r="I138" s="323" t="s">
        <v>3211</v>
      </c>
      <c r="J138" s="325">
        <v>43742</v>
      </c>
      <c r="K138" s="325"/>
      <c r="L138" s="325"/>
      <c r="M138" s="323" t="s">
        <v>2853</v>
      </c>
      <c r="N138" s="323" t="s">
        <v>2088</v>
      </c>
      <c r="O138" s="359">
        <v>43712</v>
      </c>
      <c r="P138" s="323" t="s">
        <v>3061</v>
      </c>
      <c r="Q138" s="323" t="s">
        <v>2829</v>
      </c>
      <c r="R138" s="337"/>
      <c r="S138" s="323">
        <f>Table137[[#This Row],[DATE  CLOSED]]-Table137[[#This Row],[INITIATION DATE]]</f>
        <v>0</v>
      </c>
    </row>
    <row r="139" spans="1:19" ht="25.35" customHeight="1" x14ac:dyDescent="0.2">
      <c r="A139" s="349" t="s">
        <v>5112</v>
      </c>
      <c r="B139" s="325">
        <v>43713</v>
      </c>
      <c r="C139" s="328" t="s">
        <v>5113</v>
      </c>
      <c r="D139" s="328" t="s">
        <v>5114</v>
      </c>
      <c r="E139" s="323" t="s">
        <v>4649</v>
      </c>
      <c r="F139" s="323">
        <v>1</v>
      </c>
      <c r="G139" s="323" t="s">
        <v>2828</v>
      </c>
      <c r="H139" s="323" t="s">
        <v>3423</v>
      </c>
      <c r="I139" s="323" t="s">
        <v>3211</v>
      </c>
      <c r="J139" s="325">
        <v>43721</v>
      </c>
      <c r="K139" s="325"/>
      <c r="L139" s="325"/>
      <c r="M139" s="323" t="s">
        <v>2853</v>
      </c>
      <c r="N139" s="323" t="s">
        <v>2088</v>
      </c>
      <c r="O139" s="359">
        <v>43714</v>
      </c>
      <c r="P139" s="323" t="s">
        <v>3061</v>
      </c>
      <c r="Q139" s="323" t="s">
        <v>2829</v>
      </c>
      <c r="R139" s="337"/>
      <c r="S139" s="323">
        <f>Table137[[#This Row],[DATE  CLOSED]]-Table137[[#This Row],[INITIATION DATE]]</f>
        <v>1</v>
      </c>
    </row>
    <row r="140" spans="1:19" ht="25.5" customHeight="1" x14ac:dyDescent="0.2">
      <c r="A140" s="349" t="s">
        <v>5115</v>
      </c>
      <c r="B140" s="325">
        <v>43713</v>
      </c>
      <c r="C140" s="328" t="s">
        <v>5116</v>
      </c>
      <c r="D140" s="328" t="s">
        <v>5117</v>
      </c>
      <c r="E140" s="323" t="s">
        <v>3519</v>
      </c>
      <c r="F140" s="323">
        <v>1</v>
      </c>
      <c r="G140" s="323" t="s">
        <v>2828</v>
      </c>
      <c r="H140" s="323" t="s">
        <v>4163</v>
      </c>
      <c r="I140" s="323" t="s">
        <v>3211</v>
      </c>
      <c r="J140" s="325">
        <v>43749</v>
      </c>
      <c r="K140" s="325"/>
      <c r="L140" s="325"/>
      <c r="M140" s="323" t="s">
        <v>2853</v>
      </c>
      <c r="N140" s="323" t="s">
        <v>2088</v>
      </c>
      <c r="O140" s="359">
        <v>43731</v>
      </c>
      <c r="P140" s="323" t="s">
        <v>3061</v>
      </c>
      <c r="Q140" s="323" t="s">
        <v>2829</v>
      </c>
      <c r="R140" s="337"/>
      <c r="S140" s="323">
        <f>Table137[[#This Row],[DATE  CLOSED]]-Table137[[#This Row],[INITIATION DATE]]</f>
        <v>18</v>
      </c>
    </row>
    <row r="141" spans="1:19" ht="25.35" customHeight="1" x14ac:dyDescent="0.2">
      <c r="A141" s="349" t="s">
        <v>5118</v>
      </c>
      <c r="B141" s="325">
        <v>43717</v>
      </c>
      <c r="C141" s="328" t="s">
        <v>5172</v>
      </c>
      <c r="D141" s="328" t="s">
        <v>5119</v>
      </c>
      <c r="E141" s="323" t="s">
        <v>3532</v>
      </c>
      <c r="F141" s="323">
        <v>1</v>
      </c>
      <c r="G141" s="323" t="s">
        <v>2828</v>
      </c>
      <c r="H141" s="323" t="s">
        <v>3975</v>
      </c>
      <c r="I141" s="323" t="s">
        <v>3211</v>
      </c>
      <c r="J141" s="325">
        <v>43777</v>
      </c>
      <c r="K141" s="325"/>
      <c r="L141" s="325"/>
      <c r="M141" s="323" t="s">
        <v>2853</v>
      </c>
      <c r="N141" s="323" t="s">
        <v>2088</v>
      </c>
      <c r="O141" s="359">
        <v>43767</v>
      </c>
      <c r="P141" s="323" t="s">
        <v>3061</v>
      </c>
      <c r="Q141" s="323" t="s">
        <v>2832</v>
      </c>
      <c r="R141" s="362"/>
      <c r="S141" s="323">
        <f>Table137[[#This Row],[DATE  CLOSED]]-Table137[[#This Row],[INITIATION DATE]]</f>
        <v>50</v>
      </c>
    </row>
    <row r="142" spans="1:19" ht="25.35" customHeight="1" x14ac:dyDescent="0.2">
      <c r="A142" s="349" t="s">
        <v>5120</v>
      </c>
      <c r="B142" s="325">
        <v>43717</v>
      </c>
      <c r="C142" s="328" t="s">
        <v>5121</v>
      </c>
      <c r="D142" s="328" t="s">
        <v>3426</v>
      </c>
      <c r="E142" s="323" t="s">
        <v>5122</v>
      </c>
      <c r="F142" s="323">
        <v>1</v>
      </c>
      <c r="G142" s="323" t="s">
        <v>2828</v>
      </c>
      <c r="H142" s="323" t="s">
        <v>4079</v>
      </c>
      <c r="I142" s="323" t="s">
        <v>3211</v>
      </c>
      <c r="J142" s="325">
        <v>43747</v>
      </c>
      <c r="K142" s="325"/>
      <c r="L142" s="325"/>
      <c r="M142" s="323" t="s">
        <v>2853</v>
      </c>
      <c r="N142" s="323" t="s">
        <v>2088</v>
      </c>
      <c r="O142" s="359">
        <v>43728</v>
      </c>
      <c r="P142" s="323" t="s">
        <v>3061</v>
      </c>
      <c r="Q142" s="323" t="s">
        <v>2829</v>
      </c>
      <c r="R142" s="362"/>
      <c r="S142" s="323">
        <f>Table137[[#This Row],[DATE  CLOSED]]-Table137[[#This Row],[INITIATION DATE]]</f>
        <v>11</v>
      </c>
    </row>
    <row r="143" spans="1:19" ht="25.35" customHeight="1" x14ac:dyDescent="0.2">
      <c r="A143" s="349" t="s">
        <v>5123</v>
      </c>
      <c r="B143" s="325">
        <v>43720</v>
      </c>
      <c r="C143" s="328" t="s">
        <v>5124</v>
      </c>
      <c r="D143" s="328" t="s">
        <v>5125</v>
      </c>
      <c r="E143" s="323" t="s">
        <v>5126</v>
      </c>
      <c r="F143" s="323">
        <v>1</v>
      </c>
      <c r="G143" s="323" t="s">
        <v>2828</v>
      </c>
      <c r="H143" s="323" t="s">
        <v>3423</v>
      </c>
      <c r="I143" s="323" t="s">
        <v>3926</v>
      </c>
      <c r="J143" s="325">
        <v>43750</v>
      </c>
      <c r="K143" s="325"/>
      <c r="L143" s="325"/>
      <c r="M143" s="323" t="s">
        <v>2853</v>
      </c>
      <c r="N143" s="323" t="s">
        <v>2088</v>
      </c>
      <c r="O143" s="359">
        <v>43726</v>
      </c>
      <c r="P143" s="323" t="s">
        <v>3061</v>
      </c>
      <c r="Q143" s="323" t="s">
        <v>2829</v>
      </c>
      <c r="R143" s="362" t="s">
        <v>5135</v>
      </c>
      <c r="S143" s="323">
        <f>Table137[[#This Row],[DATE  CLOSED]]-Table137[[#This Row],[INITIATION DATE]]</f>
        <v>6</v>
      </c>
    </row>
    <row r="144" spans="1:19" ht="25.35" customHeight="1" x14ac:dyDescent="0.2">
      <c r="A144" s="349" t="s">
        <v>5127</v>
      </c>
      <c r="B144" s="325">
        <v>43720</v>
      </c>
      <c r="C144" s="328" t="s">
        <v>5128</v>
      </c>
      <c r="D144" s="328" t="s">
        <v>5129</v>
      </c>
      <c r="E144" s="323" t="s">
        <v>3586</v>
      </c>
      <c r="F144" s="323">
        <v>1</v>
      </c>
      <c r="G144" s="323" t="s">
        <v>2828</v>
      </c>
      <c r="H144" s="323" t="s">
        <v>4079</v>
      </c>
      <c r="I144" s="323" t="s">
        <v>3926</v>
      </c>
      <c r="J144" s="325">
        <v>43769</v>
      </c>
      <c r="K144" s="325"/>
      <c r="L144" s="325"/>
      <c r="M144" s="323" t="s">
        <v>2853</v>
      </c>
      <c r="N144" s="323" t="s">
        <v>2088</v>
      </c>
      <c r="O144" s="359">
        <v>43753</v>
      </c>
      <c r="P144" s="323" t="s">
        <v>3061</v>
      </c>
      <c r="Q144" s="323" t="s">
        <v>2829</v>
      </c>
      <c r="R144" s="362"/>
      <c r="S144" s="323">
        <f>Table137[[#This Row],[DATE  CLOSED]]-Table137[[#This Row],[INITIATION DATE]]</f>
        <v>33</v>
      </c>
    </row>
    <row r="145" spans="1:19" ht="25.35" customHeight="1" x14ac:dyDescent="0.2">
      <c r="A145" s="349" t="s">
        <v>5130</v>
      </c>
      <c r="B145" s="325">
        <v>43724</v>
      </c>
      <c r="C145" s="328" t="s">
        <v>5131</v>
      </c>
      <c r="D145" s="328" t="s">
        <v>3873</v>
      </c>
      <c r="E145" s="323" t="s">
        <v>2971</v>
      </c>
      <c r="F145" s="323">
        <v>1</v>
      </c>
      <c r="G145" s="323" t="s">
        <v>2841</v>
      </c>
      <c r="H145" s="323" t="s">
        <v>229</v>
      </c>
      <c r="I145" s="323" t="s">
        <v>755</v>
      </c>
      <c r="J145" s="325">
        <v>43738</v>
      </c>
      <c r="K145" s="327"/>
      <c r="L145" s="327"/>
      <c r="M145" s="326" t="s">
        <v>2853</v>
      </c>
      <c r="N145" s="323" t="s">
        <v>2088</v>
      </c>
      <c r="O145" s="359">
        <v>43726</v>
      </c>
      <c r="P145" s="323" t="s">
        <v>3061</v>
      </c>
      <c r="Q145" s="323" t="s">
        <v>2829</v>
      </c>
      <c r="R145" s="362"/>
      <c r="S145" s="323">
        <f>Table137[[#This Row],[DATE  CLOSED]]-Table137[[#This Row],[INITIATION DATE]]</f>
        <v>2</v>
      </c>
    </row>
    <row r="146" spans="1:19" ht="25.35" customHeight="1" x14ac:dyDescent="0.2">
      <c r="A146" s="349" t="s">
        <v>5132</v>
      </c>
      <c r="B146" s="325">
        <v>43724</v>
      </c>
      <c r="C146" s="328" t="s">
        <v>5133</v>
      </c>
      <c r="D146" s="328" t="s">
        <v>5134</v>
      </c>
      <c r="E146" s="323" t="s">
        <v>2971</v>
      </c>
      <c r="F146" s="323">
        <v>1</v>
      </c>
      <c r="G146" s="323" t="s">
        <v>2841</v>
      </c>
      <c r="H146" s="323" t="s">
        <v>3859</v>
      </c>
      <c r="I146" s="323" t="s">
        <v>229</v>
      </c>
      <c r="J146" s="325">
        <v>43738</v>
      </c>
      <c r="K146" s="325"/>
      <c r="L146" s="325"/>
      <c r="M146" s="323" t="s">
        <v>2853</v>
      </c>
      <c r="N146" s="323" t="s">
        <v>2088</v>
      </c>
      <c r="O146" s="359">
        <v>43727</v>
      </c>
      <c r="P146" s="323" t="s">
        <v>3061</v>
      </c>
      <c r="Q146" s="323" t="s">
        <v>2829</v>
      </c>
      <c r="R146" s="362"/>
      <c r="S146" s="323">
        <f>Table137[[#This Row],[DATE  CLOSED]]-Table137[[#This Row],[INITIATION DATE]]</f>
        <v>3</v>
      </c>
    </row>
    <row r="147" spans="1:19" ht="25.35" customHeight="1" x14ac:dyDescent="0.2">
      <c r="A147" s="349" t="s">
        <v>5136</v>
      </c>
      <c r="B147" s="325">
        <v>43731</v>
      </c>
      <c r="C147" s="328" t="s">
        <v>5137</v>
      </c>
      <c r="D147" s="328" t="s">
        <v>5138</v>
      </c>
      <c r="E147" s="323" t="s">
        <v>2971</v>
      </c>
      <c r="F147" s="323">
        <v>1</v>
      </c>
      <c r="G147" s="323" t="s">
        <v>2841</v>
      </c>
      <c r="H147" s="323" t="s">
        <v>4079</v>
      </c>
      <c r="I147" s="323" t="s">
        <v>3926</v>
      </c>
      <c r="J147" s="325">
        <v>43769</v>
      </c>
      <c r="K147" s="325"/>
      <c r="L147" s="325"/>
      <c r="M147" s="323" t="s">
        <v>2853</v>
      </c>
      <c r="N147" s="323" t="s">
        <v>2088</v>
      </c>
      <c r="O147" s="359">
        <v>43760</v>
      </c>
      <c r="P147" s="323" t="s">
        <v>3061</v>
      </c>
      <c r="Q147" s="323" t="s">
        <v>2829</v>
      </c>
      <c r="R147" s="362"/>
      <c r="S147" s="323">
        <f>Table137[[#This Row],[DATE  CLOSED]]-Table137[[#This Row],[INITIATION DATE]]</f>
        <v>29</v>
      </c>
    </row>
    <row r="148" spans="1:19" ht="25.35" customHeight="1" x14ac:dyDescent="0.2">
      <c r="A148" s="349" t="s">
        <v>5140</v>
      </c>
      <c r="B148" s="325">
        <v>43738</v>
      </c>
      <c r="C148" s="328" t="s">
        <v>5141</v>
      </c>
      <c r="D148" s="328" t="s">
        <v>5142</v>
      </c>
      <c r="E148" s="323" t="s">
        <v>4675</v>
      </c>
      <c r="F148" s="323">
        <v>1</v>
      </c>
      <c r="G148" s="323" t="s">
        <v>2828</v>
      </c>
      <c r="H148" s="323" t="s">
        <v>5143</v>
      </c>
      <c r="I148" s="323" t="s">
        <v>3211</v>
      </c>
      <c r="J148" s="325">
        <v>43770</v>
      </c>
      <c r="K148" s="325"/>
      <c r="L148" s="325"/>
      <c r="M148" s="323" t="s">
        <v>2853</v>
      </c>
      <c r="N148" s="323" t="s">
        <v>2088</v>
      </c>
      <c r="O148" s="359">
        <v>43741</v>
      </c>
      <c r="P148" s="323" t="s">
        <v>3061</v>
      </c>
      <c r="Q148" s="323" t="s">
        <v>2829</v>
      </c>
      <c r="R148" s="362"/>
      <c r="S148" s="323">
        <f>Table137[[#This Row],[DATE  CLOSED]]-Table137[[#This Row],[INITIATION DATE]]</f>
        <v>3</v>
      </c>
    </row>
    <row r="149" spans="1:19" ht="25.35" customHeight="1" x14ac:dyDescent="0.2">
      <c r="A149" s="349" t="s">
        <v>5144</v>
      </c>
      <c r="B149" s="325">
        <v>43739</v>
      </c>
      <c r="C149" s="328" t="s">
        <v>5147</v>
      </c>
      <c r="D149" s="328" t="s">
        <v>5146</v>
      </c>
      <c r="E149" s="323" t="s">
        <v>2971</v>
      </c>
      <c r="F149" s="323">
        <v>1</v>
      </c>
      <c r="G149" s="323" t="s">
        <v>2836</v>
      </c>
      <c r="H149" s="323" t="s">
        <v>486</v>
      </c>
      <c r="I149" s="323" t="s">
        <v>229</v>
      </c>
      <c r="J149" s="325">
        <v>43742</v>
      </c>
      <c r="K149" s="325"/>
      <c r="L149" s="325"/>
      <c r="M149" s="323" t="s">
        <v>2853</v>
      </c>
      <c r="N149" s="323" t="s">
        <v>2088</v>
      </c>
      <c r="O149" s="359">
        <v>43746</v>
      </c>
      <c r="P149" s="323" t="s">
        <v>2088</v>
      </c>
      <c r="Q149" s="323" t="s">
        <v>2088</v>
      </c>
      <c r="R149" s="362"/>
      <c r="S149" s="323">
        <f>Table137[[#This Row],[DATE  CLOSED]]-Table137[[#This Row],[INITIATION DATE]]</f>
        <v>7</v>
      </c>
    </row>
    <row r="150" spans="1:19" ht="25.35" customHeight="1" x14ac:dyDescent="0.2">
      <c r="A150" s="349" t="s">
        <v>5145</v>
      </c>
      <c r="B150" s="325">
        <v>43739</v>
      </c>
      <c r="C150" s="328" t="s">
        <v>5148</v>
      </c>
      <c r="D150" s="328" t="s">
        <v>5149</v>
      </c>
      <c r="E150" s="323" t="s">
        <v>2971</v>
      </c>
      <c r="F150" s="323">
        <v>1</v>
      </c>
      <c r="G150" s="323" t="s">
        <v>2841</v>
      </c>
      <c r="H150" s="323" t="s">
        <v>4502</v>
      </c>
      <c r="I150" s="323" t="s">
        <v>229</v>
      </c>
      <c r="J150" s="325">
        <v>43769</v>
      </c>
      <c r="K150" s="325"/>
      <c r="L150" s="325"/>
      <c r="M150" s="323" t="s">
        <v>2853</v>
      </c>
      <c r="N150" s="323" t="s">
        <v>2088</v>
      </c>
      <c r="O150" s="359">
        <v>43759</v>
      </c>
      <c r="P150" s="323" t="s">
        <v>3061</v>
      </c>
      <c r="Q150" s="323" t="s">
        <v>2829</v>
      </c>
      <c r="R150" s="362"/>
      <c r="S150" s="323">
        <f>Table137[[#This Row],[DATE  CLOSED]]-Table137[[#This Row],[INITIATION DATE]]</f>
        <v>20</v>
      </c>
    </row>
    <row r="151" spans="1:19" ht="25.35" customHeight="1" x14ac:dyDescent="0.2">
      <c r="A151" s="349" t="s">
        <v>5150</v>
      </c>
      <c r="B151" s="325">
        <v>43742</v>
      </c>
      <c r="C151" s="328" t="s">
        <v>5151</v>
      </c>
      <c r="D151" s="328" t="s">
        <v>5152</v>
      </c>
      <c r="E151" s="323" t="s">
        <v>2971</v>
      </c>
      <c r="F151" s="323">
        <v>1</v>
      </c>
      <c r="G151" s="323" t="s">
        <v>2841</v>
      </c>
      <c r="H151" s="323" t="s">
        <v>4796</v>
      </c>
      <c r="I151" s="323" t="s">
        <v>229</v>
      </c>
      <c r="J151" s="325">
        <v>43769</v>
      </c>
      <c r="K151" s="325"/>
      <c r="L151" s="325"/>
      <c r="M151" s="323" t="s">
        <v>2853</v>
      </c>
      <c r="N151" s="323" t="s">
        <v>2088</v>
      </c>
      <c r="O151" s="359">
        <v>43760</v>
      </c>
      <c r="P151" s="323" t="s">
        <v>3061</v>
      </c>
      <c r="Q151" s="323" t="s">
        <v>2829</v>
      </c>
      <c r="R151" s="362" t="s">
        <v>5080</v>
      </c>
      <c r="S151" s="323">
        <f>Table137[[#This Row],[DATE  CLOSED]]-Table137[[#This Row],[INITIATION DATE]]</f>
        <v>18</v>
      </c>
    </row>
    <row r="152" spans="1:19" ht="25.35" customHeight="1" x14ac:dyDescent="0.2">
      <c r="A152" s="349" t="s">
        <v>5154</v>
      </c>
      <c r="B152" s="325">
        <v>43747</v>
      </c>
      <c r="C152" s="329" t="s">
        <v>5155</v>
      </c>
      <c r="D152" s="329" t="s">
        <v>3039</v>
      </c>
      <c r="E152" s="326" t="s">
        <v>2971</v>
      </c>
      <c r="F152" s="323">
        <v>1</v>
      </c>
      <c r="G152" s="323" t="s">
        <v>2841</v>
      </c>
      <c r="H152" s="326" t="s">
        <v>727</v>
      </c>
      <c r="I152" s="326" t="s">
        <v>229</v>
      </c>
      <c r="J152" s="325">
        <v>43777</v>
      </c>
      <c r="K152" s="325"/>
      <c r="L152" s="325"/>
      <c r="M152" s="323" t="s">
        <v>2853</v>
      </c>
      <c r="N152" s="323" t="s">
        <v>2088</v>
      </c>
      <c r="O152" s="359">
        <v>43752</v>
      </c>
      <c r="P152" s="323" t="s">
        <v>3061</v>
      </c>
      <c r="Q152" s="323" t="s">
        <v>2829</v>
      </c>
      <c r="R152" s="362"/>
      <c r="S152" s="323">
        <f>Table137[[#This Row],[DATE  CLOSED]]-Table137[[#This Row],[INITIATION DATE]]</f>
        <v>5</v>
      </c>
    </row>
    <row r="153" spans="1:19" ht="25.35" customHeight="1" x14ac:dyDescent="0.2">
      <c r="A153" s="349" t="s">
        <v>5156</v>
      </c>
      <c r="B153" s="325">
        <v>43752</v>
      </c>
      <c r="C153" s="328" t="s">
        <v>5157</v>
      </c>
      <c r="D153" s="328" t="s">
        <v>3873</v>
      </c>
      <c r="E153" s="323" t="s">
        <v>2971</v>
      </c>
      <c r="F153" s="323">
        <v>1</v>
      </c>
      <c r="G153" s="323" t="s">
        <v>2841</v>
      </c>
      <c r="H153" s="323" t="s">
        <v>229</v>
      </c>
      <c r="I153" s="323" t="s">
        <v>755</v>
      </c>
      <c r="J153" s="325">
        <v>43769</v>
      </c>
      <c r="K153" s="325"/>
      <c r="L153" s="325"/>
      <c r="M153" s="323" t="s">
        <v>2853</v>
      </c>
      <c r="N153" s="323" t="s">
        <v>2088</v>
      </c>
      <c r="O153" s="359">
        <v>43760</v>
      </c>
      <c r="P153" s="323" t="s">
        <v>3061</v>
      </c>
      <c r="Q153" s="323" t="s">
        <v>2829</v>
      </c>
      <c r="R153" s="337" t="s">
        <v>5080</v>
      </c>
      <c r="S153" s="323">
        <f>Table137[[#This Row],[DATE  CLOSED]]-Table137[[#This Row],[INITIATION DATE]]</f>
        <v>8</v>
      </c>
    </row>
    <row r="154" spans="1:19" ht="25.35" customHeight="1" x14ac:dyDescent="0.2">
      <c r="A154" s="349" t="s">
        <v>5158</v>
      </c>
      <c r="B154" s="325">
        <v>43752</v>
      </c>
      <c r="C154" s="329" t="s">
        <v>5159</v>
      </c>
      <c r="D154" s="329" t="s">
        <v>5160</v>
      </c>
      <c r="E154" s="326" t="s">
        <v>2971</v>
      </c>
      <c r="F154" s="323">
        <v>1</v>
      </c>
      <c r="G154" s="326" t="s">
        <v>2840</v>
      </c>
      <c r="H154" s="326" t="s">
        <v>229</v>
      </c>
      <c r="I154" s="326" t="s">
        <v>755</v>
      </c>
      <c r="J154" s="325">
        <v>43756</v>
      </c>
      <c r="K154" s="325"/>
      <c r="L154" s="325"/>
      <c r="M154" s="326" t="s">
        <v>2853</v>
      </c>
      <c r="N154" s="323" t="s">
        <v>2088</v>
      </c>
      <c r="O154" s="359">
        <v>43752</v>
      </c>
      <c r="P154" s="323" t="s">
        <v>3061</v>
      </c>
      <c r="Q154" s="323" t="s">
        <v>2829</v>
      </c>
      <c r="R154" s="337" t="s">
        <v>5080</v>
      </c>
      <c r="S154" s="323">
        <f>Table137[[#This Row],[DATE  CLOSED]]-Table137[[#This Row],[INITIATION DATE]]</f>
        <v>0</v>
      </c>
    </row>
    <row r="155" spans="1:19" ht="25.35" customHeight="1" x14ac:dyDescent="0.2">
      <c r="A155" s="323" t="s">
        <v>5161</v>
      </c>
      <c r="B155" s="325">
        <v>43755</v>
      </c>
      <c r="C155" s="328" t="s">
        <v>5164</v>
      </c>
      <c r="D155" s="328" t="s">
        <v>5165</v>
      </c>
      <c r="E155" s="323" t="s">
        <v>5162</v>
      </c>
      <c r="F155" s="323">
        <v>1</v>
      </c>
      <c r="G155" s="323" t="s">
        <v>2828</v>
      </c>
      <c r="H155" s="323" t="s">
        <v>5163</v>
      </c>
      <c r="I155" s="323" t="s">
        <v>3211</v>
      </c>
      <c r="J155" s="325">
        <v>43787</v>
      </c>
      <c r="K155" s="325"/>
      <c r="L155" s="325"/>
      <c r="M155" s="323" t="s">
        <v>2853</v>
      </c>
      <c r="N155" s="323" t="s">
        <v>2088</v>
      </c>
      <c r="O155" s="359">
        <v>43781</v>
      </c>
      <c r="P155" s="323" t="s">
        <v>3061</v>
      </c>
      <c r="Q155" s="323" t="s">
        <v>2829</v>
      </c>
      <c r="R155" s="363" t="s">
        <v>5080</v>
      </c>
      <c r="S155" s="323">
        <f>Table137[[#This Row],[DATE  CLOSED]]-Table137[[#This Row],[INITIATION DATE]]</f>
        <v>26</v>
      </c>
    </row>
    <row r="156" spans="1:19" ht="25.35" customHeight="1" x14ac:dyDescent="0.2">
      <c r="A156" s="323" t="s">
        <v>5167</v>
      </c>
      <c r="B156" s="325">
        <v>43761</v>
      </c>
      <c r="C156" s="328" t="s">
        <v>5064</v>
      </c>
      <c r="D156" s="329" t="s">
        <v>5168</v>
      </c>
      <c r="E156" s="326" t="s">
        <v>2971</v>
      </c>
      <c r="F156" s="323">
        <v>1</v>
      </c>
      <c r="G156" s="323" t="s">
        <v>2836</v>
      </c>
      <c r="H156" s="326" t="s">
        <v>4079</v>
      </c>
      <c r="I156" s="326" t="s">
        <v>3926</v>
      </c>
      <c r="J156" s="325">
        <v>43792</v>
      </c>
      <c r="K156" s="325"/>
      <c r="L156" s="325"/>
      <c r="M156" s="326" t="s">
        <v>2853</v>
      </c>
      <c r="N156" s="323" t="s">
        <v>2088</v>
      </c>
      <c r="O156" s="359">
        <v>43781</v>
      </c>
      <c r="P156" s="323" t="s">
        <v>3061</v>
      </c>
      <c r="Q156" s="323" t="s">
        <v>2829</v>
      </c>
      <c r="R156" s="363"/>
      <c r="S156" s="323">
        <f>Table137[[#This Row],[DATE  CLOSED]]-Table137[[#This Row],[INITIATION DATE]]</f>
        <v>20</v>
      </c>
    </row>
    <row r="157" spans="1:19" ht="25.35" customHeight="1" x14ac:dyDescent="0.2">
      <c r="A157" s="326" t="s">
        <v>5170</v>
      </c>
      <c r="B157" s="325">
        <v>43766</v>
      </c>
      <c r="C157" s="329" t="s">
        <v>5171</v>
      </c>
      <c r="D157" s="329" t="s">
        <v>5008</v>
      </c>
      <c r="E157" s="326" t="s">
        <v>3519</v>
      </c>
      <c r="F157" s="323">
        <v>1</v>
      </c>
      <c r="G157" s="326" t="s">
        <v>2828</v>
      </c>
      <c r="H157" s="326" t="s">
        <v>4163</v>
      </c>
      <c r="I157" s="326" t="s">
        <v>3211</v>
      </c>
      <c r="J157" s="325">
        <v>43830</v>
      </c>
      <c r="K157" s="325">
        <v>43951</v>
      </c>
      <c r="L157" s="325"/>
      <c r="M157" s="326" t="s">
        <v>2853</v>
      </c>
      <c r="N157" s="323" t="s">
        <v>3022</v>
      </c>
      <c r="O157" s="359">
        <v>44021</v>
      </c>
      <c r="P157" s="323" t="s">
        <v>3022</v>
      </c>
      <c r="Q157" s="323" t="s">
        <v>2837</v>
      </c>
      <c r="R157" s="363"/>
      <c r="S157" s="323">
        <f>Table137[[#This Row],[DATE  CLOSED]]-Table137[[#This Row],[INITIATION DATE]]</f>
        <v>255</v>
      </c>
    </row>
    <row r="158" spans="1:19" ht="25.35" customHeight="1" x14ac:dyDescent="0.2">
      <c r="A158" s="323" t="s">
        <v>5173</v>
      </c>
      <c r="B158" s="325">
        <v>43767</v>
      </c>
      <c r="C158" s="328" t="s">
        <v>5174</v>
      </c>
      <c r="D158" s="328" t="s">
        <v>5175</v>
      </c>
      <c r="E158" s="323" t="s">
        <v>2971</v>
      </c>
      <c r="F158" s="323">
        <v>1</v>
      </c>
      <c r="G158" s="323" t="s">
        <v>2838</v>
      </c>
      <c r="H158" s="323" t="s">
        <v>685</v>
      </c>
      <c r="I158" s="323" t="s">
        <v>755</v>
      </c>
      <c r="J158" s="325">
        <v>43804</v>
      </c>
      <c r="K158" s="325"/>
      <c r="L158" s="325"/>
      <c r="M158" s="323" t="s">
        <v>2853</v>
      </c>
      <c r="N158" s="323" t="s">
        <v>2088</v>
      </c>
      <c r="O158" s="359">
        <v>43803</v>
      </c>
      <c r="P158" s="323" t="s">
        <v>3061</v>
      </c>
      <c r="Q158" s="323" t="s">
        <v>2832</v>
      </c>
      <c r="R158" s="363" t="s">
        <v>5080</v>
      </c>
      <c r="S158" s="323">
        <f>Table137[[#This Row],[DATE  CLOSED]]-Table137[[#This Row],[INITIATION DATE]]</f>
        <v>36</v>
      </c>
    </row>
    <row r="159" spans="1:19" ht="25.35" customHeight="1" x14ac:dyDescent="0.2">
      <c r="A159" s="323" t="s">
        <v>5176</v>
      </c>
      <c r="B159" s="325">
        <v>43768</v>
      </c>
      <c r="C159" s="328" t="s">
        <v>5177</v>
      </c>
      <c r="D159" s="328" t="s">
        <v>3307</v>
      </c>
      <c r="E159" s="323" t="s">
        <v>2971</v>
      </c>
      <c r="F159" s="323">
        <v>1</v>
      </c>
      <c r="G159" s="323" t="s">
        <v>2841</v>
      </c>
      <c r="H159" s="323" t="s">
        <v>3991</v>
      </c>
      <c r="I159" s="323" t="s">
        <v>229</v>
      </c>
      <c r="J159" s="325">
        <v>43784</v>
      </c>
      <c r="K159" s="325"/>
      <c r="L159" s="325"/>
      <c r="M159" s="323" t="s">
        <v>2853</v>
      </c>
      <c r="N159" s="323" t="s">
        <v>2912</v>
      </c>
      <c r="O159" s="359">
        <v>43774</v>
      </c>
      <c r="P159" s="323" t="s">
        <v>3061</v>
      </c>
      <c r="Q159" s="323" t="s">
        <v>2829</v>
      </c>
      <c r="R159" s="363" t="s">
        <v>5080</v>
      </c>
      <c r="S159" s="323">
        <f>Table137[[#This Row],[DATE  CLOSED]]-Table137[[#This Row],[INITIATION DATE]]</f>
        <v>6</v>
      </c>
    </row>
    <row r="160" spans="1:19" ht="25.35" customHeight="1" x14ac:dyDescent="0.2">
      <c r="A160" s="323" t="s">
        <v>5178</v>
      </c>
      <c r="B160" s="325">
        <v>43766</v>
      </c>
      <c r="C160" s="328" t="s">
        <v>4788</v>
      </c>
      <c r="D160" s="328" t="s">
        <v>5179</v>
      </c>
      <c r="E160" s="323" t="s">
        <v>2971</v>
      </c>
      <c r="F160" s="323">
        <v>1</v>
      </c>
      <c r="G160" s="323" t="s">
        <v>2838</v>
      </c>
      <c r="H160" s="323" t="s">
        <v>685</v>
      </c>
      <c r="I160" s="323" t="s">
        <v>229</v>
      </c>
      <c r="J160" s="325">
        <v>43766</v>
      </c>
      <c r="K160" s="325"/>
      <c r="L160" s="325"/>
      <c r="M160" s="323" t="s">
        <v>2853</v>
      </c>
      <c r="N160" s="323" t="s">
        <v>2088</v>
      </c>
      <c r="O160" s="359">
        <v>43768</v>
      </c>
      <c r="P160" s="323" t="s">
        <v>2088</v>
      </c>
      <c r="Q160" s="323" t="s">
        <v>2829</v>
      </c>
      <c r="R160" s="363" t="s">
        <v>4797</v>
      </c>
      <c r="S160" s="323">
        <f>Table137[[#This Row],[DATE  CLOSED]]-Table137[[#This Row],[INITIATION DATE]]</f>
        <v>2</v>
      </c>
    </row>
    <row r="161" spans="1:19" ht="25.35" customHeight="1" x14ac:dyDescent="0.2">
      <c r="A161" s="323" t="s">
        <v>5180</v>
      </c>
      <c r="B161" s="325">
        <v>43768</v>
      </c>
      <c r="C161" s="328" t="s">
        <v>5181</v>
      </c>
      <c r="D161" s="328" t="s">
        <v>3426</v>
      </c>
      <c r="E161" s="323" t="s">
        <v>4256</v>
      </c>
      <c r="F161" s="323">
        <v>1</v>
      </c>
      <c r="G161" s="323" t="s">
        <v>2828</v>
      </c>
      <c r="H161" s="323" t="s">
        <v>4232</v>
      </c>
      <c r="I161" s="323" t="s">
        <v>3211</v>
      </c>
      <c r="J161" s="325">
        <v>43799</v>
      </c>
      <c r="K161" s="325"/>
      <c r="L161" s="325"/>
      <c r="M161" s="323" t="s">
        <v>2853</v>
      </c>
      <c r="N161" s="323" t="s">
        <v>2088</v>
      </c>
      <c r="O161" s="359">
        <v>43774</v>
      </c>
      <c r="P161" s="323" t="s">
        <v>3061</v>
      </c>
      <c r="Q161" s="323" t="s">
        <v>2829</v>
      </c>
      <c r="R161" s="364"/>
      <c r="S161" s="323">
        <f>Table137[[#This Row],[DATE  CLOSED]]-Table137[[#This Row],[INITIATION DATE]]</f>
        <v>6</v>
      </c>
    </row>
    <row r="162" spans="1:19" ht="25.35" customHeight="1" x14ac:dyDescent="0.2">
      <c r="A162" s="323" t="s">
        <v>5182</v>
      </c>
      <c r="B162" s="325">
        <v>43768</v>
      </c>
      <c r="C162" s="328" t="s">
        <v>5183</v>
      </c>
      <c r="D162" s="328" t="s">
        <v>5184</v>
      </c>
      <c r="E162" s="323" t="s">
        <v>2971</v>
      </c>
      <c r="F162" s="323">
        <v>1</v>
      </c>
      <c r="G162" s="323" t="s">
        <v>2836</v>
      </c>
      <c r="H162" s="323" t="s">
        <v>685</v>
      </c>
      <c r="I162" s="323" t="s">
        <v>229</v>
      </c>
      <c r="J162" s="325">
        <v>43861</v>
      </c>
      <c r="K162" s="325"/>
      <c r="L162" s="325"/>
      <c r="M162" s="323" t="s">
        <v>2853</v>
      </c>
      <c r="N162" s="323" t="s">
        <v>2088</v>
      </c>
      <c r="O162" s="359">
        <v>43768</v>
      </c>
      <c r="P162" s="323" t="s">
        <v>3061</v>
      </c>
      <c r="Q162" s="323" t="s">
        <v>4987</v>
      </c>
      <c r="R162" s="364" t="s">
        <v>5988</v>
      </c>
      <c r="S162" s="323">
        <f>Table137[[#This Row],[DATE  CLOSED]]-Table137[[#This Row],[INITIATION DATE]]</f>
        <v>0</v>
      </c>
    </row>
    <row r="163" spans="1:19" ht="25.35" customHeight="1" x14ac:dyDescent="0.2">
      <c r="A163" s="323" t="s">
        <v>5185</v>
      </c>
      <c r="B163" s="325">
        <v>43768</v>
      </c>
      <c r="C163" s="328" t="s">
        <v>5186</v>
      </c>
      <c r="D163" s="328" t="s">
        <v>5187</v>
      </c>
      <c r="E163" s="323" t="s">
        <v>2971</v>
      </c>
      <c r="F163" s="323">
        <v>1</v>
      </c>
      <c r="G163" s="323" t="s">
        <v>2836</v>
      </c>
      <c r="H163" s="323" t="s">
        <v>685</v>
      </c>
      <c r="I163" s="323" t="s">
        <v>229</v>
      </c>
      <c r="J163" s="325">
        <v>43921</v>
      </c>
      <c r="K163" s="325"/>
      <c r="L163" s="325"/>
      <c r="M163" s="323" t="s">
        <v>2853</v>
      </c>
      <c r="N163" s="323" t="s">
        <v>2088</v>
      </c>
      <c r="O163" s="359">
        <v>43769</v>
      </c>
      <c r="P163" s="323" t="s">
        <v>3061</v>
      </c>
      <c r="Q163" s="323" t="s">
        <v>4987</v>
      </c>
      <c r="R163" s="364" t="s">
        <v>5987</v>
      </c>
      <c r="S163" s="323">
        <f>Table137[[#This Row],[DATE  CLOSED]]-Table137[[#This Row],[INITIATION DATE]]</f>
        <v>1</v>
      </c>
    </row>
    <row r="164" spans="1:19" ht="25.35" customHeight="1" x14ac:dyDescent="0.2">
      <c r="A164" s="323" t="s">
        <v>5188</v>
      </c>
      <c r="B164" s="325">
        <v>43770</v>
      </c>
      <c r="C164" s="329" t="s">
        <v>5189</v>
      </c>
      <c r="D164" s="329" t="s">
        <v>5190</v>
      </c>
      <c r="E164" s="326" t="s">
        <v>2971</v>
      </c>
      <c r="F164" s="323">
        <v>1</v>
      </c>
      <c r="G164" s="326" t="s">
        <v>2841</v>
      </c>
      <c r="H164" s="326" t="s">
        <v>229</v>
      </c>
      <c r="I164" s="326" t="s">
        <v>755</v>
      </c>
      <c r="J164" s="325">
        <v>43799</v>
      </c>
      <c r="K164" s="325"/>
      <c r="L164" s="325"/>
      <c r="M164" s="326" t="s">
        <v>2853</v>
      </c>
      <c r="N164" s="323" t="s">
        <v>2088</v>
      </c>
      <c r="O164" s="359">
        <v>43795</v>
      </c>
      <c r="P164" s="323" t="s">
        <v>3061</v>
      </c>
      <c r="Q164" s="323" t="s">
        <v>2829</v>
      </c>
      <c r="R164" s="364"/>
      <c r="S164" s="323">
        <f>Table137[[#This Row],[DATE  CLOSED]]-Table137[[#This Row],[INITIATION DATE]]</f>
        <v>25</v>
      </c>
    </row>
    <row r="165" spans="1:19" ht="25.35" customHeight="1" x14ac:dyDescent="0.2">
      <c r="A165" s="323" t="s">
        <v>5191</v>
      </c>
      <c r="B165" s="325">
        <v>43773</v>
      </c>
      <c r="C165" s="329" t="s">
        <v>5193</v>
      </c>
      <c r="D165" s="329" t="s">
        <v>3039</v>
      </c>
      <c r="E165" s="326" t="s">
        <v>2971</v>
      </c>
      <c r="F165" s="323">
        <v>1</v>
      </c>
      <c r="G165" s="323" t="s">
        <v>2841</v>
      </c>
      <c r="H165" s="326" t="s">
        <v>3211</v>
      </c>
      <c r="I165" s="326" t="s">
        <v>5192</v>
      </c>
      <c r="J165" s="325">
        <v>43799</v>
      </c>
      <c r="K165" s="325"/>
      <c r="L165" s="325"/>
      <c r="M165" s="323" t="s">
        <v>2853</v>
      </c>
      <c r="N165" s="323" t="s">
        <v>2088</v>
      </c>
      <c r="O165" s="359">
        <v>43795</v>
      </c>
      <c r="P165" s="323" t="s">
        <v>3061</v>
      </c>
      <c r="Q165" s="323" t="s">
        <v>2829</v>
      </c>
      <c r="R165" s="364" t="s">
        <v>5080</v>
      </c>
      <c r="S165" s="323">
        <f>Table137[[#This Row],[DATE  CLOSED]]-Table137[[#This Row],[INITIATION DATE]]</f>
        <v>22</v>
      </c>
    </row>
    <row r="166" spans="1:19" ht="25.35" customHeight="1" x14ac:dyDescent="0.2">
      <c r="A166" s="323" t="s">
        <v>5194</v>
      </c>
      <c r="B166" s="325">
        <v>43773</v>
      </c>
      <c r="C166" s="328" t="s">
        <v>5195</v>
      </c>
      <c r="D166" s="328" t="s">
        <v>5196</v>
      </c>
      <c r="E166" s="323" t="s">
        <v>2971</v>
      </c>
      <c r="F166" s="323">
        <v>1</v>
      </c>
      <c r="G166" s="323" t="s">
        <v>2841</v>
      </c>
      <c r="H166" s="323" t="s">
        <v>3991</v>
      </c>
      <c r="I166" s="323" t="s">
        <v>229</v>
      </c>
      <c r="J166" s="325">
        <v>43799</v>
      </c>
      <c r="K166" s="325"/>
      <c r="L166" s="325"/>
      <c r="M166" s="323" t="s">
        <v>2853</v>
      </c>
      <c r="N166" s="323" t="s">
        <v>2088</v>
      </c>
      <c r="O166" s="359">
        <v>43795</v>
      </c>
      <c r="P166" s="323" t="s">
        <v>3061</v>
      </c>
      <c r="Q166" s="323" t="s">
        <v>2829</v>
      </c>
      <c r="R166" s="364"/>
      <c r="S166" s="323">
        <f>Table137[[#This Row],[DATE  CLOSED]]-Table137[[#This Row],[INITIATION DATE]]</f>
        <v>22</v>
      </c>
    </row>
    <row r="167" spans="1:19" ht="25.35" customHeight="1" x14ac:dyDescent="0.2">
      <c r="A167" s="323" t="s">
        <v>5197</v>
      </c>
      <c r="B167" s="325">
        <v>43773</v>
      </c>
      <c r="C167" s="329" t="s">
        <v>5198</v>
      </c>
      <c r="D167" s="329" t="s">
        <v>5199</v>
      </c>
      <c r="E167" s="326" t="s">
        <v>2971</v>
      </c>
      <c r="F167" s="323">
        <v>1</v>
      </c>
      <c r="G167" s="323" t="s">
        <v>2840</v>
      </c>
      <c r="H167" s="326" t="s">
        <v>229</v>
      </c>
      <c r="I167" s="326" t="s">
        <v>755</v>
      </c>
      <c r="J167" s="325">
        <v>43799</v>
      </c>
      <c r="K167" s="325"/>
      <c r="L167" s="325"/>
      <c r="M167" s="326" t="s">
        <v>2853</v>
      </c>
      <c r="N167" s="323" t="s">
        <v>2088</v>
      </c>
      <c r="O167" s="359">
        <v>43774</v>
      </c>
      <c r="P167" s="323" t="s">
        <v>3061</v>
      </c>
      <c r="Q167" s="323" t="s">
        <v>2829</v>
      </c>
      <c r="R167" s="364" t="s">
        <v>5080</v>
      </c>
      <c r="S167" s="323">
        <f>Table137[[#This Row],[DATE  CLOSED]]-Table137[[#This Row],[INITIATION DATE]]</f>
        <v>1</v>
      </c>
    </row>
    <row r="168" spans="1:19" ht="25.35" customHeight="1" x14ac:dyDescent="0.2">
      <c r="A168" s="323" t="s">
        <v>5200</v>
      </c>
      <c r="B168" s="325">
        <v>43773</v>
      </c>
      <c r="C168" s="329" t="s">
        <v>5201</v>
      </c>
      <c r="D168" s="329" t="s">
        <v>3039</v>
      </c>
      <c r="E168" s="326" t="s">
        <v>2971</v>
      </c>
      <c r="F168" s="323">
        <v>1</v>
      </c>
      <c r="G168" s="326" t="s">
        <v>2841</v>
      </c>
      <c r="H168" s="326" t="s">
        <v>229</v>
      </c>
      <c r="I168" s="326" t="s">
        <v>755</v>
      </c>
      <c r="J168" s="325">
        <v>43799</v>
      </c>
      <c r="K168" s="325"/>
      <c r="L168" s="325"/>
      <c r="M168" s="326" t="s">
        <v>2853</v>
      </c>
      <c r="N168" s="323" t="s">
        <v>2088</v>
      </c>
      <c r="O168" s="359">
        <v>43775</v>
      </c>
      <c r="P168" s="323" t="s">
        <v>3061</v>
      </c>
      <c r="Q168" s="323" t="s">
        <v>2829</v>
      </c>
      <c r="R168" s="335" t="s">
        <v>5080</v>
      </c>
      <c r="S168" s="323">
        <f>Table137[[#This Row],[DATE  CLOSED]]-Table137[[#This Row],[INITIATION DATE]]</f>
        <v>2</v>
      </c>
    </row>
    <row r="169" spans="1:19" ht="25.35" customHeight="1" x14ac:dyDescent="0.2">
      <c r="A169" s="323" t="s">
        <v>5202</v>
      </c>
      <c r="B169" s="325">
        <v>43773</v>
      </c>
      <c r="C169" s="329" t="s">
        <v>5203</v>
      </c>
      <c r="D169" s="329" t="s">
        <v>3039</v>
      </c>
      <c r="E169" s="326" t="s">
        <v>2971</v>
      </c>
      <c r="F169" s="323">
        <v>1</v>
      </c>
      <c r="G169" s="326" t="s">
        <v>2841</v>
      </c>
      <c r="H169" s="326" t="s">
        <v>229</v>
      </c>
      <c r="I169" s="326" t="s">
        <v>755</v>
      </c>
      <c r="J169" s="325">
        <v>43799</v>
      </c>
      <c r="K169" s="325"/>
      <c r="L169" s="325"/>
      <c r="M169" s="326" t="s">
        <v>2853</v>
      </c>
      <c r="N169" s="323" t="s">
        <v>2088</v>
      </c>
      <c r="O169" s="359">
        <v>43794</v>
      </c>
      <c r="P169" s="323" t="s">
        <v>3061</v>
      </c>
      <c r="Q169" s="323" t="s">
        <v>2829</v>
      </c>
      <c r="R169" s="335" t="s">
        <v>5080</v>
      </c>
      <c r="S169" s="323">
        <f>Table137[[#This Row],[DATE  CLOSED]]-Table137[[#This Row],[INITIATION DATE]]</f>
        <v>21</v>
      </c>
    </row>
    <row r="170" spans="1:19" ht="25.35" customHeight="1" x14ac:dyDescent="0.2">
      <c r="A170" s="323" t="s">
        <v>5204</v>
      </c>
      <c r="B170" s="325">
        <v>43773</v>
      </c>
      <c r="C170" s="328" t="s">
        <v>5205</v>
      </c>
      <c r="D170" s="328" t="s">
        <v>3306</v>
      </c>
      <c r="E170" s="323" t="s">
        <v>2971</v>
      </c>
      <c r="F170" s="323">
        <v>1</v>
      </c>
      <c r="G170" s="323" t="s">
        <v>2841</v>
      </c>
      <c r="H170" s="323" t="s">
        <v>229</v>
      </c>
      <c r="I170" s="323" t="s">
        <v>755</v>
      </c>
      <c r="J170" s="325">
        <v>43799</v>
      </c>
      <c r="K170" s="325"/>
      <c r="L170" s="325"/>
      <c r="M170" s="323" t="s">
        <v>2853</v>
      </c>
      <c r="N170" s="323" t="s">
        <v>2088</v>
      </c>
      <c r="O170" s="359">
        <v>43775</v>
      </c>
      <c r="P170" s="323" t="s">
        <v>3061</v>
      </c>
      <c r="Q170" s="323" t="s">
        <v>2829</v>
      </c>
      <c r="R170" s="335" t="s">
        <v>5080</v>
      </c>
      <c r="S170" s="323">
        <f>Table137[[#This Row],[DATE  CLOSED]]-Table137[[#This Row],[INITIATION DATE]]</f>
        <v>2</v>
      </c>
    </row>
    <row r="171" spans="1:19" ht="25.35" customHeight="1" x14ac:dyDescent="0.2">
      <c r="A171" s="323" t="s">
        <v>5206</v>
      </c>
      <c r="B171" s="325">
        <v>43774</v>
      </c>
      <c r="C171" s="328" t="s">
        <v>5207</v>
      </c>
      <c r="D171" s="328" t="s">
        <v>5208</v>
      </c>
      <c r="E171" s="323" t="s">
        <v>4174</v>
      </c>
      <c r="F171" s="323">
        <v>1</v>
      </c>
      <c r="G171" s="323" t="s">
        <v>2828</v>
      </c>
      <c r="H171" s="323" t="s">
        <v>615</v>
      </c>
      <c r="I171" s="323" t="s">
        <v>3926</v>
      </c>
      <c r="J171" s="325">
        <v>43830</v>
      </c>
      <c r="K171" s="325"/>
      <c r="L171" s="325"/>
      <c r="M171" s="323" t="s">
        <v>2853</v>
      </c>
      <c r="N171" s="323" t="s">
        <v>2088</v>
      </c>
      <c r="O171" s="359">
        <v>43817</v>
      </c>
      <c r="P171" s="323" t="s">
        <v>3061</v>
      </c>
      <c r="Q171" s="323" t="s">
        <v>2832</v>
      </c>
      <c r="R171" s="370" t="s">
        <v>5080</v>
      </c>
      <c r="S171" s="323">
        <f>Table137[[#This Row],[DATE  CLOSED]]-Table137[[#This Row],[INITIATION DATE]]</f>
        <v>43</v>
      </c>
    </row>
    <row r="172" spans="1:19" ht="25.35" customHeight="1" x14ac:dyDescent="0.2">
      <c r="A172" s="323" t="s">
        <v>5209</v>
      </c>
      <c r="B172" s="325">
        <v>43774</v>
      </c>
      <c r="C172" s="328" t="s">
        <v>5210</v>
      </c>
      <c r="D172" s="328" t="s">
        <v>3039</v>
      </c>
      <c r="E172" s="323" t="s">
        <v>2971</v>
      </c>
      <c r="F172" s="323">
        <v>1</v>
      </c>
      <c r="G172" s="323" t="s">
        <v>2841</v>
      </c>
      <c r="H172" s="323" t="s">
        <v>3211</v>
      </c>
      <c r="I172" s="323" t="s">
        <v>229</v>
      </c>
      <c r="J172" s="325">
        <v>43798</v>
      </c>
      <c r="K172" s="325"/>
      <c r="L172" s="325"/>
      <c r="M172" s="323" t="s">
        <v>2853</v>
      </c>
      <c r="N172" s="323" t="s">
        <v>2088</v>
      </c>
      <c r="O172" s="359">
        <v>43775</v>
      </c>
      <c r="P172" s="323" t="s">
        <v>3061</v>
      </c>
      <c r="Q172" s="323" t="s">
        <v>2829</v>
      </c>
      <c r="R172" s="335" t="s">
        <v>5080</v>
      </c>
      <c r="S172" s="323">
        <f>Table137[[#This Row],[DATE  CLOSED]]-Table137[[#This Row],[INITIATION DATE]]</f>
        <v>1</v>
      </c>
    </row>
    <row r="173" spans="1:19" ht="25.35" customHeight="1" x14ac:dyDescent="0.2">
      <c r="A173" s="323" t="s">
        <v>5211</v>
      </c>
      <c r="B173" s="325">
        <v>43777</v>
      </c>
      <c r="C173" s="328" t="s">
        <v>5212</v>
      </c>
      <c r="D173" s="328" t="s">
        <v>5213</v>
      </c>
      <c r="E173" s="323" t="s">
        <v>2971</v>
      </c>
      <c r="F173" s="323">
        <v>1</v>
      </c>
      <c r="G173" s="323" t="s">
        <v>2838</v>
      </c>
      <c r="H173" s="323" t="s">
        <v>685</v>
      </c>
      <c r="I173" s="323" t="s">
        <v>755</v>
      </c>
      <c r="J173" s="325">
        <v>43830</v>
      </c>
      <c r="K173" s="325">
        <v>44561</v>
      </c>
      <c r="L173" s="325"/>
      <c r="M173" s="323" t="s">
        <v>2847</v>
      </c>
      <c r="N173" s="323" t="s">
        <v>2912</v>
      </c>
      <c r="O173" s="359"/>
      <c r="P173" s="323"/>
      <c r="Q173" s="323"/>
      <c r="R173" s="370"/>
      <c r="S173" s="323">
        <f>Table137[[#This Row],[DATE  CLOSED]]-Table137[[#This Row],[INITIATION DATE]]</f>
        <v>-43777</v>
      </c>
    </row>
    <row r="174" spans="1:19" ht="25.35" customHeight="1" x14ac:dyDescent="0.2">
      <c r="A174" s="323" t="s">
        <v>5214</v>
      </c>
      <c r="B174" s="325">
        <v>43780</v>
      </c>
      <c r="C174" s="328" t="s">
        <v>5215</v>
      </c>
      <c r="D174" s="328" t="s">
        <v>5216</v>
      </c>
      <c r="E174" s="323" t="s">
        <v>5126</v>
      </c>
      <c r="F174" s="323">
        <v>1</v>
      </c>
      <c r="G174" s="323" t="s">
        <v>2828</v>
      </c>
      <c r="H174" s="323" t="s">
        <v>3975</v>
      </c>
      <c r="I174" s="323" t="s">
        <v>3211</v>
      </c>
      <c r="J174" s="325">
        <v>43830</v>
      </c>
      <c r="K174" s="325"/>
      <c r="L174" s="325"/>
      <c r="M174" s="323" t="s">
        <v>2853</v>
      </c>
      <c r="N174" s="323" t="s">
        <v>2088</v>
      </c>
      <c r="O174" s="359">
        <v>43790</v>
      </c>
      <c r="P174" s="323" t="s">
        <v>3061</v>
      </c>
      <c r="Q174" s="323" t="s">
        <v>2829</v>
      </c>
      <c r="R174" s="370"/>
      <c r="S174" s="323">
        <f>Table137[[#This Row],[DATE  CLOSED]]-Table137[[#This Row],[INITIATION DATE]]</f>
        <v>10</v>
      </c>
    </row>
    <row r="175" spans="1:19" ht="25.35" customHeight="1" x14ac:dyDescent="0.2">
      <c r="A175" s="323" t="s">
        <v>5218</v>
      </c>
      <c r="B175" s="325">
        <v>43781</v>
      </c>
      <c r="C175" s="328" t="s">
        <v>5219</v>
      </c>
      <c r="D175" s="328" t="s">
        <v>5220</v>
      </c>
      <c r="E175" s="323" t="s">
        <v>2971</v>
      </c>
      <c r="F175" s="323">
        <v>1</v>
      </c>
      <c r="G175" s="323" t="s">
        <v>2841</v>
      </c>
      <c r="H175" s="323" t="s">
        <v>1339</v>
      </c>
      <c r="I175" s="323" t="s">
        <v>229</v>
      </c>
      <c r="J175" s="325">
        <v>43799</v>
      </c>
      <c r="K175" s="325"/>
      <c r="L175" s="325"/>
      <c r="M175" s="323" t="s">
        <v>2853</v>
      </c>
      <c r="N175" s="323" t="s">
        <v>2088</v>
      </c>
      <c r="O175" s="359">
        <v>43795</v>
      </c>
      <c r="P175" s="323" t="s">
        <v>3061</v>
      </c>
      <c r="Q175" s="323" t="s">
        <v>2829</v>
      </c>
      <c r="R175" s="371"/>
      <c r="S175" s="323">
        <f>Table137[[#This Row],[DATE  CLOSED]]-Table137[[#This Row],[INITIATION DATE]]</f>
        <v>14</v>
      </c>
    </row>
    <row r="176" spans="1:19" ht="25.35" customHeight="1" x14ac:dyDescent="0.2">
      <c r="A176" s="323" t="s">
        <v>5222</v>
      </c>
      <c r="B176" s="325">
        <v>43784</v>
      </c>
      <c r="C176" s="328" t="s">
        <v>5223</v>
      </c>
      <c r="D176" s="328" t="s">
        <v>5224</v>
      </c>
      <c r="E176" s="323" t="s">
        <v>3532</v>
      </c>
      <c r="F176" s="323">
        <v>1</v>
      </c>
      <c r="G176" s="323" t="s">
        <v>2828</v>
      </c>
      <c r="H176" s="323" t="s">
        <v>3975</v>
      </c>
      <c r="I176" s="323" t="s">
        <v>3211</v>
      </c>
      <c r="J176" s="325">
        <v>43830</v>
      </c>
      <c r="K176" s="325"/>
      <c r="L176" s="325"/>
      <c r="M176" s="323" t="s">
        <v>2853</v>
      </c>
      <c r="N176" s="323" t="s">
        <v>2088</v>
      </c>
      <c r="O176" s="359">
        <v>43795</v>
      </c>
      <c r="P176" s="323" t="s">
        <v>3061</v>
      </c>
      <c r="Q176" s="323" t="s">
        <v>2829</v>
      </c>
      <c r="R176" s="372"/>
      <c r="S176" s="323">
        <f>Table137[[#This Row],[DATE  CLOSED]]-Table137[[#This Row],[INITIATION DATE]]</f>
        <v>11</v>
      </c>
    </row>
    <row r="177" spans="1:19" ht="36" customHeight="1" x14ac:dyDescent="0.2">
      <c r="A177" s="323" t="s">
        <v>5221</v>
      </c>
      <c r="B177" s="325">
        <v>43784</v>
      </c>
      <c r="C177" s="328" t="s">
        <v>5225</v>
      </c>
      <c r="D177" s="328" t="s">
        <v>5226</v>
      </c>
      <c r="E177" s="323" t="s">
        <v>2971</v>
      </c>
      <c r="F177" s="323">
        <v>1</v>
      </c>
      <c r="G177" s="323" t="s">
        <v>2831</v>
      </c>
      <c r="H177" s="323" t="s">
        <v>3645</v>
      </c>
      <c r="I177" s="323" t="s">
        <v>229</v>
      </c>
      <c r="J177" s="325">
        <v>43830</v>
      </c>
      <c r="K177" s="325"/>
      <c r="L177" s="325"/>
      <c r="M177" s="323" t="s">
        <v>2853</v>
      </c>
      <c r="N177" s="323" t="s">
        <v>2088</v>
      </c>
      <c r="O177" s="359">
        <v>43809</v>
      </c>
      <c r="P177" s="323" t="s">
        <v>3061</v>
      </c>
      <c r="Q177" s="323" t="s">
        <v>2829</v>
      </c>
      <c r="R177" s="371"/>
      <c r="S177" s="323">
        <f>Table137[[#This Row],[DATE  CLOSED]]-Table137[[#This Row],[INITIATION DATE]]</f>
        <v>25</v>
      </c>
    </row>
    <row r="178" spans="1:19" ht="25.35" customHeight="1" x14ac:dyDescent="0.2">
      <c r="A178" s="323" t="s">
        <v>5227</v>
      </c>
      <c r="B178" s="325">
        <v>43789</v>
      </c>
      <c r="C178" s="328" t="s">
        <v>5228</v>
      </c>
      <c r="D178" s="328" t="s">
        <v>5229</v>
      </c>
      <c r="E178" s="323" t="s">
        <v>3764</v>
      </c>
      <c r="F178" s="323">
        <v>1</v>
      </c>
      <c r="G178" s="323" t="s">
        <v>2828</v>
      </c>
      <c r="H178" s="323" t="s">
        <v>3842</v>
      </c>
      <c r="I178" s="323" t="s">
        <v>3211</v>
      </c>
      <c r="J178" s="325">
        <v>43830</v>
      </c>
      <c r="K178" s="325"/>
      <c r="L178" s="325"/>
      <c r="M178" s="323" t="s">
        <v>2853</v>
      </c>
      <c r="N178" s="326" t="s">
        <v>2088</v>
      </c>
      <c r="O178" s="359">
        <v>43830</v>
      </c>
      <c r="P178" s="323" t="s">
        <v>3061</v>
      </c>
      <c r="Q178" s="323" t="s">
        <v>2832</v>
      </c>
      <c r="R178" s="371"/>
      <c r="S178" s="323">
        <f>Table137[[#This Row],[DATE  CLOSED]]-Table137[[#This Row],[INITIATION DATE]]</f>
        <v>41</v>
      </c>
    </row>
    <row r="179" spans="1:19" ht="25.35" customHeight="1" x14ac:dyDescent="0.2">
      <c r="A179" s="323" t="s">
        <v>5230</v>
      </c>
      <c r="B179" s="325">
        <v>43789</v>
      </c>
      <c r="C179" s="328" t="s">
        <v>5231</v>
      </c>
      <c r="D179" s="328" t="s">
        <v>5232</v>
      </c>
      <c r="E179" s="323" t="s">
        <v>2971</v>
      </c>
      <c r="F179" s="323">
        <v>1</v>
      </c>
      <c r="G179" s="323" t="s">
        <v>2841</v>
      </c>
      <c r="H179" s="323" t="s">
        <v>229</v>
      </c>
      <c r="I179" s="323" t="s">
        <v>755</v>
      </c>
      <c r="J179" s="325">
        <v>43830</v>
      </c>
      <c r="K179" s="325"/>
      <c r="L179" s="325"/>
      <c r="M179" s="323" t="s">
        <v>2853</v>
      </c>
      <c r="N179" s="323" t="s">
        <v>2088</v>
      </c>
      <c r="O179" s="359">
        <v>43818</v>
      </c>
      <c r="P179" s="323" t="s">
        <v>3061</v>
      </c>
      <c r="Q179" s="323" t="s">
        <v>2829</v>
      </c>
      <c r="R179" s="371"/>
      <c r="S179" s="323">
        <f>Table137[[#This Row],[DATE  CLOSED]]-Table137[[#This Row],[INITIATION DATE]]</f>
        <v>29</v>
      </c>
    </row>
    <row r="180" spans="1:19" ht="25.35" customHeight="1" x14ac:dyDescent="0.2">
      <c r="A180" s="323" t="s">
        <v>5233</v>
      </c>
      <c r="B180" s="325">
        <v>43789</v>
      </c>
      <c r="C180" s="328" t="s">
        <v>5234</v>
      </c>
      <c r="D180" s="328" t="s">
        <v>5235</v>
      </c>
      <c r="E180" s="323" t="s">
        <v>3777</v>
      </c>
      <c r="F180" s="323">
        <v>1</v>
      </c>
      <c r="G180" s="323" t="s">
        <v>2828</v>
      </c>
      <c r="H180" s="323" t="s">
        <v>4163</v>
      </c>
      <c r="I180" s="323" t="s">
        <v>3211</v>
      </c>
      <c r="J180" s="325">
        <v>43921</v>
      </c>
      <c r="K180" s="325"/>
      <c r="L180" s="325"/>
      <c r="M180" s="323" t="s">
        <v>2853</v>
      </c>
      <c r="N180" s="323" t="s">
        <v>2088</v>
      </c>
      <c r="O180" s="359">
        <v>43878</v>
      </c>
      <c r="P180" s="323" t="s">
        <v>3061</v>
      </c>
      <c r="Q180" s="323" t="s">
        <v>2832</v>
      </c>
      <c r="R180" s="371" t="s">
        <v>5080</v>
      </c>
      <c r="S180" s="323">
        <f>Table137[[#This Row],[DATE  CLOSED]]-Table137[[#This Row],[INITIATION DATE]]</f>
        <v>89</v>
      </c>
    </row>
    <row r="181" spans="1:19" ht="25.35" customHeight="1" x14ac:dyDescent="0.2">
      <c r="A181" s="323" t="s">
        <v>5236</v>
      </c>
      <c r="B181" s="325">
        <v>43790</v>
      </c>
      <c r="C181" s="328" t="s">
        <v>5237</v>
      </c>
      <c r="D181" s="328" t="s">
        <v>3606</v>
      </c>
      <c r="E181" s="323" t="s">
        <v>4033</v>
      </c>
      <c r="F181" s="323">
        <v>1</v>
      </c>
      <c r="G181" s="323" t="s">
        <v>2828</v>
      </c>
      <c r="H181" s="323" t="s">
        <v>4232</v>
      </c>
      <c r="I181" s="323" t="s">
        <v>3211</v>
      </c>
      <c r="J181" s="325">
        <v>43830</v>
      </c>
      <c r="K181" s="325"/>
      <c r="L181" s="325"/>
      <c r="M181" s="323" t="s">
        <v>2853</v>
      </c>
      <c r="N181" s="323" t="s">
        <v>2088</v>
      </c>
      <c r="O181" s="359">
        <v>43803</v>
      </c>
      <c r="P181" s="323" t="s">
        <v>3061</v>
      </c>
      <c r="Q181" s="323" t="s">
        <v>2829</v>
      </c>
      <c r="R181" s="371" t="s">
        <v>5080</v>
      </c>
      <c r="S181" s="323">
        <f>Table137[[#This Row],[DATE  CLOSED]]-Table137[[#This Row],[INITIATION DATE]]</f>
        <v>13</v>
      </c>
    </row>
    <row r="182" spans="1:19" ht="25.35" customHeight="1" x14ac:dyDescent="0.2">
      <c r="A182" s="323" t="s">
        <v>5238</v>
      </c>
      <c r="B182" s="325">
        <v>43794</v>
      </c>
      <c r="C182" s="328" t="s">
        <v>5246</v>
      </c>
      <c r="D182" s="328" t="s">
        <v>4870</v>
      </c>
      <c r="E182" s="323" t="s">
        <v>3777</v>
      </c>
      <c r="F182" s="323">
        <v>1</v>
      </c>
      <c r="G182" s="323" t="s">
        <v>2828</v>
      </c>
      <c r="H182" s="323" t="s">
        <v>4163</v>
      </c>
      <c r="I182" s="323" t="s">
        <v>3211</v>
      </c>
      <c r="J182" s="325">
        <v>43830</v>
      </c>
      <c r="K182" s="325"/>
      <c r="L182" s="325"/>
      <c r="M182" s="323" t="s">
        <v>2853</v>
      </c>
      <c r="N182" s="323" t="s">
        <v>2088</v>
      </c>
      <c r="O182" s="359">
        <v>43794</v>
      </c>
      <c r="P182" s="323" t="s">
        <v>3061</v>
      </c>
      <c r="Q182" s="323" t="s">
        <v>2829</v>
      </c>
      <c r="R182" s="371" t="s">
        <v>5247</v>
      </c>
      <c r="S182" s="323">
        <f>Table137[[#This Row],[DATE  CLOSED]]-Table137[[#This Row],[INITIATION DATE]]</f>
        <v>0</v>
      </c>
    </row>
    <row r="183" spans="1:19" ht="25.35" customHeight="1" x14ac:dyDescent="0.2">
      <c r="A183" s="323" t="s">
        <v>5239</v>
      </c>
      <c r="B183" s="325">
        <v>43794</v>
      </c>
      <c r="C183" s="328" t="s">
        <v>5240</v>
      </c>
      <c r="D183" s="328" t="s">
        <v>5241</v>
      </c>
      <c r="E183" s="323" t="s">
        <v>2971</v>
      </c>
      <c r="F183" s="323">
        <v>1</v>
      </c>
      <c r="G183" s="323" t="s">
        <v>2838</v>
      </c>
      <c r="H183" s="323" t="s">
        <v>516</v>
      </c>
      <c r="I183" s="323" t="s">
        <v>229</v>
      </c>
      <c r="J183" s="325">
        <v>43830</v>
      </c>
      <c r="K183" s="325"/>
      <c r="L183" s="325"/>
      <c r="M183" s="323" t="s">
        <v>2853</v>
      </c>
      <c r="N183" s="323" t="s">
        <v>2088</v>
      </c>
      <c r="O183" s="359">
        <v>43804</v>
      </c>
      <c r="P183" s="323" t="s">
        <v>3061</v>
      </c>
      <c r="Q183" s="323" t="s">
        <v>2829</v>
      </c>
      <c r="R183" s="371"/>
      <c r="S183" s="323">
        <f>Table137[[#This Row],[DATE  CLOSED]]-Table137[[#This Row],[INITIATION DATE]]</f>
        <v>10</v>
      </c>
    </row>
    <row r="184" spans="1:19" ht="25.35" customHeight="1" x14ac:dyDescent="0.2">
      <c r="A184" s="323" t="s">
        <v>5243</v>
      </c>
      <c r="B184" s="325">
        <v>43801</v>
      </c>
      <c r="C184" s="328" t="s">
        <v>5244</v>
      </c>
      <c r="D184" s="328" t="s">
        <v>5245</v>
      </c>
      <c r="E184" s="323" t="s">
        <v>2971</v>
      </c>
      <c r="F184" s="323">
        <v>1</v>
      </c>
      <c r="G184" s="323" t="s">
        <v>2841</v>
      </c>
      <c r="H184" s="323" t="s">
        <v>229</v>
      </c>
      <c r="I184" s="323" t="s">
        <v>755</v>
      </c>
      <c r="J184" s="325">
        <v>43830</v>
      </c>
      <c r="K184" s="325"/>
      <c r="L184" s="325"/>
      <c r="M184" s="323" t="s">
        <v>2853</v>
      </c>
      <c r="N184" s="323" t="s">
        <v>2088</v>
      </c>
      <c r="O184" s="359">
        <v>43819</v>
      </c>
      <c r="P184" s="323" t="s">
        <v>3061</v>
      </c>
      <c r="Q184" s="323" t="s">
        <v>2829</v>
      </c>
      <c r="R184" s="371"/>
      <c r="S184" s="323">
        <f>Table137[[#This Row],[DATE  CLOSED]]-Table137[[#This Row],[INITIATION DATE]]</f>
        <v>18</v>
      </c>
    </row>
    <row r="185" spans="1:19" ht="25.35" customHeight="1" x14ac:dyDescent="0.2">
      <c r="A185" s="323" t="s">
        <v>5248</v>
      </c>
      <c r="B185" s="325">
        <v>43803</v>
      </c>
      <c r="C185" s="328" t="s">
        <v>5249</v>
      </c>
      <c r="D185" s="328" t="s">
        <v>5250</v>
      </c>
      <c r="E185" s="323" t="s">
        <v>2971</v>
      </c>
      <c r="F185" s="323">
        <v>1</v>
      </c>
      <c r="G185" s="323" t="s">
        <v>2841</v>
      </c>
      <c r="H185" s="323" t="s">
        <v>4142</v>
      </c>
      <c r="I185" s="323" t="s">
        <v>229</v>
      </c>
      <c r="J185" s="325">
        <v>43830</v>
      </c>
      <c r="K185" s="325"/>
      <c r="L185" s="325"/>
      <c r="M185" s="323" t="s">
        <v>2853</v>
      </c>
      <c r="N185" s="323" t="s">
        <v>2088</v>
      </c>
      <c r="O185" s="359">
        <v>43822</v>
      </c>
      <c r="P185" s="323" t="s">
        <v>3061</v>
      </c>
      <c r="Q185" s="323" t="s">
        <v>2829</v>
      </c>
      <c r="R185" s="373"/>
      <c r="S185" s="323">
        <f>Table137[[#This Row],[DATE  CLOSED]]-Table137[[#This Row],[INITIATION DATE]]</f>
        <v>19</v>
      </c>
    </row>
    <row r="186" spans="1:19" ht="25.35" customHeight="1" x14ac:dyDescent="0.2">
      <c r="A186" s="323" t="s">
        <v>5251</v>
      </c>
      <c r="B186" s="325">
        <v>43808</v>
      </c>
      <c r="C186" s="328" t="s">
        <v>5252</v>
      </c>
      <c r="D186" s="328" t="s">
        <v>5253</v>
      </c>
      <c r="E186" s="323" t="s">
        <v>3210</v>
      </c>
      <c r="F186" s="323">
        <v>1</v>
      </c>
      <c r="G186" s="323" t="s">
        <v>2828</v>
      </c>
      <c r="H186" s="323" t="s">
        <v>3227</v>
      </c>
      <c r="I186" s="323" t="s">
        <v>229</v>
      </c>
      <c r="J186" s="325">
        <v>43812</v>
      </c>
      <c r="K186" s="325"/>
      <c r="L186" s="325"/>
      <c r="M186" s="323" t="s">
        <v>2853</v>
      </c>
      <c r="N186" s="323" t="s">
        <v>2088</v>
      </c>
      <c r="O186" s="359">
        <v>43808</v>
      </c>
      <c r="P186" s="323" t="s">
        <v>3061</v>
      </c>
      <c r="Q186" s="323" t="s">
        <v>2829</v>
      </c>
      <c r="R186" s="373"/>
      <c r="S186" s="323">
        <f>Table137[[#This Row],[DATE  CLOSED]]-Table137[[#This Row],[INITIATION DATE]]</f>
        <v>0</v>
      </c>
    </row>
    <row r="187" spans="1:19" ht="25.35" customHeight="1" x14ac:dyDescent="0.2">
      <c r="A187" s="323" t="s">
        <v>5254</v>
      </c>
      <c r="B187" s="325">
        <v>43810</v>
      </c>
      <c r="C187" s="328" t="s">
        <v>5255</v>
      </c>
      <c r="D187" s="328" t="s">
        <v>3873</v>
      </c>
      <c r="E187" s="323" t="s">
        <v>2971</v>
      </c>
      <c r="F187" s="323">
        <v>1</v>
      </c>
      <c r="G187" s="323" t="s">
        <v>2841</v>
      </c>
      <c r="H187" s="323" t="s">
        <v>3842</v>
      </c>
      <c r="I187" s="323" t="s">
        <v>229</v>
      </c>
      <c r="J187" s="325">
        <v>43830</v>
      </c>
      <c r="K187" s="325"/>
      <c r="L187" s="325"/>
      <c r="M187" s="323" t="s">
        <v>2853</v>
      </c>
      <c r="N187" s="323" t="s">
        <v>2088</v>
      </c>
      <c r="O187" s="359">
        <v>43822</v>
      </c>
      <c r="P187" s="323" t="s">
        <v>3061</v>
      </c>
      <c r="Q187" s="323" t="s">
        <v>2829</v>
      </c>
      <c r="R187" s="373"/>
      <c r="S187" s="323">
        <f>Table137[[#This Row],[DATE  CLOSED]]-Table137[[#This Row],[INITIATION DATE]]</f>
        <v>12</v>
      </c>
    </row>
    <row r="188" spans="1:19" ht="25.35" customHeight="1" x14ac:dyDescent="0.2">
      <c r="A188" s="323" t="s">
        <v>5259</v>
      </c>
      <c r="B188" s="325">
        <v>43812</v>
      </c>
      <c r="C188" s="328" t="s">
        <v>5260</v>
      </c>
      <c r="D188" s="328" t="s">
        <v>5267</v>
      </c>
      <c r="E188" s="323" t="s">
        <v>2971</v>
      </c>
      <c r="F188" s="323">
        <v>1</v>
      </c>
      <c r="G188" s="323" t="s">
        <v>2836</v>
      </c>
      <c r="H188" s="323" t="s">
        <v>685</v>
      </c>
      <c r="I188" s="323" t="s">
        <v>229</v>
      </c>
      <c r="J188" s="325">
        <v>43830</v>
      </c>
      <c r="K188" s="325"/>
      <c r="L188" s="325"/>
      <c r="M188" s="323" t="s">
        <v>2853</v>
      </c>
      <c r="N188" s="323" t="s">
        <v>2088</v>
      </c>
      <c r="O188" s="359">
        <v>43822</v>
      </c>
      <c r="P188" s="323" t="s">
        <v>3061</v>
      </c>
      <c r="Q188" s="323" t="s">
        <v>4987</v>
      </c>
      <c r="R188" s="373"/>
      <c r="S188" s="323">
        <f>Table137[[#This Row],[DATE  CLOSED]]-Table137[[#This Row],[INITIATION DATE]]</f>
        <v>10</v>
      </c>
    </row>
    <row r="189" spans="1:19" ht="25.35" customHeight="1" x14ac:dyDescent="0.2">
      <c r="A189" s="323" t="s">
        <v>5261</v>
      </c>
      <c r="B189" s="325">
        <v>43815</v>
      </c>
      <c r="C189" s="328" t="s">
        <v>5262</v>
      </c>
      <c r="D189" s="328" t="s">
        <v>5265</v>
      </c>
      <c r="E189" s="323" t="s">
        <v>2971</v>
      </c>
      <c r="F189" s="323">
        <v>2</v>
      </c>
      <c r="G189" s="323" t="s">
        <v>2840</v>
      </c>
      <c r="H189" s="323" t="s">
        <v>229</v>
      </c>
      <c r="I189" s="323" t="s">
        <v>755</v>
      </c>
      <c r="J189" s="325">
        <v>43815</v>
      </c>
      <c r="K189" s="325"/>
      <c r="L189" s="325"/>
      <c r="M189" s="323" t="s">
        <v>2853</v>
      </c>
      <c r="N189" s="323" t="s">
        <v>2088</v>
      </c>
      <c r="O189" s="359">
        <v>43815</v>
      </c>
      <c r="P189" s="323" t="s">
        <v>2088</v>
      </c>
      <c r="Q189" s="323" t="s">
        <v>2088</v>
      </c>
      <c r="R189" s="373" t="s">
        <v>5080</v>
      </c>
      <c r="S189" s="323">
        <f>Table137[[#This Row],[DATE  CLOSED]]-Table137[[#This Row],[INITIATION DATE]]</f>
        <v>0</v>
      </c>
    </row>
    <row r="190" spans="1:19" ht="25.35" customHeight="1" x14ac:dyDescent="0.2">
      <c r="A190" s="323" t="s">
        <v>5263</v>
      </c>
      <c r="B190" s="325">
        <v>43816</v>
      </c>
      <c r="C190" s="328" t="s">
        <v>5264</v>
      </c>
      <c r="D190" s="328" t="s">
        <v>5266</v>
      </c>
      <c r="E190" s="323" t="s">
        <v>2971</v>
      </c>
      <c r="F190" s="323">
        <v>1</v>
      </c>
      <c r="G190" s="323" t="s">
        <v>2836</v>
      </c>
      <c r="H190" s="323" t="s">
        <v>229</v>
      </c>
      <c r="I190" s="323" t="s">
        <v>229</v>
      </c>
      <c r="J190" s="325">
        <v>43830</v>
      </c>
      <c r="K190" s="325"/>
      <c r="L190" s="325"/>
      <c r="M190" s="323" t="s">
        <v>2853</v>
      </c>
      <c r="N190" s="323" t="s">
        <v>2088</v>
      </c>
      <c r="O190" s="359">
        <v>43816</v>
      </c>
      <c r="P190" s="323" t="s">
        <v>3061</v>
      </c>
      <c r="Q190" s="323" t="s">
        <v>2829</v>
      </c>
      <c r="R190" s="373" t="s">
        <v>5080</v>
      </c>
      <c r="S190" s="323">
        <f>Table137[[#This Row],[DATE  CLOSED]]-Table137[[#This Row],[INITIATION DATE]]</f>
        <v>0</v>
      </c>
    </row>
    <row r="191" spans="1:19" ht="25.35" customHeight="1" x14ac:dyDescent="0.2">
      <c r="A191" s="323" t="s">
        <v>5268</v>
      </c>
      <c r="B191" s="325">
        <v>43817</v>
      </c>
      <c r="C191" s="328" t="s">
        <v>5269</v>
      </c>
      <c r="D191" s="328" t="s">
        <v>5270</v>
      </c>
      <c r="E191" s="323" t="s">
        <v>3532</v>
      </c>
      <c r="F191" s="323">
        <v>1</v>
      </c>
      <c r="G191" s="323" t="s">
        <v>2828</v>
      </c>
      <c r="H191" s="323" t="s">
        <v>3423</v>
      </c>
      <c r="I191" s="323" t="s">
        <v>3211</v>
      </c>
      <c r="J191" s="325">
        <v>43861</v>
      </c>
      <c r="K191" s="325"/>
      <c r="L191" s="325"/>
      <c r="M191" s="323" t="s">
        <v>2853</v>
      </c>
      <c r="N191" s="323" t="s">
        <v>2088</v>
      </c>
      <c r="O191" s="359">
        <v>43844</v>
      </c>
      <c r="P191" s="323" t="s">
        <v>3061</v>
      </c>
      <c r="Q191" s="323" t="s">
        <v>2829</v>
      </c>
      <c r="R191" s="373" t="s">
        <v>5080</v>
      </c>
      <c r="S191" s="323">
        <f>Table137[[#This Row],[DATE  CLOSED]]-Table137[[#This Row],[INITIATION DATE]]</f>
        <v>27</v>
      </c>
    </row>
    <row r="192" spans="1:19" ht="25.35" customHeight="1" x14ac:dyDescent="0.2">
      <c r="A192" s="326" t="s">
        <v>5277</v>
      </c>
      <c r="B192" s="325">
        <v>43817</v>
      </c>
      <c r="C192" s="328" t="s">
        <v>5271</v>
      </c>
      <c r="D192" s="328" t="s">
        <v>5250</v>
      </c>
      <c r="E192" s="323" t="s">
        <v>2971</v>
      </c>
      <c r="F192" s="323">
        <v>1</v>
      </c>
      <c r="G192" s="323" t="s">
        <v>2841</v>
      </c>
      <c r="H192" s="323" t="s">
        <v>3227</v>
      </c>
      <c r="I192" s="323" t="s">
        <v>3211</v>
      </c>
      <c r="J192" s="325">
        <v>43830</v>
      </c>
      <c r="K192" s="325"/>
      <c r="L192" s="325"/>
      <c r="M192" s="323" t="s">
        <v>2853</v>
      </c>
      <c r="N192" s="323" t="s">
        <v>3022</v>
      </c>
      <c r="O192" s="359">
        <v>43829</v>
      </c>
      <c r="P192" s="323" t="s">
        <v>3061</v>
      </c>
      <c r="Q192" s="323" t="s">
        <v>2829</v>
      </c>
      <c r="R192" s="373"/>
      <c r="S192" s="323">
        <f>Table137[[#This Row],[DATE  CLOSED]]-Table137[[#This Row],[INITIATION DATE]]</f>
        <v>12</v>
      </c>
    </row>
    <row r="193" spans="1:19" ht="25.35" customHeight="1" x14ac:dyDescent="0.2">
      <c r="A193" s="326" t="s">
        <v>5278</v>
      </c>
      <c r="B193" s="325">
        <v>43817</v>
      </c>
      <c r="C193" s="328" t="s">
        <v>5272</v>
      </c>
      <c r="D193" s="328" t="s">
        <v>5273</v>
      </c>
      <c r="E193" s="323" t="s">
        <v>4675</v>
      </c>
      <c r="F193" s="323">
        <v>1</v>
      </c>
      <c r="G193" s="323" t="s">
        <v>2828</v>
      </c>
      <c r="H193" s="323" t="s">
        <v>3423</v>
      </c>
      <c r="I193" s="323" t="s">
        <v>3211</v>
      </c>
      <c r="J193" s="325">
        <v>43496</v>
      </c>
      <c r="K193" s="325"/>
      <c r="L193" s="325"/>
      <c r="M193" s="323" t="s">
        <v>2853</v>
      </c>
      <c r="N193" s="323" t="s">
        <v>2088</v>
      </c>
      <c r="O193" s="359">
        <v>43836</v>
      </c>
      <c r="P193" s="323" t="s">
        <v>3061</v>
      </c>
      <c r="Q193" s="323" t="s">
        <v>2829</v>
      </c>
      <c r="R193" s="373"/>
      <c r="S193" s="323">
        <f>Table137[[#This Row],[DATE  CLOSED]]-Table137[[#This Row],[INITIATION DATE]]</f>
        <v>19</v>
      </c>
    </row>
    <row r="194" spans="1:19" ht="38.25" x14ac:dyDescent="0.2">
      <c r="A194" s="326" t="s">
        <v>5279</v>
      </c>
      <c r="B194" s="325">
        <v>43819</v>
      </c>
      <c r="C194" s="329" t="s">
        <v>5274</v>
      </c>
      <c r="D194" s="329" t="s">
        <v>5275</v>
      </c>
      <c r="E194" s="326" t="s">
        <v>2971</v>
      </c>
      <c r="F194" s="323">
        <v>1</v>
      </c>
      <c r="G194" s="326" t="s">
        <v>2836</v>
      </c>
      <c r="H194" s="326" t="s">
        <v>685</v>
      </c>
      <c r="I194" s="326" t="s">
        <v>229</v>
      </c>
      <c r="J194" s="325">
        <v>43819</v>
      </c>
      <c r="K194" s="325"/>
      <c r="L194" s="325"/>
      <c r="M194" s="326" t="s">
        <v>2853</v>
      </c>
      <c r="N194" s="323" t="s">
        <v>2088</v>
      </c>
      <c r="O194" s="359">
        <v>43819</v>
      </c>
      <c r="P194" s="323" t="s">
        <v>3061</v>
      </c>
      <c r="Q194" s="323" t="s">
        <v>2829</v>
      </c>
      <c r="R194" s="374"/>
      <c r="S194" s="323">
        <f>Table137[[#This Row],[DATE  CLOSED]]-Table137[[#This Row],[INITIATION DATE]]</f>
        <v>0</v>
      </c>
    </row>
    <row r="195" spans="1:19" ht="25.5" x14ac:dyDescent="0.2">
      <c r="A195" s="326" t="s">
        <v>5276</v>
      </c>
      <c r="B195" s="325">
        <v>43822</v>
      </c>
      <c r="C195" s="329" t="s">
        <v>5281</v>
      </c>
      <c r="D195" s="329" t="s">
        <v>5280</v>
      </c>
      <c r="E195" s="326" t="s">
        <v>2971</v>
      </c>
      <c r="F195" s="323">
        <v>1</v>
      </c>
      <c r="G195" s="326" t="s">
        <v>2836</v>
      </c>
      <c r="H195" s="326" t="s">
        <v>481</v>
      </c>
      <c r="I195" s="326" t="s">
        <v>229</v>
      </c>
      <c r="J195" s="325">
        <v>43524</v>
      </c>
      <c r="K195" s="325"/>
      <c r="L195" s="325"/>
      <c r="M195" s="326" t="s">
        <v>2847</v>
      </c>
      <c r="N195" s="323"/>
      <c r="O195" s="359"/>
      <c r="P195" s="323"/>
      <c r="Q195" s="323"/>
      <c r="R195" s="374"/>
      <c r="S195" s="323">
        <f>Table137[[#This Row],[DATE  CLOSED]]-Table137[[#This Row],[INITIATION DATE]]</f>
        <v>-43822</v>
      </c>
    </row>
    <row r="196" spans="1:19" x14ac:dyDescent="0.2">
      <c r="A196" s="323" t="s">
        <v>5282</v>
      </c>
      <c r="B196" s="325">
        <v>43825</v>
      </c>
      <c r="C196" s="328" t="s">
        <v>5283</v>
      </c>
      <c r="D196" s="328" t="s">
        <v>5284</v>
      </c>
      <c r="E196" s="323" t="s">
        <v>2971</v>
      </c>
      <c r="F196" s="323">
        <v>1</v>
      </c>
      <c r="G196" s="323" t="s">
        <v>2841</v>
      </c>
      <c r="H196" s="323" t="s">
        <v>755</v>
      </c>
      <c r="I196" s="323" t="s">
        <v>229</v>
      </c>
      <c r="J196" s="325">
        <v>43861</v>
      </c>
      <c r="K196" s="325"/>
      <c r="L196" s="325"/>
      <c r="M196" s="323" t="s">
        <v>2853</v>
      </c>
      <c r="N196" s="323" t="s">
        <v>2088</v>
      </c>
      <c r="O196" s="359">
        <v>43826</v>
      </c>
      <c r="P196" s="323" t="s">
        <v>3061</v>
      </c>
      <c r="Q196" s="323" t="s">
        <v>2829</v>
      </c>
      <c r="R196" s="470"/>
      <c r="S196" s="323">
        <f>Table137[[#This Row],[DATE  CLOSED]]-Table137[[#This Row],[INITIATION DATE]]</f>
        <v>1</v>
      </c>
    </row>
    <row r="197" spans="1:19" x14ac:dyDescent="0.2">
      <c r="A197" s="326"/>
      <c r="B197" s="325"/>
      <c r="C197" s="329"/>
      <c r="D197" s="329"/>
      <c r="E197" s="326"/>
      <c r="F197" s="323"/>
      <c r="G197" s="326"/>
      <c r="H197" s="326"/>
      <c r="I197" s="326"/>
      <c r="J197" s="325"/>
      <c r="K197" s="325"/>
      <c r="L197" s="325"/>
      <c r="M197" s="326"/>
      <c r="N197" s="323"/>
      <c r="O197" s="359"/>
      <c r="P197" s="323"/>
      <c r="Q197" s="323"/>
      <c r="R197" s="470"/>
      <c r="S197" s="382">
        <f>Table137[[#This Row],[DATE  CLOSED]]-Table137[[#This Row],[INITIATION DATE]]</f>
        <v>0</v>
      </c>
    </row>
    <row r="198" spans="1:19" x14ac:dyDescent="0.2">
      <c r="A198" s="323"/>
      <c r="B198" s="325"/>
      <c r="C198" s="328"/>
      <c r="D198" s="328"/>
      <c r="E198" s="323"/>
      <c r="F198" s="323"/>
      <c r="G198" s="323"/>
      <c r="H198" s="323"/>
      <c r="I198" s="323"/>
      <c r="J198" s="325"/>
      <c r="K198" s="325"/>
      <c r="L198" s="325"/>
      <c r="M198" s="323"/>
      <c r="N198" s="323"/>
      <c r="O198" s="359"/>
      <c r="P198" s="323"/>
      <c r="Q198" s="323"/>
      <c r="R198" s="374"/>
      <c r="S198" s="323"/>
    </row>
    <row r="199" spans="1:19" x14ac:dyDescent="0.2">
      <c r="A199" s="323"/>
      <c r="B199" s="325"/>
      <c r="C199" s="328"/>
      <c r="D199" s="328"/>
      <c r="E199" s="323"/>
      <c r="F199" s="323"/>
      <c r="G199" s="323"/>
      <c r="H199" s="323"/>
      <c r="I199" s="323"/>
      <c r="J199" s="325"/>
      <c r="K199" s="325"/>
      <c r="L199" s="325"/>
      <c r="M199" s="323"/>
      <c r="N199" s="323"/>
      <c r="O199" s="359"/>
      <c r="P199" s="323"/>
      <c r="Q199" s="323"/>
      <c r="R199" s="374"/>
      <c r="S199" s="323"/>
    </row>
    <row r="200" spans="1:19" x14ac:dyDescent="0.2">
      <c r="A200" s="323"/>
      <c r="B200" s="325"/>
      <c r="C200" s="328"/>
      <c r="D200" s="328"/>
      <c r="E200" s="323"/>
      <c r="F200" s="323"/>
      <c r="G200" s="323"/>
      <c r="H200" s="323"/>
      <c r="I200" s="323"/>
      <c r="J200" s="325"/>
      <c r="K200" s="325"/>
      <c r="L200" s="325"/>
      <c r="M200" s="323"/>
      <c r="N200" s="323"/>
      <c r="O200" s="359"/>
      <c r="P200" s="323"/>
      <c r="Q200" s="323"/>
      <c r="R200" s="374"/>
      <c r="S200" s="323"/>
    </row>
    <row r="201" spans="1:19" x14ac:dyDescent="0.2">
      <c r="A201" s="323"/>
      <c r="B201" s="325"/>
      <c r="C201" s="328"/>
      <c r="D201" s="328"/>
      <c r="E201" s="323"/>
      <c r="F201" s="323"/>
      <c r="G201" s="323"/>
      <c r="H201" s="323"/>
      <c r="I201" s="323"/>
      <c r="J201" s="325"/>
      <c r="K201" s="325"/>
      <c r="L201" s="325"/>
      <c r="M201" s="323"/>
      <c r="N201" s="323"/>
      <c r="O201" s="359"/>
      <c r="P201" s="323"/>
      <c r="Q201" s="323"/>
      <c r="R201" s="374"/>
      <c r="S201" s="323"/>
    </row>
    <row r="202" spans="1:19" x14ac:dyDescent="0.2">
      <c r="A202" s="323"/>
      <c r="B202" s="325"/>
      <c r="C202" s="328"/>
      <c r="D202" s="328"/>
      <c r="E202" s="323"/>
      <c r="F202" s="323"/>
      <c r="G202" s="323"/>
      <c r="H202" s="323"/>
      <c r="I202" s="323"/>
      <c r="J202" s="325"/>
      <c r="K202" s="325"/>
      <c r="L202" s="325"/>
      <c r="M202" s="323"/>
      <c r="N202" s="323"/>
      <c r="O202" s="359"/>
      <c r="P202" s="323"/>
      <c r="Q202" s="323"/>
      <c r="R202" s="374"/>
      <c r="S202" s="323"/>
    </row>
    <row r="203" spans="1:19" x14ac:dyDescent="0.2">
      <c r="A203" s="323"/>
      <c r="B203" s="325"/>
      <c r="C203" s="328"/>
      <c r="D203" s="328"/>
      <c r="E203" s="323"/>
      <c r="F203" s="323"/>
      <c r="G203" s="323"/>
      <c r="H203" s="323"/>
      <c r="I203" s="323"/>
      <c r="J203" s="325"/>
      <c r="K203" s="325"/>
      <c r="L203" s="325"/>
      <c r="M203" s="323"/>
      <c r="N203" s="323"/>
      <c r="O203" s="359"/>
      <c r="P203" s="323"/>
      <c r="Q203" s="323"/>
      <c r="R203" s="374"/>
      <c r="S203" s="323"/>
    </row>
    <row r="204" spans="1:19" x14ac:dyDescent="0.2">
      <c r="A204" s="323"/>
      <c r="B204" s="325"/>
      <c r="C204" s="328"/>
      <c r="D204" s="328"/>
      <c r="E204" s="323"/>
      <c r="F204" s="323"/>
      <c r="G204" s="323"/>
      <c r="H204" s="323"/>
      <c r="I204" s="323"/>
      <c r="J204" s="325"/>
      <c r="K204" s="325"/>
      <c r="L204" s="325"/>
      <c r="M204" s="323"/>
      <c r="N204" s="323"/>
      <c r="O204" s="359"/>
      <c r="P204" s="323"/>
      <c r="Q204" s="323"/>
      <c r="R204" s="374"/>
      <c r="S204" s="323"/>
    </row>
    <row r="205" spans="1:19" x14ac:dyDescent="0.2">
      <c r="A205" s="323"/>
      <c r="B205" s="325"/>
      <c r="C205" s="328"/>
      <c r="D205" s="328"/>
      <c r="E205" s="323"/>
      <c r="F205" s="323"/>
      <c r="G205" s="323"/>
      <c r="H205" s="323"/>
      <c r="I205" s="323"/>
      <c r="J205" s="325"/>
      <c r="K205" s="325"/>
      <c r="L205" s="325"/>
      <c r="M205" s="323"/>
      <c r="N205" s="323"/>
      <c r="O205" s="359"/>
      <c r="P205" s="323"/>
      <c r="Q205" s="323"/>
      <c r="R205" s="374"/>
      <c r="S205" s="323"/>
    </row>
    <row r="206" spans="1:19" x14ac:dyDescent="0.2">
      <c r="A206" s="323"/>
      <c r="B206" s="325"/>
      <c r="C206" s="328"/>
      <c r="D206" s="328"/>
      <c r="E206" s="323"/>
      <c r="F206" s="323"/>
      <c r="G206" s="323"/>
      <c r="H206" s="323"/>
      <c r="I206" s="323"/>
      <c r="J206" s="325"/>
      <c r="K206" s="325"/>
      <c r="L206" s="325"/>
      <c r="M206" s="323"/>
      <c r="N206" s="323"/>
      <c r="O206" s="359"/>
      <c r="P206" s="323"/>
      <c r="Q206" s="323"/>
      <c r="R206" s="374"/>
      <c r="S206" s="323"/>
    </row>
    <row r="207" spans="1:19" x14ac:dyDescent="0.2">
      <c r="A207" s="323"/>
      <c r="B207" s="325"/>
      <c r="C207" s="328"/>
      <c r="D207" s="328"/>
      <c r="E207" s="323"/>
      <c r="F207" s="323"/>
      <c r="G207" s="323"/>
      <c r="H207" s="323"/>
      <c r="I207" s="323"/>
      <c r="J207" s="325"/>
      <c r="K207" s="325"/>
      <c r="L207" s="325"/>
      <c r="M207" s="323"/>
      <c r="N207" s="323"/>
      <c r="O207" s="359"/>
      <c r="P207" s="323"/>
      <c r="Q207" s="323"/>
      <c r="R207" s="374"/>
      <c r="S207" s="323"/>
    </row>
    <row r="208" spans="1:19" x14ac:dyDescent="0.2">
      <c r="A208" s="323"/>
      <c r="B208" s="325"/>
      <c r="C208" s="328"/>
      <c r="D208" s="328"/>
      <c r="E208" s="323"/>
      <c r="F208" s="323"/>
      <c r="G208" s="323"/>
      <c r="H208" s="323"/>
      <c r="I208" s="323"/>
      <c r="J208" s="325"/>
      <c r="K208" s="325"/>
      <c r="L208" s="325"/>
      <c r="M208" s="323"/>
      <c r="N208" s="323"/>
      <c r="O208" s="359"/>
      <c r="P208" s="323"/>
      <c r="Q208" s="323"/>
      <c r="R208" s="374"/>
      <c r="S208" s="323"/>
    </row>
    <row r="209" spans="1:19" x14ac:dyDescent="0.2">
      <c r="A209" s="323"/>
      <c r="B209" s="325"/>
      <c r="C209" s="328"/>
      <c r="D209" s="328"/>
      <c r="E209" s="323"/>
      <c r="F209" s="323"/>
      <c r="G209" s="323"/>
      <c r="H209" s="323"/>
      <c r="I209" s="323"/>
      <c r="J209" s="325"/>
      <c r="K209" s="325"/>
      <c r="L209" s="325"/>
      <c r="M209" s="323"/>
      <c r="N209" s="323"/>
      <c r="O209" s="359"/>
      <c r="P209" s="323"/>
      <c r="Q209" s="323"/>
      <c r="R209" s="374"/>
      <c r="S209" s="323"/>
    </row>
    <row r="210" spans="1:19" x14ac:dyDescent="0.2">
      <c r="A210" s="323"/>
      <c r="B210" s="325"/>
      <c r="C210" s="328"/>
      <c r="D210" s="328"/>
      <c r="E210" s="323"/>
      <c r="F210" s="323"/>
      <c r="G210" s="323"/>
      <c r="H210" s="323"/>
      <c r="I210" s="323"/>
      <c r="J210" s="325"/>
      <c r="K210" s="325"/>
      <c r="L210" s="325"/>
      <c r="M210" s="323"/>
      <c r="N210" s="323"/>
      <c r="O210" s="359"/>
      <c r="P210" s="323"/>
      <c r="Q210" s="323"/>
      <c r="R210" s="374"/>
      <c r="S210" s="323"/>
    </row>
    <row r="211" spans="1:19" x14ac:dyDescent="0.2">
      <c r="A211" s="323"/>
      <c r="B211" s="325"/>
      <c r="C211" s="328"/>
      <c r="D211" s="328"/>
      <c r="E211" s="323"/>
      <c r="F211" s="323"/>
      <c r="G211" s="323"/>
      <c r="H211" s="323"/>
      <c r="I211" s="323"/>
      <c r="J211" s="325"/>
      <c r="K211" s="325"/>
      <c r="L211" s="325"/>
      <c r="M211" s="323"/>
      <c r="N211" s="323"/>
      <c r="O211" s="359"/>
      <c r="P211" s="323"/>
      <c r="Q211" s="323"/>
      <c r="R211" s="374"/>
      <c r="S211" s="323"/>
    </row>
    <row r="212" spans="1:19" x14ac:dyDescent="0.2">
      <c r="A212" s="323"/>
      <c r="B212" s="325"/>
      <c r="C212" s="328"/>
      <c r="D212" s="328"/>
      <c r="E212" s="323"/>
      <c r="F212" s="323"/>
      <c r="G212" s="323"/>
      <c r="H212" s="323"/>
      <c r="I212" s="323"/>
      <c r="J212" s="325"/>
      <c r="K212" s="325"/>
      <c r="L212" s="325"/>
      <c r="M212" s="323"/>
      <c r="N212" s="323"/>
      <c r="O212" s="359"/>
      <c r="P212" s="323"/>
      <c r="Q212" s="323"/>
      <c r="R212" s="374"/>
      <c r="S212" s="323"/>
    </row>
    <row r="213" spans="1:19" x14ac:dyDescent="0.2">
      <c r="A213" s="323"/>
      <c r="B213" s="325"/>
      <c r="C213" s="328"/>
      <c r="D213" s="328"/>
      <c r="E213" s="323"/>
      <c r="F213" s="323"/>
      <c r="G213" s="323"/>
      <c r="H213" s="323"/>
      <c r="I213" s="323"/>
      <c r="J213" s="325"/>
      <c r="K213" s="325"/>
      <c r="L213" s="325"/>
      <c r="M213" s="323"/>
      <c r="N213" s="323"/>
      <c r="O213" s="359"/>
      <c r="P213" s="323"/>
      <c r="Q213" s="323"/>
      <c r="R213" s="374"/>
      <c r="S213" s="323"/>
    </row>
    <row r="214" spans="1:19" x14ac:dyDescent="0.2">
      <c r="A214" s="323"/>
      <c r="B214" s="325"/>
      <c r="C214" s="328"/>
      <c r="D214" s="328"/>
      <c r="E214" s="323"/>
      <c r="F214" s="323"/>
      <c r="G214" s="323"/>
      <c r="H214" s="323"/>
      <c r="I214" s="323"/>
      <c r="J214" s="325"/>
      <c r="K214" s="325"/>
      <c r="L214" s="325"/>
      <c r="M214" s="323"/>
      <c r="N214" s="323"/>
      <c r="O214" s="359"/>
      <c r="P214" s="323"/>
      <c r="Q214" s="323"/>
      <c r="R214" s="374"/>
      <c r="S214" s="323"/>
    </row>
    <row r="215" spans="1:19" x14ac:dyDescent="0.2">
      <c r="A215" s="323"/>
      <c r="B215" s="325"/>
      <c r="C215" s="328"/>
      <c r="D215" s="328"/>
      <c r="E215" s="323"/>
      <c r="F215" s="323"/>
      <c r="G215" s="323"/>
      <c r="H215" s="323"/>
      <c r="I215" s="323"/>
      <c r="J215" s="325"/>
      <c r="K215" s="325"/>
      <c r="L215" s="325"/>
      <c r="M215" s="323"/>
      <c r="N215" s="323"/>
      <c r="O215" s="359"/>
      <c r="P215" s="323"/>
      <c r="Q215" s="323"/>
      <c r="R215" s="374"/>
      <c r="S215" s="323"/>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0000000}">
          <x14:formula1>
            <xm:f>DropDownLists!$F$2:$F$7</xm:f>
          </x14:formula1>
          <xm:sqref>Q2:Q1048576</xm:sqref>
        </x14:dataValidation>
        <x14:dataValidation type="list" allowBlank="1" showInputMessage="1" showErrorMessage="1" xr:uid="{00000000-0002-0000-0300-000001000000}">
          <x14:formula1>
            <xm:f>DropDownLists!$C$2:$C$4</xm:f>
          </x14:formula1>
          <xm:sqref>M2:M198</xm:sqref>
        </x14:dataValidation>
        <x14:dataValidation type="list" allowBlank="1" showInputMessage="1" showErrorMessage="1" xr:uid="{00000000-0002-0000-0300-000002000000}">
          <x14:formula1>
            <xm:f>DropDownLists!$E$2:$E$4</xm:f>
          </x14:formula1>
          <xm:sqref>P2:P1048576</xm:sqref>
        </x14:dataValidation>
        <x14:dataValidation type="list" allowBlank="1" showInputMessage="1" showErrorMessage="1" xr:uid="{00000000-0002-0000-0300-000003000000}">
          <x14:formula1>
            <xm:f>DropDownLists!$D$2:$D$4</xm:f>
          </x14:formula1>
          <xm:sqref>N2:N1048576</xm:sqref>
        </x14:dataValidation>
        <x14:dataValidation type="list" allowBlank="1" showInputMessage="1" showErrorMessage="1" xr:uid="{00000000-0002-0000-0300-000004000000}">
          <x14:formula1>
            <xm:f>DropDownLists!$B$2:$B$8</xm:f>
          </x14:formula1>
          <xm:sqref>G2:G1048576</xm:sqref>
        </x14:dataValidation>
        <x14:dataValidation type="list" allowBlank="1" showInputMessage="1" showErrorMessage="1" xr:uid="{00000000-0002-0000-0300-000005000000}">
          <x14:formula1>
            <xm:f>DropDownLists!$A$2:$A$3</xm:f>
          </x14:formula1>
          <xm:sqref>F2:F198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S206"/>
  <sheetViews>
    <sheetView workbookViewId="0">
      <selection activeCell="A2" sqref="A2:S206"/>
    </sheetView>
  </sheetViews>
  <sheetFormatPr defaultRowHeight="12.75" x14ac:dyDescent="0.2"/>
  <cols>
    <col min="1" max="1" width="11.5703125" customWidth="1"/>
    <col min="2" max="2" width="17.5703125" customWidth="1"/>
    <col min="3" max="3" width="33.42578125" customWidth="1"/>
    <col min="4" max="4" width="39.5703125" customWidth="1"/>
    <col min="5" max="5" width="18.5703125" customWidth="1"/>
    <col min="6" max="6" width="10.5703125" customWidth="1"/>
    <col min="7" max="7" width="28" customWidth="1"/>
    <col min="8" max="8" width="22.42578125" customWidth="1"/>
    <col min="9" max="9" width="15.42578125" customWidth="1"/>
    <col min="10" max="10" width="14.5703125" style="15" customWidth="1"/>
    <col min="11" max="11" width="17.5703125" customWidth="1"/>
    <col min="12" max="12" width="18.5703125" customWidth="1"/>
    <col min="13" max="13" width="17.5703125" customWidth="1"/>
    <col min="14" max="15" width="15.5703125" customWidth="1"/>
    <col min="16" max="16" width="19.5703125" customWidth="1"/>
    <col min="17" max="17" width="22.5703125" customWidth="1"/>
    <col min="18" max="19" width="21.5703125" customWidth="1"/>
  </cols>
  <sheetData>
    <row r="1" spans="1:19" ht="25.5" x14ac:dyDescent="0.2">
      <c r="A1" s="393" t="s">
        <v>2808</v>
      </c>
      <c r="B1" s="394" t="s">
        <v>2809</v>
      </c>
      <c r="C1" s="393" t="s">
        <v>2810</v>
      </c>
      <c r="D1" s="393" t="s">
        <v>2811</v>
      </c>
      <c r="E1" s="393" t="s">
        <v>2812</v>
      </c>
      <c r="F1" s="393" t="s">
        <v>3408</v>
      </c>
      <c r="G1" s="393" t="s">
        <v>2814</v>
      </c>
      <c r="H1" s="393" t="s">
        <v>2815</v>
      </c>
      <c r="I1" s="393" t="s">
        <v>2816</v>
      </c>
      <c r="J1" s="394" t="s">
        <v>2817</v>
      </c>
      <c r="K1" s="394" t="s">
        <v>5011</v>
      </c>
      <c r="L1" s="394" t="s">
        <v>5012</v>
      </c>
      <c r="M1" s="393" t="s">
        <v>2818</v>
      </c>
      <c r="N1" s="395" t="s">
        <v>2819</v>
      </c>
      <c r="O1" s="396" t="s">
        <v>2820</v>
      </c>
      <c r="P1" s="397" t="s">
        <v>2821</v>
      </c>
      <c r="Q1" s="395" t="s">
        <v>2822</v>
      </c>
      <c r="R1" s="398" t="s">
        <v>2823</v>
      </c>
      <c r="S1" s="398" t="s">
        <v>4213</v>
      </c>
    </row>
    <row r="2" spans="1:19" ht="25.35" customHeight="1" x14ac:dyDescent="0.2">
      <c r="A2" s="357" t="s">
        <v>4123</v>
      </c>
      <c r="B2" s="339">
        <v>43103</v>
      </c>
      <c r="C2" s="343" t="s">
        <v>4124</v>
      </c>
      <c r="D2" s="343" t="s">
        <v>4125</v>
      </c>
      <c r="E2" s="344" t="s">
        <v>3532</v>
      </c>
      <c r="F2" s="344">
        <v>1</v>
      </c>
      <c r="G2" s="344" t="s">
        <v>2828</v>
      </c>
      <c r="H2" s="344" t="s">
        <v>3975</v>
      </c>
      <c r="I2" s="344" t="s">
        <v>3926</v>
      </c>
      <c r="J2" s="339">
        <v>43134</v>
      </c>
      <c r="K2" s="339"/>
      <c r="L2" s="339"/>
      <c r="M2" s="344" t="s">
        <v>2853</v>
      </c>
      <c r="N2" s="344" t="s">
        <v>2088</v>
      </c>
      <c r="O2" s="339">
        <v>43108</v>
      </c>
      <c r="P2" s="353" t="s">
        <v>3061</v>
      </c>
      <c r="Q2" s="344" t="s">
        <v>2829</v>
      </c>
      <c r="R2" s="354"/>
      <c r="S2" s="354">
        <f>O2-B2</f>
        <v>5</v>
      </c>
    </row>
    <row r="3" spans="1:19" ht="25.35" customHeight="1" x14ac:dyDescent="0.2">
      <c r="A3" s="340" t="s">
        <v>4126</v>
      </c>
      <c r="B3" s="345">
        <v>43103</v>
      </c>
      <c r="C3" s="341" t="s">
        <v>4127</v>
      </c>
      <c r="D3" s="341" t="s">
        <v>4128</v>
      </c>
      <c r="E3" s="342" t="s">
        <v>3777</v>
      </c>
      <c r="F3" s="342">
        <v>1</v>
      </c>
      <c r="G3" s="342" t="s">
        <v>2828</v>
      </c>
      <c r="H3" s="342" t="s">
        <v>2058</v>
      </c>
      <c r="I3" s="342" t="s">
        <v>3926</v>
      </c>
      <c r="J3" s="345">
        <v>43134</v>
      </c>
      <c r="K3" s="345"/>
      <c r="L3" s="345"/>
      <c r="M3" s="342" t="s">
        <v>2853</v>
      </c>
      <c r="N3" s="342" t="s">
        <v>2088</v>
      </c>
      <c r="O3" s="345">
        <v>43103</v>
      </c>
      <c r="P3" s="355" t="s">
        <v>3061</v>
      </c>
      <c r="Q3" s="342" t="s">
        <v>2829</v>
      </c>
      <c r="R3" s="356"/>
      <c r="S3" s="354">
        <f t="shared" ref="S3:S66" si="0">O3-B3</f>
        <v>0</v>
      </c>
    </row>
    <row r="4" spans="1:19" ht="25.35" customHeight="1" x14ac:dyDescent="0.2">
      <c r="A4" s="338" t="s">
        <v>4129</v>
      </c>
      <c r="B4" s="339">
        <v>43108</v>
      </c>
      <c r="C4" s="343" t="s">
        <v>4130</v>
      </c>
      <c r="D4" s="343" t="s">
        <v>4131</v>
      </c>
      <c r="E4" s="344" t="s">
        <v>3335</v>
      </c>
      <c r="F4" s="344">
        <v>1</v>
      </c>
      <c r="G4" s="344" t="s">
        <v>2828</v>
      </c>
      <c r="H4" s="344" t="s">
        <v>3423</v>
      </c>
      <c r="I4" s="344" t="s">
        <v>3211</v>
      </c>
      <c r="J4" s="339">
        <v>43146</v>
      </c>
      <c r="K4" s="339"/>
      <c r="L4" s="339"/>
      <c r="M4" s="344" t="s">
        <v>2853</v>
      </c>
      <c r="N4" s="344" t="s">
        <v>2912</v>
      </c>
      <c r="O4" s="339">
        <v>43164</v>
      </c>
      <c r="P4" s="353" t="s">
        <v>3022</v>
      </c>
      <c r="Q4" s="344" t="s">
        <v>2832</v>
      </c>
      <c r="R4" s="354"/>
      <c r="S4" s="354">
        <f t="shared" si="0"/>
        <v>56</v>
      </c>
    </row>
    <row r="5" spans="1:19" ht="25.35" customHeight="1" x14ac:dyDescent="0.2">
      <c r="A5" s="340" t="s">
        <v>4132</v>
      </c>
      <c r="B5" s="345">
        <v>43109</v>
      </c>
      <c r="C5" s="341" t="s">
        <v>4133</v>
      </c>
      <c r="D5" s="341" t="s">
        <v>4134</v>
      </c>
      <c r="E5" s="342" t="s">
        <v>2971</v>
      </c>
      <c r="F5" s="342">
        <v>1</v>
      </c>
      <c r="G5" s="342" t="s">
        <v>2836</v>
      </c>
      <c r="H5" s="342" t="s">
        <v>481</v>
      </c>
      <c r="I5" s="342" t="s">
        <v>229</v>
      </c>
      <c r="J5" s="345">
        <v>43220</v>
      </c>
      <c r="K5" s="345"/>
      <c r="L5" s="345"/>
      <c r="M5" s="342" t="s">
        <v>2853</v>
      </c>
      <c r="N5" s="342" t="s">
        <v>2088</v>
      </c>
      <c r="O5" s="345">
        <v>43209</v>
      </c>
      <c r="P5" s="355" t="s">
        <v>3061</v>
      </c>
      <c r="Q5" s="342" t="s">
        <v>2835</v>
      </c>
      <c r="R5" s="356"/>
      <c r="S5" s="354">
        <f t="shared" si="0"/>
        <v>100</v>
      </c>
    </row>
    <row r="6" spans="1:19" ht="25.35" customHeight="1" x14ac:dyDescent="0.2">
      <c r="A6" s="338" t="s">
        <v>4135</v>
      </c>
      <c r="B6" s="339">
        <v>43111</v>
      </c>
      <c r="C6" s="343" t="s">
        <v>4136</v>
      </c>
      <c r="D6" s="343" t="s">
        <v>3518</v>
      </c>
      <c r="E6" s="344" t="s">
        <v>3825</v>
      </c>
      <c r="F6" s="344">
        <v>1</v>
      </c>
      <c r="G6" s="344" t="s">
        <v>2828</v>
      </c>
      <c r="H6" s="344" t="s">
        <v>4079</v>
      </c>
      <c r="I6" s="344" t="s">
        <v>3211</v>
      </c>
      <c r="J6" s="339">
        <v>43142</v>
      </c>
      <c r="K6" s="339"/>
      <c r="L6" s="339"/>
      <c r="M6" s="344" t="s">
        <v>2853</v>
      </c>
      <c r="N6" s="344" t="s">
        <v>2912</v>
      </c>
      <c r="O6" s="339">
        <v>43222</v>
      </c>
      <c r="P6" s="353" t="s">
        <v>3022</v>
      </c>
      <c r="Q6" s="344" t="s">
        <v>2835</v>
      </c>
      <c r="R6" s="354"/>
      <c r="S6" s="354">
        <f t="shared" si="0"/>
        <v>111</v>
      </c>
    </row>
    <row r="7" spans="1:19" ht="25.35" customHeight="1" x14ac:dyDescent="0.2">
      <c r="A7" s="340" t="s">
        <v>4137</v>
      </c>
      <c r="B7" s="345">
        <v>43115</v>
      </c>
      <c r="C7" s="341" t="s">
        <v>4138</v>
      </c>
      <c r="D7" s="341" t="s">
        <v>4048</v>
      </c>
      <c r="E7" s="342" t="s">
        <v>2971</v>
      </c>
      <c r="F7" s="342">
        <v>1</v>
      </c>
      <c r="G7" s="342" t="s">
        <v>2841</v>
      </c>
      <c r="H7" s="342" t="s">
        <v>727</v>
      </c>
      <c r="I7" s="342" t="s">
        <v>229</v>
      </c>
      <c r="J7" s="345">
        <v>43190</v>
      </c>
      <c r="K7" s="345"/>
      <c r="L7" s="345"/>
      <c r="M7" s="342" t="s">
        <v>2853</v>
      </c>
      <c r="N7" s="342" t="s">
        <v>3022</v>
      </c>
      <c r="O7" s="345">
        <v>43209</v>
      </c>
      <c r="P7" s="355" t="s">
        <v>3022</v>
      </c>
      <c r="Q7" s="342" t="s">
        <v>2835</v>
      </c>
      <c r="R7" s="356"/>
      <c r="S7" s="354">
        <f t="shared" si="0"/>
        <v>94</v>
      </c>
    </row>
    <row r="8" spans="1:19" ht="25.35" customHeight="1" x14ac:dyDescent="0.2">
      <c r="A8" s="338" t="s">
        <v>4139</v>
      </c>
      <c r="B8" s="339">
        <v>43115</v>
      </c>
      <c r="C8" s="343" t="s">
        <v>4140</v>
      </c>
      <c r="D8" s="343" t="s">
        <v>4141</v>
      </c>
      <c r="E8" s="344" t="s">
        <v>2971</v>
      </c>
      <c r="F8" s="344">
        <v>1</v>
      </c>
      <c r="G8" s="344" t="s">
        <v>2841</v>
      </c>
      <c r="H8" s="344" t="s">
        <v>4142</v>
      </c>
      <c r="I8" s="344" t="s">
        <v>229</v>
      </c>
      <c r="J8" s="339">
        <v>43190</v>
      </c>
      <c r="K8" s="339"/>
      <c r="L8" s="339"/>
      <c r="M8" s="344" t="s">
        <v>2853</v>
      </c>
      <c r="N8" s="344" t="s">
        <v>3022</v>
      </c>
      <c r="O8" s="339">
        <v>43312</v>
      </c>
      <c r="P8" s="353" t="s">
        <v>3022</v>
      </c>
      <c r="Q8" s="344" t="s">
        <v>4340</v>
      </c>
      <c r="R8" s="354"/>
      <c r="S8" s="354">
        <f t="shared" si="0"/>
        <v>197</v>
      </c>
    </row>
    <row r="9" spans="1:19" ht="25.35" customHeight="1" x14ac:dyDescent="0.2">
      <c r="A9" s="340" t="s">
        <v>4145</v>
      </c>
      <c r="B9" s="345">
        <v>43118</v>
      </c>
      <c r="C9" s="341" t="s">
        <v>4146</v>
      </c>
      <c r="D9" s="341" t="s">
        <v>4141</v>
      </c>
      <c r="E9" s="342" t="s">
        <v>2971</v>
      </c>
      <c r="F9" s="342">
        <v>1</v>
      </c>
      <c r="G9" s="342" t="s">
        <v>2841</v>
      </c>
      <c r="H9" s="342" t="s">
        <v>229</v>
      </c>
      <c r="I9" s="342" t="s">
        <v>229</v>
      </c>
      <c r="J9" s="345">
        <v>43190</v>
      </c>
      <c r="K9" s="345"/>
      <c r="L9" s="345"/>
      <c r="M9" s="342" t="s">
        <v>2853</v>
      </c>
      <c r="N9" s="342" t="s">
        <v>3022</v>
      </c>
      <c r="O9" s="345">
        <v>43209</v>
      </c>
      <c r="P9" s="355" t="s">
        <v>3022</v>
      </c>
      <c r="Q9" s="342" t="s">
        <v>2835</v>
      </c>
      <c r="R9" s="356"/>
      <c r="S9" s="354">
        <f t="shared" si="0"/>
        <v>91</v>
      </c>
    </row>
    <row r="10" spans="1:19" ht="25.35" customHeight="1" x14ac:dyDescent="0.2">
      <c r="A10" s="338" t="s">
        <v>4147</v>
      </c>
      <c r="B10" s="339">
        <v>43118</v>
      </c>
      <c r="C10" s="343" t="s">
        <v>4148</v>
      </c>
      <c r="D10" s="343" t="s">
        <v>4141</v>
      </c>
      <c r="E10" s="344" t="s">
        <v>2971</v>
      </c>
      <c r="F10" s="344">
        <v>1</v>
      </c>
      <c r="G10" s="344" t="s">
        <v>2841</v>
      </c>
      <c r="H10" s="344" t="s">
        <v>229</v>
      </c>
      <c r="I10" s="344" t="s">
        <v>229</v>
      </c>
      <c r="J10" s="339">
        <v>43190</v>
      </c>
      <c r="K10" s="339"/>
      <c r="L10" s="339"/>
      <c r="M10" s="344" t="s">
        <v>2853</v>
      </c>
      <c r="N10" s="344" t="s">
        <v>3022</v>
      </c>
      <c r="O10" s="339">
        <v>43209</v>
      </c>
      <c r="P10" s="353" t="s">
        <v>3022</v>
      </c>
      <c r="Q10" s="344" t="s">
        <v>2835</v>
      </c>
      <c r="R10" s="354"/>
      <c r="S10" s="354">
        <f t="shared" si="0"/>
        <v>91</v>
      </c>
    </row>
    <row r="11" spans="1:19" ht="25.35" customHeight="1" x14ac:dyDescent="0.2">
      <c r="A11" s="340" t="s">
        <v>4151</v>
      </c>
      <c r="B11" s="345">
        <v>43119</v>
      </c>
      <c r="C11" s="341" t="s">
        <v>4150</v>
      </c>
      <c r="D11" s="341" t="s">
        <v>4149</v>
      </c>
      <c r="E11" s="342" t="s">
        <v>2971</v>
      </c>
      <c r="F11" s="342">
        <v>1</v>
      </c>
      <c r="G11" s="342" t="s">
        <v>2836</v>
      </c>
      <c r="H11" s="342" t="s">
        <v>481</v>
      </c>
      <c r="I11" s="342" t="s">
        <v>229</v>
      </c>
      <c r="J11" s="345">
        <v>43130</v>
      </c>
      <c r="K11" s="345"/>
      <c r="L11" s="345"/>
      <c r="M11" s="342" t="s">
        <v>1056</v>
      </c>
      <c r="N11" s="342" t="s">
        <v>2088</v>
      </c>
      <c r="O11" s="345" t="s">
        <v>2088</v>
      </c>
      <c r="P11" s="355" t="s">
        <v>2088</v>
      </c>
      <c r="Q11" s="342" t="s">
        <v>2088</v>
      </c>
      <c r="R11" s="356" t="s">
        <v>5013</v>
      </c>
      <c r="S11" s="354" t="e">
        <f t="shared" si="0"/>
        <v>#VALUE!</v>
      </c>
    </row>
    <row r="12" spans="1:19" ht="25.35" customHeight="1" x14ac:dyDescent="0.2">
      <c r="A12" s="338" t="s">
        <v>4152</v>
      </c>
      <c r="B12" s="339">
        <v>43119</v>
      </c>
      <c r="C12" s="343" t="s">
        <v>4153</v>
      </c>
      <c r="D12" s="343" t="s">
        <v>4141</v>
      </c>
      <c r="E12" s="344" t="s">
        <v>2971</v>
      </c>
      <c r="F12" s="344">
        <v>1</v>
      </c>
      <c r="G12" s="344" t="s">
        <v>2841</v>
      </c>
      <c r="H12" s="344" t="s">
        <v>486</v>
      </c>
      <c r="I12" s="344" t="s">
        <v>229</v>
      </c>
      <c r="J12" s="339">
        <v>43190</v>
      </c>
      <c r="K12" s="339"/>
      <c r="L12" s="339"/>
      <c r="M12" s="344" t="s">
        <v>2853</v>
      </c>
      <c r="N12" s="344" t="s">
        <v>2912</v>
      </c>
      <c r="O12" s="339">
        <v>43209</v>
      </c>
      <c r="P12" s="353" t="s">
        <v>3022</v>
      </c>
      <c r="Q12" s="344" t="s">
        <v>2835</v>
      </c>
      <c r="R12" s="354"/>
      <c r="S12" s="354">
        <f t="shared" si="0"/>
        <v>90</v>
      </c>
    </row>
    <row r="13" spans="1:19" ht="25.35" customHeight="1" x14ac:dyDescent="0.2">
      <c r="A13" s="340" t="s">
        <v>4154</v>
      </c>
      <c r="B13" s="345">
        <v>43119</v>
      </c>
      <c r="C13" s="341" t="s">
        <v>4155</v>
      </c>
      <c r="D13" s="341" t="s">
        <v>4141</v>
      </c>
      <c r="E13" s="342" t="s">
        <v>2971</v>
      </c>
      <c r="F13" s="342">
        <v>1</v>
      </c>
      <c r="G13" s="342" t="s">
        <v>2841</v>
      </c>
      <c r="H13" s="342" t="s">
        <v>229</v>
      </c>
      <c r="I13" s="342" t="s">
        <v>229</v>
      </c>
      <c r="J13" s="345">
        <v>43190</v>
      </c>
      <c r="K13" s="345"/>
      <c r="L13" s="345"/>
      <c r="M13" s="342" t="s">
        <v>2853</v>
      </c>
      <c r="N13" s="342" t="s">
        <v>2912</v>
      </c>
      <c r="O13" s="345">
        <v>43209</v>
      </c>
      <c r="P13" s="355" t="s">
        <v>3022</v>
      </c>
      <c r="Q13" s="342" t="s">
        <v>2835</v>
      </c>
      <c r="R13" s="356"/>
      <c r="S13" s="354">
        <f t="shared" si="0"/>
        <v>90</v>
      </c>
    </row>
    <row r="14" spans="1:19" ht="25.35" customHeight="1" x14ac:dyDescent="0.2">
      <c r="A14" s="338" t="s">
        <v>4157</v>
      </c>
      <c r="B14" s="339">
        <v>43119</v>
      </c>
      <c r="C14" s="343" t="s">
        <v>4156</v>
      </c>
      <c r="D14" s="343" t="s">
        <v>4141</v>
      </c>
      <c r="E14" s="344" t="s">
        <v>2971</v>
      </c>
      <c r="F14" s="344">
        <v>1</v>
      </c>
      <c r="G14" s="344" t="s">
        <v>2841</v>
      </c>
      <c r="H14" s="344" t="s">
        <v>229</v>
      </c>
      <c r="I14" s="344" t="s">
        <v>229</v>
      </c>
      <c r="J14" s="339">
        <v>43190</v>
      </c>
      <c r="K14" s="339"/>
      <c r="L14" s="339"/>
      <c r="M14" s="344" t="s">
        <v>2853</v>
      </c>
      <c r="N14" s="344" t="s">
        <v>3022</v>
      </c>
      <c r="O14" s="339">
        <v>43209</v>
      </c>
      <c r="P14" s="353" t="s">
        <v>3022</v>
      </c>
      <c r="Q14" s="344" t="s">
        <v>2835</v>
      </c>
      <c r="R14" s="354"/>
      <c r="S14" s="354">
        <f t="shared" si="0"/>
        <v>90</v>
      </c>
    </row>
    <row r="15" spans="1:19" ht="25.35" customHeight="1" x14ac:dyDescent="0.2">
      <c r="A15" s="340" t="s">
        <v>4158</v>
      </c>
      <c r="B15" s="345">
        <v>43129</v>
      </c>
      <c r="C15" s="341" t="s">
        <v>4159</v>
      </c>
      <c r="D15" s="341" t="s">
        <v>4160</v>
      </c>
      <c r="E15" s="342" t="s">
        <v>3825</v>
      </c>
      <c r="F15" s="342">
        <v>1</v>
      </c>
      <c r="G15" s="342" t="s">
        <v>2828</v>
      </c>
      <c r="H15" s="342" t="s">
        <v>2058</v>
      </c>
      <c r="I15" s="342" t="s">
        <v>3211</v>
      </c>
      <c r="J15" s="345">
        <v>43159</v>
      </c>
      <c r="K15" s="345"/>
      <c r="L15" s="345"/>
      <c r="M15" s="342" t="s">
        <v>2853</v>
      </c>
      <c r="N15" s="342" t="s">
        <v>4224</v>
      </c>
      <c r="O15" s="345">
        <v>43185</v>
      </c>
      <c r="P15" s="355" t="s">
        <v>3022</v>
      </c>
      <c r="Q15" s="342" t="s">
        <v>2835</v>
      </c>
      <c r="R15" s="356"/>
      <c r="S15" s="354">
        <f t="shared" si="0"/>
        <v>56</v>
      </c>
    </row>
    <row r="16" spans="1:19" ht="25.35" customHeight="1" x14ac:dyDescent="0.2">
      <c r="A16" s="338" t="s">
        <v>4161</v>
      </c>
      <c r="B16" s="339">
        <v>43131</v>
      </c>
      <c r="C16" s="343" t="s">
        <v>4162</v>
      </c>
      <c r="D16" s="343" t="s">
        <v>5070</v>
      </c>
      <c r="E16" s="344" t="s">
        <v>3519</v>
      </c>
      <c r="F16" s="344">
        <v>1</v>
      </c>
      <c r="G16" s="344" t="s">
        <v>2828</v>
      </c>
      <c r="H16" s="344" t="s">
        <v>4163</v>
      </c>
      <c r="I16" s="344" t="s">
        <v>3926</v>
      </c>
      <c r="J16" s="339">
        <v>43159</v>
      </c>
      <c r="K16" s="339"/>
      <c r="L16" s="339"/>
      <c r="M16" s="344" t="s">
        <v>2853</v>
      </c>
      <c r="N16" s="344" t="s">
        <v>2088</v>
      </c>
      <c r="O16" s="339">
        <v>43131</v>
      </c>
      <c r="P16" s="353" t="s">
        <v>3061</v>
      </c>
      <c r="Q16" s="344" t="s">
        <v>2829</v>
      </c>
      <c r="R16" s="354"/>
      <c r="S16" s="354">
        <f t="shared" si="0"/>
        <v>0</v>
      </c>
    </row>
    <row r="17" spans="1:19" ht="25.35" customHeight="1" x14ac:dyDescent="0.2">
      <c r="A17" s="340" t="s">
        <v>4164</v>
      </c>
      <c r="B17" s="345">
        <v>43131</v>
      </c>
      <c r="C17" s="341" t="s">
        <v>4167</v>
      </c>
      <c r="D17" s="341" t="s">
        <v>4160</v>
      </c>
      <c r="E17" s="342" t="s">
        <v>3825</v>
      </c>
      <c r="F17" s="342">
        <v>1</v>
      </c>
      <c r="G17" s="342" t="s">
        <v>2828</v>
      </c>
      <c r="H17" s="342" t="s">
        <v>3842</v>
      </c>
      <c r="I17" s="342" t="s">
        <v>3211</v>
      </c>
      <c r="J17" s="345">
        <v>43281</v>
      </c>
      <c r="K17" s="345"/>
      <c r="L17" s="345"/>
      <c r="M17" s="342" t="s">
        <v>2853</v>
      </c>
      <c r="N17" s="342" t="s">
        <v>2088</v>
      </c>
      <c r="O17" s="345">
        <v>43252</v>
      </c>
      <c r="P17" s="355" t="s">
        <v>3061</v>
      </c>
      <c r="Q17" s="342" t="s">
        <v>2835</v>
      </c>
      <c r="R17" s="356"/>
      <c r="S17" s="354">
        <f t="shared" si="0"/>
        <v>121</v>
      </c>
    </row>
    <row r="18" spans="1:19" ht="25.35" customHeight="1" x14ac:dyDescent="0.2">
      <c r="A18" s="338" t="s">
        <v>4165</v>
      </c>
      <c r="B18" s="339">
        <v>43131</v>
      </c>
      <c r="C18" s="343" t="s">
        <v>4168</v>
      </c>
      <c r="D18" s="343" t="s">
        <v>4160</v>
      </c>
      <c r="E18" s="344" t="s">
        <v>3335</v>
      </c>
      <c r="F18" s="344">
        <v>1</v>
      </c>
      <c r="G18" s="344" t="s">
        <v>2828</v>
      </c>
      <c r="H18" s="344" t="s">
        <v>3842</v>
      </c>
      <c r="I18" s="344" t="s">
        <v>3211</v>
      </c>
      <c r="J18" s="339">
        <v>43251</v>
      </c>
      <c r="K18" s="339"/>
      <c r="L18" s="339"/>
      <c r="M18" s="344" t="s">
        <v>2853</v>
      </c>
      <c r="N18" s="344" t="s">
        <v>2088</v>
      </c>
      <c r="O18" s="339">
        <v>43224</v>
      </c>
      <c r="P18" s="353" t="s">
        <v>3061</v>
      </c>
      <c r="Q18" s="344" t="s">
        <v>2835</v>
      </c>
      <c r="R18" s="354"/>
      <c r="S18" s="354">
        <f t="shared" si="0"/>
        <v>93</v>
      </c>
    </row>
    <row r="19" spans="1:19" ht="25.35" customHeight="1" x14ac:dyDescent="0.2">
      <c r="A19" s="340" t="s">
        <v>4166</v>
      </c>
      <c r="B19" s="345">
        <v>43131</v>
      </c>
      <c r="C19" s="341" t="s">
        <v>4169</v>
      </c>
      <c r="D19" s="341" t="s">
        <v>4160</v>
      </c>
      <c r="E19" s="342" t="s">
        <v>4170</v>
      </c>
      <c r="F19" s="342">
        <v>1</v>
      </c>
      <c r="G19" s="342" t="s">
        <v>2828</v>
      </c>
      <c r="H19" s="342" t="s">
        <v>3842</v>
      </c>
      <c r="I19" s="342" t="s">
        <v>3211</v>
      </c>
      <c r="J19" s="345">
        <v>43287</v>
      </c>
      <c r="K19" s="345"/>
      <c r="L19" s="345"/>
      <c r="M19" s="342" t="s">
        <v>2853</v>
      </c>
      <c r="N19" s="342" t="s">
        <v>2088</v>
      </c>
      <c r="O19" s="345">
        <v>43258</v>
      </c>
      <c r="P19" s="355" t="s">
        <v>3061</v>
      </c>
      <c r="Q19" s="342" t="s">
        <v>4340</v>
      </c>
      <c r="R19" s="356"/>
      <c r="S19" s="354">
        <f t="shared" si="0"/>
        <v>127</v>
      </c>
    </row>
    <row r="20" spans="1:19" ht="25.35" customHeight="1" x14ac:dyDescent="0.2">
      <c r="A20" s="338" t="s">
        <v>4171</v>
      </c>
      <c r="B20" s="339">
        <v>43131</v>
      </c>
      <c r="C20" s="343" t="s">
        <v>4172</v>
      </c>
      <c r="D20" s="343" t="s">
        <v>4173</v>
      </c>
      <c r="E20" s="344" t="s">
        <v>4174</v>
      </c>
      <c r="F20" s="344">
        <v>1</v>
      </c>
      <c r="G20" s="344" t="s">
        <v>2828</v>
      </c>
      <c r="H20" s="344" t="s">
        <v>615</v>
      </c>
      <c r="I20" s="344" t="s">
        <v>3211</v>
      </c>
      <c r="J20" s="339">
        <v>43133</v>
      </c>
      <c r="K20" s="339"/>
      <c r="L20" s="339"/>
      <c r="M20" s="344" t="s">
        <v>2853</v>
      </c>
      <c r="N20" s="344" t="s">
        <v>2088</v>
      </c>
      <c r="O20" s="339">
        <v>43133</v>
      </c>
      <c r="P20" s="353" t="s">
        <v>3061</v>
      </c>
      <c r="Q20" s="344" t="s">
        <v>2829</v>
      </c>
      <c r="R20" s="354"/>
      <c r="S20" s="354">
        <f t="shared" si="0"/>
        <v>2</v>
      </c>
    </row>
    <row r="21" spans="1:19" ht="25.35" customHeight="1" x14ac:dyDescent="0.2">
      <c r="A21" s="340" t="s">
        <v>4175</v>
      </c>
      <c r="B21" s="345">
        <v>43133</v>
      </c>
      <c r="C21" s="341" t="s">
        <v>4176</v>
      </c>
      <c r="D21" s="341" t="s">
        <v>4177</v>
      </c>
      <c r="E21" s="342" t="s">
        <v>4178</v>
      </c>
      <c r="F21" s="342">
        <v>1</v>
      </c>
      <c r="G21" s="342" t="s">
        <v>2828</v>
      </c>
      <c r="H21" s="342" t="s">
        <v>3423</v>
      </c>
      <c r="I21" s="342" t="s">
        <v>3211</v>
      </c>
      <c r="J21" s="345" t="s">
        <v>2088</v>
      </c>
      <c r="K21" s="345"/>
      <c r="L21" s="345"/>
      <c r="M21" s="342" t="s">
        <v>1056</v>
      </c>
      <c r="N21" s="342" t="s">
        <v>2088</v>
      </c>
      <c r="O21" s="345" t="s">
        <v>2088</v>
      </c>
      <c r="P21" s="355" t="s">
        <v>2088</v>
      </c>
      <c r="Q21" s="342" t="s">
        <v>2088</v>
      </c>
      <c r="R21" s="356"/>
      <c r="S21" s="354" t="e">
        <f t="shared" si="0"/>
        <v>#VALUE!</v>
      </c>
    </row>
    <row r="22" spans="1:19" ht="25.35" customHeight="1" x14ac:dyDescent="0.2">
      <c r="A22" s="338" t="s">
        <v>4179</v>
      </c>
      <c r="B22" s="339">
        <v>43137</v>
      </c>
      <c r="C22" s="343" t="s">
        <v>4180</v>
      </c>
      <c r="D22" s="343" t="s">
        <v>4181</v>
      </c>
      <c r="E22" s="344" t="s">
        <v>2971</v>
      </c>
      <c r="F22" s="344">
        <v>1</v>
      </c>
      <c r="G22" s="344" t="s">
        <v>2828</v>
      </c>
      <c r="H22" s="344" t="s">
        <v>3842</v>
      </c>
      <c r="I22" s="344" t="s">
        <v>3211</v>
      </c>
      <c r="J22" s="339">
        <v>43160</v>
      </c>
      <c r="K22" s="339"/>
      <c r="L22" s="339"/>
      <c r="M22" s="344" t="s">
        <v>2853</v>
      </c>
      <c r="N22" s="344" t="s">
        <v>2088</v>
      </c>
      <c r="O22" s="339">
        <v>43143</v>
      </c>
      <c r="P22" s="353" t="s">
        <v>3061</v>
      </c>
      <c r="Q22" s="344" t="s">
        <v>2829</v>
      </c>
      <c r="R22" s="354"/>
      <c r="S22" s="354">
        <f t="shared" si="0"/>
        <v>6</v>
      </c>
    </row>
    <row r="23" spans="1:19" ht="25.35" customHeight="1" x14ac:dyDescent="0.2">
      <c r="A23" s="340" t="s">
        <v>4182</v>
      </c>
      <c r="B23" s="345">
        <v>43143</v>
      </c>
      <c r="C23" s="341" t="s">
        <v>2204</v>
      </c>
      <c r="D23" s="341" t="s">
        <v>4183</v>
      </c>
      <c r="E23" s="342" t="s">
        <v>3617</v>
      </c>
      <c r="F23" s="342">
        <v>1</v>
      </c>
      <c r="G23" s="342" t="s">
        <v>2841</v>
      </c>
      <c r="H23" s="342" t="s">
        <v>441</v>
      </c>
      <c r="I23" s="342" t="s">
        <v>229</v>
      </c>
      <c r="J23" s="345">
        <v>43159</v>
      </c>
      <c r="K23" s="345"/>
      <c r="L23" s="345"/>
      <c r="M23" s="342" t="s">
        <v>2853</v>
      </c>
      <c r="N23" s="342" t="s">
        <v>2088</v>
      </c>
      <c r="O23" s="345">
        <v>43462</v>
      </c>
      <c r="P23" s="355" t="s">
        <v>3022</v>
      </c>
      <c r="Q23" s="342" t="s">
        <v>2837</v>
      </c>
      <c r="R23" s="356"/>
      <c r="S23" s="354">
        <f t="shared" si="0"/>
        <v>319</v>
      </c>
    </row>
    <row r="24" spans="1:19" ht="25.35" customHeight="1" x14ac:dyDescent="0.2">
      <c r="A24" s="338" t="s">
        <v>4185</v>
      </c>
      <c r="B24" s="339">
        <v>43147</v>
      </c>
      <c r="C24" s="343" t="s">
        <v>4186</v>
      </c>
      <c r="D24" s="343" t="s">
        <v>4187</v>
      </c>
      <c r="E24" s="344" t="s">
        <v>3532</v>
      </c>
      <c r="F24" s="344">
        <v>1</v>
      </c>
      <c r="G24" s="344" t="s">
        <v>2828</v>
      </c>
      <c r="H24" s="344" t="s">
        <v>4079</v>
      </c>
      <c r="I24" s="344" t="s">
        <v>3211</v>
      </c>
      <c r="J24" s="339">
        <v>43221</v>
      </c>
      <c r="K24" s="339"/>
      <c r="L24" s="339"/>
      <c r="M24" s="344" t="s">
        <v>2853</v>
      </c>
      <c r="N24" s="344" t="s">
        <v>2912</v>
      </c>
      <c r="O24" s="339">
        <v>43223</v>
      </c>
      <c r="P24" s="353" t="s">
        <v>3022</v>
      </c>
      <c r="Q24" s="344" t="s">
        <v>2832</v>
      </c>
      <c r="R24" s="354"/>
      <c r="S24" s="354">
        <f t="shared" si="0"/>
        <v>76</v>
      </c>
    </row>
    <row r="25" spans="1:19" ht="25.35" customHeight="1" x14ac:dyDescent="0.2">
      <c r="A25" s="340" t="s">
        <v>4188</v>
      </c>
      <c r="B25" s="345">
        <v>43151</v>
      </c>
      <c r="C25" s="341" t="s">
        <v>4189</v>
      </c>
      <c r="D25" s="341" t="s">
        <v>4190</v>
      </c>
      <c r="E25" s="342" t="s">
        <v>3777</v>
      </c>
      <c r="F25" s="342">
        <v>1</v>
      </c>
      <c r="G25" s="342" t="s">
        <v>2828</v>
      </c>
      <c r="H25" s="342" t="s">
        <v>4079</v>
      </c>
      <c r="I25" s="342" t="s">
        <v>3211</v>
      </c>
      <c r="J25" s="345">
        <v>43180</v>
      </c>
      <c r="K25" s="345"/>
      <c r="L25" s="345"/>
      <c r="M25" s="342" t="s">
        <v>2853</v>
      </c>
      <c r="N25" s="342" t="s">
        <v>2088</v>
      </c>
      <c r="O25" s="345">
        <v>43154</v>
      </c>
      <c r="P25" s="355" t="s">
        <v>3061</v>
      </c>
      <c r="Q25" s="342" t="s">
        <v>2829</v>
      </c>
      <c r="R25" s="356"/>
      <c r="S25" s="354">
        <f t="shared" si="0"/>
        <v>3</v>
      </c>
    </row>
    <row r="26" spans="1:19" ht="25.35" customHeight="1" x14ac:dyDescent="0.2">
      <c r="A26" s="338" t="s">
        <v>4191</v>
      </c>
      <c r="B26" s="339">
        <v>43152</v>
      </c>
      <c r="C26" s="343" t="s">
        <v>4192</v>
      </c>
      <c r="D26" s="343" t="s">
        <v>4193</v>
      </c>
      <c r="E26" s="344" t="s">
        <v>3969</v>
      </c>
      <c r="F26" s="344">
        <v>1</v>
      </c>
      <c r="G26" s="344" t="s">
        <v>2828</v>
      </c>
      <c r="H26" s="344" t="s">
        <v>3423</v>
      </c>
      <c r="I26" s="344" t="s">
        <v>3211</v>
      </c>
      <c r="J26" s="339">
        <v>43159</v>
      </c>
      <c r="K26" s="339"/>
      <c r="L26" s="339"/>
      <c r="M26" s="344" t="s">
        <v>2853</v>
      </c>
      <c r="N26" s="344" t="s">
        <v>2088</v>
      </c>
      <c r="O26" s="339">
        <v>43152</v>
      </c>
      <c r="P26" s="353" t="s">
        <v>3061</v>
      </c>
      <c r="Q26" s="344" t="s">
        <v>2829</v>
      </c>
      <c r="R26" s="354"/>
      <c r="S26" s="354">
        <f t="shared" si="0"/>
        <v>0</v>
      </c>
    </row>
    <row r="27" spans="1:19" ht="25.35" customHeight="1" x14ac:dyDescent="0.2">
      <c r="A27" s="340" t="s">
        <v>4194</v>
      </c>
      <c r="B27" s="345">
        <v>43157</v>
      </c>
      <c r="C27" s="341" t="s">
        <v>4196</v>
      </c>
      <c r="D27" s="341" t="s">
        <v>4198</v>
      </c>
      <c r="E27" s="342" t="s">
        <v>3473</v>
      </c>
      <c r="F27" s="342">
        <v>1</v>
      </c>
      <c r="G27" s="342" t="s">
        <v>2828</v>
      </c>
      <c r="H27" s="342" t="s">
        <v>2058</v>
      </c>
      <c r="I27" s="342" t="s">
        <v>3211</v>
      </c>
      <c r="J27" s="345">
        <v>43159</v>
      </c>
      <c r="K27" s="345"/>
      <c r="L27" s="345"/>
      <c r="M27" s="342" t="s">
        <v>2853</v>
      </c>
      <c r="N27" s="342" t="s">
        <v>2088</v>
      </c>
      <c r="O27" s="345">
        <v>43159</v>
      </c>
      <c r="P27" s="355" t="s">
        <v>3061</v>
      </c>
      <c r="Q27" s="342" t="s">
        <v>2829</v>
      </c>
      <c r="R27" s="356"/>
      <c r="S27" s="354">
        <f t="shared" si="0"/>
        <v>2</v>
      </c>
    </row>
    <row r="28" spans="1:19" ht="25.35" customHeight="1" x14ac:dyDescent="0.2">
      <c r="A28" s="338" t="s">
        <v>4195</v>
      </c>
      <c r="B28" s="339">
        <v>43157</v>
      </c>
      <c r="C28" s="343" t="s">
        <v>4197</v>
      </c>
      <c r="D28" s="343" t="s">
        <v>4198</v>
      </c>
      <c r="E28" s="344" t="s">
        <v>3335</v>
      </c>
      <c r="F28" s="344">
        <v>1</v>
      </c>
      <c r="G28" s="344" t="s">
        <v>2828</v>
      </c>
      <c r="H28" s="344" t="s">
        <v>2058</v>
      </c>
      <c r="I28" s="344" t="s">
        <v>3211</v>
      </c>
      <c r="J28" s="339">
        <v>43159</v>
      </c>
      <c r="K28" s="339"/>
      <c r="L28" s="339"/>
      <c r="M28" s="344" t="s">
        <v>2853</v>
      </c>
      <c r="N28" s="344" t="s">
        <v>2088</v>
      </c>
      <c r="O28" s="339">
        <v>43159</v>
      </c>
      <c r="P28" s="353" t="s">
        <v>3061</v>
      </c>
      <c r="Q28" s="344" t="s">
        <v>2829</v>
      </c>
      <c r="R28" s="354"/>
      <c r="S28" s="354">
        <f t="shared" si="0"/>
        <v>2</v>
      </c>
    </row>
    <row r="29" spans="1:19" ht="25.35" customHeight="1" x14ac:dyDescent="0.2">
      <c r="A29" s="340" t="s">
        <v>4199</v>
      </c>
      <c r="B29" s="345">
        <v>43161</v>
      </c>
      <c r="C29" s="341" t="s">
        <v>4200</v>
      </c>
      <c r="D29" s="341" t="s">
        <v>4201</v>
      </c>
      <c r="E29" s="342" t="s">
        <v>4111</v>
      </c>
      <c r="F29" s="342">
        <v>1</v>
      </c>
      <c r="G29" s="342" t="s">
        <v>2828</v>
      </c>
      <c r="H29" s="342" t="s">
        <v>3975</v>
      </c>
      <c r="I29" s="342" t="s">
        <v>3926</v>
      </c>
      <c r="J29" s="345">
        <v>43192</v>
      </c>
      <c r="K29" s="345"/>
      <c r="L29" s="345"/>
      <c r="M29" s="342" t="s">
        <v>2853</v>
      </c>
      <c r="N29" s="342" t="s">
        <v>2088</v>
      </c>
      <c r="O29" s="345">
        <v>43178</v>
      </c>
      <c r="P29" s="355" t="s">
        <v>3061</v>
      </c>
      <c r="Q29" s="342" t="s">
        <v>2829</v>
      </c>
      <c r="R29" s="356"/>
      <c r="S29" s="354">
        <f t="shared" si="0"/>
        <v>17</v>
      </c>
    </row>
    <row r="30" spans="1:19" ht="25.35" customHeight="1" x14ac:dyDescent="0.2">
      <c r="A30" s="338" t="s">
        <v>4202</v>
      </c>
      <c r="B30" s="339">
        <v>43164</v>
      </c>
      <c r="C30" s="343" t="s">
        <v>4204</v>
      </c>
      <c r="D30" s="343" t="s">
        <v>4205</v>
      </c>
      <c r="E30" s="344" t="s">
        <v>3825</v>
      </c>
      <c r="F30" s="344">
        <v>1</v>
      </c>
      <c r="G30" s="344" t="s">
        <v>2828</v>
      </c>
      <c r="H30" s="344" t="s">
        <v>2058</v>
      </c>
      <c r="I30" s="344" t="s">
        <v>3211</v>
      </c>
      <c r="J30" s="339">
        <v>43195</v>
      </c>
      <c r="K30" s="339"/>
      <c r="L30" s="339"/>
      <c r="M30" s="344" t="s">
        <v>2853</v>
      </c>
      <c r="N30" s="344" t="s">
        <v>2088</v>
      </c>
      <c r="O30" s="339">
        <v>43167</v>
      </c>
      <c r="P30" s="353" t="s">
        <v>3061</v>
      </c>
      <c r="Q30" s="344" t="s">
        <v>2829</v>
      </c>
      <c r="R30" s="354"/>
      <c r="S30" s="354">
        <f t="shared" si="0"/>
        <v>3</v>
      </c>
    </row>
    <row r="31" spans="1:19" ht="25.35" customHeight="1" x14ac:dyDescent="0.2">
      <c r="A31" s="340" t="s">
        <v>4203</v>
      </c>
      <c r="B31" s="345">
        <v>43164</v>
      </c>
      <c r="C31" s="341" t="s">
        <v>4206</v>
      </c>
      <c r="D31" s="341" t="s">
        <v>4207</v>
      </c>
      <c r="E31" s="342" t="s">
        <v>4208</v>
      </c>
      <c r="F31" s="342">
        <v>2</v>
      </c>
      <c r="G31" s="342" t="s">
        <v>2828</v>
      </c>
      <c r="H31" s="342" t="s">
        <v>2106</v>
      </c>
      <c r="I31" s="342" t="s">
        <v>3211</v>
      </c>
      <c r="J31" s="345">
        <v>43196</v>
      </c>
      <c r="K31" s="345"/>
      <c r="L31" s="345"/>
      <c r="M31" s="342" t="s">
        <v>2853</v>
      </c>
      <c r="N31" s="342" t="s">
        <v>2088</v>
      </c>
      <c r="O31" s="345">
        <v>43182</v>
      </c>
      <c r="P31" s="355" t="s">
        <v>3061</v>
      </c>
      <c r="Q31" s="342" t="s">
        <v>2829</v>
      </c>
      <c r="R31" s="356"/>
      <c r="S31" s="354">
        <f t="shared" si="0"/>
        <v>18</v>
      </c>
    </row>
    <row r="32" spans="1:19" ht="25.35" customHeight="1" x14ac:dyDescent="0.2">
      <c r="A32" s="338" t="s">
        <v>4211</v>
      </c>
      <c r="B32" s="339">
        <v>43165</v>
      </c>
      <c r="C32" s="343" t="s">
        <v>4214</v>
      </c>
      <c r="D32" s="343" t="s">
        <v>4212</v>
      </c>
      <c r="E32" s="344" t="s">
        <v>4213</v>
      </c>
      <c r="F32" s="344">
        <v>1</v>
      </c>
      <c r="G32" s="344" t="s">
        <v>2828</v>
      </c>
      <c r="H32" s="344" t="s">
        <v>4079</v>
      </c>
      <c r="I32" s="344" t="s">
        <v>3926</v>
      </c>
      <c r="J32" s="339">
        <v>43220</v>
      </c>
      <c r="K32" s="339"/>
      <c r="L32" s="339"/>
      <c r="M32" s="344" t="s">
        <v>2853</v>
      </c>
      <c r="N32" s="344" t="s">
        <v>2088</v>
      </c>
      <c r="O32" s="339">
        <v>43172</v>
      </c>
      <c r="P32" s="353" t="s">
        <v>3061</v>
      </c>
      <c r="Q32" s="344" t="s">
        <v>2829</v>
      </c>
      <c r="R32" s="354" t="s">
        <v>2088</v>
      </c>
      <c r="S32" s="354">
        <f t="shared" si="0"/>
        <v>7</v>
      </c>
    </row>
    <row r="33" spans="1:19" ht="25.35" customHeight="1" x14ac:dyDescent="0.2">
      <c r="A33" s="340" t="s">
        <v>4215</v>
      </c>
      <c r="B33" s="345">
        <v>43172</v>
      </c>
      <c r="C33" s="341" t="s">
        <v>4216</v>
      </c>
      <c r="D33" s="341" t="s">
        <v>4217</v>
      </c>
      <c r="E33" s="342" t="s">
        <v>4111</v>
      </c>
      <c r="F33" s="342">
        <v>1</v>
      </c>
      <c r="G33" s="342" t="s">
        <v>2828</v>
      </c>
      <c r="H33" s="342" t="s">
        <v>3975</v>
      </c>
      <c r="I33" s="342" t="s">
        <v>3211</v>
      </c>
      <c r="J33" s="345">
        <v>43204</v>
      </c>
      <c r="K33" s="345"/>
      <c r="L33" s="345"/>
      <c r="M33" s="342" t="s">
        <v>2853</v>
      </c>
      <c r="N33" s="342" t="s">
        <v>2912</v>
      </c>
      <c r="O33" s="345">
        <v>43213</v>
      </c>
      <c r="P33" s="355" t="s">
        <v>3022</v>
      </c>
      <c r="Q33" s="342" t="s">
        <v>2832</v>
      </c>
      <c r="R33" s="356"/>
      <c r="S33" s="354">
        <f t="shared" si="0"/>
        <v>41</v>
      </c>
    </row>
    <row r="34" spans="1:19" ht="25.35" customHeight="1" x14ac:dyDescent="0.2">
      <c r="A34" s="338" t="s">
        <v>4218</v>
      </c>
      <c r="B34" s="339">
        <v>43174</v>
      </c>
      <c r="C34" s="343" t="s">
        <v>4219</v>
      </c>
      <c r="D34" s="343" t="s">
        <v>4220</v>
      </c>
      <c r="E34" s="344" t="s">
        <v>3969</v>
      </c>
      <c r="F34" s="344">
        <v>1</v>
      </c>
      <c r="G34" s="344" t="s">
        <v>2828</v>
      </c>
      <c r="H34" s="344" t="s">
        <v>4079</v>
      </c>
      <c r="I34" s="344" t="s">
        <v>3926</v>
      </c>
      <c r="J34" s="339">
        <v>43205</v>
      </c>
      <c r="K34" s="339"/>
      <c r="L34" s="339"/>
      <c r="M34" s="344" t="s">
        <v>2853</v>
      </c>
      <c r="N34" s="344" t="s">
        <v>2088</v>
      </c>
      <c r="O34" s="339">
        <v>43174</v>
      </c>
      <c r="P34" s="353" t="s">
        <v>3061</v>
      </c>
      <c r="Q34" s="344" t="s">
        <v>2829</v>
      </c>
      <c r="R34" s="354"/>
      <c r="S34" s="354">
        <f t="shared" si="0"/>
        <v>0</v>
      </c>
    </row>
    <row r="35" spans="1:19" ht="25.35" customHeight="1" x14ac:dyDescent="0.2">
      <c r="A35" s="340" t="s">
        <v>4221</v>
      </c>
      <c r="B35" s="345">
        <v>43182</v>
      </c>
      <c r="C35" s="341" t="s">
        <v>4222</v>
      </c>
      <c r="D35" s="341" t="s">
        <v>4223</v>
      </c>
      <c r="E35" s="342" t="s">
        <v>4174</v>
      </c>
      <c r="F35" s="342">
        <v>1</v>
      </c>
      <c r="G35" s="342" t="s">
        <v>2828</v>
      </c>
      <c r="H35" s="342" t="s">
        <v>615</v>
      </c>
      <c r="I35" s="342" t="s">
        <v>3926</v>
      </c>
      <c r="J35" s="345">
        <v>43213</v>
      </c>
      <c r="K35" s="345"/>
      <c r="L35" s="345"/>
      <c r="M35" s="342" t="s">
        <v>2853</v>
      </c>
      <c r="N35" s="342" t="s">
        <v>2088</v>
      </c>
      <c r="O35" s="345">
        <v>43194</v>
      </c>
      <c r="P35" s="355" t="s">
        <v>3061</v>
      </c>
      <c r="Q35" s="342" t="s">
        <v>2829</v>
      </c>
      <c r="R35" s="356" t="s">
        <v>2088</v>
      </c>
      <c r="S35" s="354">
        <f t="shared" si="0"/>
        <v>12</v>
      </c>
    </row>
    <row r="36" spans="1:19" ht="25.35" customHeight="1" x14ac:dyDescent="0.2">
      <c r="A36" s="338" t="s">
        <v>4226</v>
      </c>
      <c r="B36" s="339">
        <v>43188</v>
      </c>
      <c r="C36" s="343" t="s">
        <v>4227</v>
      </c>
      <c r="D36" s="343" t="s">
        <v>4228</v>
      </c>
      <c r="E36" s="344" t="s">
        <v>3825</v>
      </c>
      <c r="F36" s="344">
        <v>1</v>
      </c>
      <c r="G36" s="344" t="s">
        <v>2828</v>
      </c>
      <c r="H36" s="344" t="s">
        <v>2058</v>
      </c>
      <c r="I36" s="344" t="s">
        <v>3211</v>
      </c>
      <c r="J36" s="339">
        <v>43219</v>
      </c>
      <c r="K36" s="339"/>
      <c r="L36" s="339"/>
      <c r="M36" s="344" t="s">
        <v>2853</v>
      </c>
      <c r="N36" s="344" t="s">
        <v>2088</v>
      </c>
      <c r="O36" s="339">
        <v>43188</v>
      </c>
      <c r="P36" s="353" t="s">
        <v>3061</v>
      </c>
      <c r="Q36" s="344" t="s">
        <v>2829</v>
      </c>
      <c r="R36" s="354"/>
      <c r="S36" s="354">
        <f t="shared" si="0"/>
        <v>0</v>
      </c>
    </row>
    <row r="37" spans="1:19" ht="25.35" customHeight="1" x14ac:dyDescent="0.2">
      <c r="A37" s="340" t="s">
        <v>4229</v>
      </c>
      <c r="B37" s="345">
        <v>43188</v>
      </c>
      <c r="C37" s="341" t="s">
        <v>4231</v>
      </c>
      <c r="D37" s="341" t="s">
        <v>4230</v>
      </c>
      <c r="E37" s="342" t="s">
        <v>4208</v>
      </c>
      <c r="F37" s="342">
        <v>1</v>
      </c>
      <c r="G37" s="342" t="s">
        <v>2828</v>
      </c>
      <c r="H37" s="342" t="s">
        <v>4232</v>
      </c>
      <c r="I37" s="342" t="s">
        <v>3211</v>
      </c>
      <c r="J37" s="345">
        <v>43219</v>
      </c>
      <c r="K37" s="345"/>
      <c r="L37" s="345"/>
      <c r="M37" s="342" t="s">
        <v>2853</v>
      </c>
      <c r="N37" s="342" t="s">
        <v>3022</v>
      </c>
      <c r="O37" s="345">
        <v>43227</v>
      </c>
      <c r="P37" s="355" t="s">
        <v>3022</v>
      </c>
      <c r="Q37" s="342" t="s">
        <v>2832</v>
      </c>
      <c r="R37" s="356"/>
      <c r="S37" s="354">
        <f t="shared" si="0"/>
        <v>39</v>
      </c>
    </row>
    <row r="38" spans="1:19" ht="25.35" customHeight="1" x14ac:dyDescent="0.2">
      <c r="A38" s="338" t="s">
        <v>4233</v>
      </c>
      <c r="B38" s="339">
        <v>43188</v>
      </c>
      <c r="C38" s="343" t="s">
        <v>4234</v>
      </c>
      <c r="D38" s="343" t="s">
        <v>4235</v>
      </c>
      <c r="E38" s="344" t="s">
        <v>3084</v>
      </c>
      <c r="F38" s="344">
        <v>1</v>
      </c>
      <c r="G38" s="344" t="s">
        <v>2828</v>
      </c>
      <c r="H38" s="344" t="s">
        <v>4079</v>
      </c>
      <c r="I38" s="344" t="s">
        <v>3926</v>
      </c>
      <c r="J38" s="339">
        <v>43219</v>
      </c>
      <c r="K38" s="339"/>
      <c r="L38" s="339"/>
      <c r="M38" s="344" t="s">
        <v>2853</v>
      </c>
      <c r="N38" s="344" t="s">
        <v>3022</v>
      </c>
      <c r="O38" s="339">
        <v>43258</v>
      </c>
      <c r="P38" s="353" t="s">
        <v>3022</v>
      </c>
      <c r="Q38" s="344" t="s">
        <v>2832</v>
      </c>
      <c r="R38" s="354"/>
      <c r="S38" s="354">
        <f t="shared" si="0"/>
        <v>70</v>
      </c>
    </row>
    <row r="39" spans="1:19" ht="25.35" customHeight="1" x14ac:dyDescent="0.2">
      <c r="A39" s="340" t="s">
        <v>4236</v>
      </c>
      <c r="B39" s="345">
        <v>43194</v>
      </c>
      <c r="C39" s="341" t="s">
        <v>4237</v>
      </c>
      <c r="D39" s="341" t="s">
        <v>4238</v>
      </c>
      <c r="E39" s="342" t="s">
        <v>3084</v>
      </c>
      <c r="F39" s="342">
        <v>1</v>
      </c>
      <c r="G39" s="342" t="s">
        <v>2828</v>
      </c>
      <c r="H39" s="342" t="s">
        <v>4079</v>
      </c>
      <c r="I39" s="342" t="s">
        <v>3211</v>
      </c>
      <c r="J39" s="345">
        <v>43196</v>
      </c>
      <c r="K39" s="345"/>
      <c r="L39" s="345"/>
      <c r="M39" s="342" t="s">
        <v>2853</v>
      </c>
      <c r="N39" s="342" t="s">
        <v>2088</v>
      </c>
      <c r="O39" s="345">
        <v>43196</v>
      </c>
      <c r="P39" s="355" t="s">
        <v>3061</v>
      </c>
      <c r="Q39" s="342" t="s">
        <v>2829</v>
      </c>
      <c r="R39" s="356"/>
      <c r="S39" s="354">
        <f t="shared" si="0"/>
        <v>2</v>
      </c>
    </row>
    <row r="40" spans="1:19" ht="25.35" customHeight="1" x14ac:dyDescent="0.2">
      <c r="A40" s="338" t="s">
        <v>4239</v>
      </c>
      <c r="B40" s="339">
        <v>43195</v>
      </c>
      <c r="C40" s="343" t="s">
        <v>4240</v>
      </c>
      <c r="D40" s="343" t="s">
        <v>4241</v>
      </c>
      <c r="E40" s="344" t="s">
        <v>4242</v>
      </c>
      <c r="F40" s="344">
        <v>1</v>
      </c>
      <c r="G40" s="344" t="s">
        <v>2828</v>
      </c>
      <c r="H40" s="344" t="s">
        <v>2106</v>
      </c>
      <c r="I40" s="344" t="s">
        <v>3211</v>
      </c>
      <c r="J40" s="339">
        <v>43225</v>
      </c>
      <c r="K40" s="339"/>
      <c r="L40" s="339"/>
      <c r="M40" s="344" t="s">
        <v>1056</v>
      </c>
      <c r="N40" s="344"/>
      <c r="O40" s="339"/>
      <c r="P40" s="353"/>
      <c r="Q40" s="344"/>
      <c r="R40" s="354" t="s">
        <v>6029</v>
      </c>
      <c r="S40" s="354">
        <f t="shared" si="0"/>
        <v>-43195</v>
      </c>
    </row>
    <row r="41" spans="1:19" ht="25.35" customHeight="1" x14ac:dyDescent="0.2">
      <c r="A41" s="340" t="s">
        <v>4243</v>
      </c>
      <c r="B41" s="345">
        <v>43196</v>
      </c>
      <c r="C41" s="341" t="s">
        <v>4245</v>
      </c>
      <c r="D41" s="341" t="s">
        <v>4244</v>
      </c>
      <c r="E41" s="342" t="s">
        <v>2971</v>
      </c>
      <c r="F41" s="342">
        <v>1</v>
      </c>
      <c r="G41" s="342" t="s">
        <v>2838</v>
      </c>
      <c r="H41" s="342" t="s">
        <v>1123</v>
      </c>
      <c r="I41" s="342" t="s">
        <v>229</v>
      </c>
      <c r="J41" s="345">
        <v>43199</v>
      </c>
      <c r="K41" s="345"/>
      <c r="L41" s="345"/>
      <c r="M41" s="342" t="s">
        <v>2853</v>
      </c>
      <c r="N41" s="342" t="s">
        <v>2088</v>
      </c>
      <c r="O41" s="345">
        <v>43199</v>
      </c>
      <c r="P41" s="355" t="s">
        <v>3061</v>
      </c>
      <c r="Q41" s="342" t="s">
        <v>2829</v>
      </c>
      <c r="R41" s="356"/>
      <c r="S41" s="354">
        <f t="shared" si="0"/>
        <v>3</v>
      </c>
    </row>
    <row r="42" spans="1:19" ht="25.35" customHeight="1" x14ac:dyDescent="0.2">
      <c r="A42" s="338" t="s">
        <v>4246</v>
      </c>
      <c r="B42" s="339">
        <v>43196</v>
      </c>
      <c r="C42" s="343" t="s">
        <v>4247</v>
      </c>
      <c r="D42" s="343" t="s">
        <v>4048</v>
      </c>
      <c r="E42" s="344" t="s">
        <v>2971</v>
      </c>
      <c r="F42" s="344">
        <v>1</v>
      </c>
      <c r="G42" s="344" t="s">
        <v>2841</v>
      </c>
      <c r="H42" s="344" t="s">
        <v>229</v>
      </c>
      <c r="I42" s="344" t="s">
        <v>229</v>
      </c>
      <c r="J42" s="339">
        <v>43220</v>
      </c>
      <c r="K42" s="339"/>
      <c r="L42" s="339"/>
      <c r="M42" s="344" t="s">
        <v>2853</v>
      </c>
      <c r="N42" s="344" t="s">
        <v>3022</v>
      </c>
      <c r="O42" s="339">
        <v>43235</v>
      </c>
      <c r="P42" s="353" t="s">
        <v>3022</v>
      </c>
      <c r="Q42" s="344" t="s">
        <v>2832</v>
      </c>
      <c r="R42" s="354"/>
      <c r="S42" s="354">
        <f t="shared" si="0"/>
        <v>39</v>
      </c>
    </row>
    <row r="43" spans="1:19" ht="25.35" customHeight="1" x14ac:dyDescent="0.2">
      <c r="A43" s="340" t="s">
        <v>4248</v>
      </c>
      <c r="B43" s="345">
        <v>43200</v>
      </c>
      <c r="C43" s="341" t="s">
        <v>4249</v>
      </c>
      <c r="D43" s="341" t="s">
        <v>4250</v>
      </c>
      <c r="E43" s="342" t="s">
        <v>2971</v>
      </c>
      <c r="F43" s="342">
        <v>1</v>
      </c>
      <c r="G43" s="342" t="s">
        <v>4251</v>
      </c>
      <c r="H43" s="342" t="s">
        <v>3645</v>
      </c>
      <c r="I43" s="342" t="s">
        <v>229</v>
      </c>
      <c r="J43" s="345">
        <v>43554</v>
      </c>
      <c r="K43" s="345"/>
      <c r="L43" s="345"/>
      <c r="M43" s="342" t="s">
        <v>2853</v>
      </c>
      <c r="N43" s="342" t="s">
        <v>4982</v>
      </c>
      <c r="O43" s="345">
        <v>43633</v>
      </c>
      <c r="P43" s="355" t="s">
        <v>3022</v>
      </c>
      <c r="Q43" s="342" t="s">
        <v>2835</v>
      </c>
      <c r="R43" s="352" t="s">
        <v>4983</v>
      </c>
      <c r="S43" s="354">
        <f t="shared" si="0"/>
        <v>433</v>
      </c>
    </row>
    <row r="44" spans="1:19" ht="25.35" customHeight="1" x14ac:dyDescent="0.2">
      <c r="A44" s="338" t="s">
        <v>4252</v>
      </c>
      <c r="B44" s="339">
        <v>43201</v>
      </c>
      <c r="C44" s="343" t="s">
        <v>4275</v>
      </c>
      <c r="D44" s="343" t="s">
        <v>4276</v>
      </c>
      <c r="E44" s="344" t="s">
        <v>3586</v>
      </c>
      <c r="F44" s="344">
        <v>2</v>
      </c>
      <c r="G44" s="344" t="s">
        <v>2828</v>
      </c>
      <c r="H44" s="344" t="s">
        <v>3423</v>
      </c>
      <c r="I44" s="344" t="s">
        <v>3926</v>
      </c>
      <c r="J44" s="339">
        <v>43231</v>
      </c>
      <c r="K44" s="339"/>
      <c r="L44" s="339"/>
      <c r="M44" s="344" t="s">
        <v>2853</v>
      </c>
      <c r="N44" s="344" t="s">
        <v>3022</v>
      </c>
      <c r="O44" s="339">
        <v>43270</v>
      </c>
      <c r="P44" s="353" t="s">
        <v>3022</v>
      </c>
      <c r="Q44" s="344" t="s">
        <v>2832</v>
      </c>
      <c r="R44" s="354"/>
      <c r="S44" s="354">
        <f t="shared" si="0"/>
        <v>69</v>
      </c>
    </row>
    <row r="45" spans="1:19" ht="25.35" customHeight="1" x14ac:dyDescent="0.2">
      <c r="A45" s="340" t="s">
        <v>4253</v>
      </c>
      <c r="B45" s="345">
        <v>43201</v>
      </c>
      <c r="C45" s="341" t="s">
        <v>4254</v>
      </c>
      <c r="D45" s="341" t="s">
        <v>4255</v>
      </c>
      <c r="E45" s="342" t="s">
        <v>4256</v>
      </c>
      <c r="F45" s="342">
        <v>1</v>
      </c>
      <c r="G45" s="342" t="s">
        <v>2828</v>
      </c>
      <c r="H45" s="342" t="s">
        <v>615</v>
      </c>
      <c r="I45" s="342" t="s">
        <v>3926</v>
      </c>
      <c r="J45" s="345">
        <v>43231</v>
      </c>
      <c r="K45" s="345"/>
      <c r="L45" s="345"/>
      <c r="M45" s="342" t="s">
        <v>2853</v>
      </c>
      <c r="N45" s="342" t="s">
        <v>2088</v>
      </c>
      <c r="O45" s="345">
        <v>43206</v>
      </c>
      <c r="P45" s="355" t="s">
        <v>3061</v>
      </c>
      <c r="Q45" s="342" t="s">
        <v>2829</v>
      </c>
      <c r="R45" s="356" t="s">
        <v>2088</v>
      </c>
      <c r="S45" s="354">
        <f t="shared" si="0"/>
        <v>5</v>
      </c>
    </row>
    <row r="46" spans="1:19" ht="25.35" customHeight="1" x14ac:dyDescent="0.2">
      <c r="A46" s="338" t="s">
        <v>4257</v>
      </c>
      <c r="B46" s="339">
        <v>43202</v>
      </c>
      <c r="C46" s="343" t="s">
        <v>4258</v>
      </c>
      <c r="D46" s="343" t="s">
        <v>4259</v>
      </c>
      <c r="E46" s="344" t="s">
        <v>4260</v>
      </c>
      <c r="F46" s="344">
        <v>1</v>
      </c>
      <c r="G46" s="344" t="s">
        <v>2836</v>
      </c>
      <c r="H46" s="344" t="s">
        <v>685</v>
      </c>
      <c r="I46" s="344" t="s">
        <v>4261</v>
      </c>
      <c r="J46" s="339">
        <v>43220</v>
      </c>
      <c r="K46" s="339"/>
      <c r="L46" s="339"/>
      <c r="M46" s="344" t="s">
        <v>5969</v>
      </c>
      <c r="N46" s="344"/>
      <c r="O46" s="339">
        <v>43202</v>
      </c>
      <c r="P46" s="353" t="s">
        <v>3061</v>
      </c>
      <c r="Q46" s="344" t="s">
        <v>4987</v>
      </c>
      <c r="R46" s="354" t="s">
        <v>5970</v>
      </c>
      <c r="S46" s="354">
        <f t="shared" si="0"/>
        <v>0</v>
      </c>
    </row>
    <row r="47" spans="1:19" ht="25.35" customHeight="1" x14ac:dyDescent="0.2">
      <c r="A47" s="340" t="s">
        <v>4262</v>
      </c>
      <c r="B47" s="345">
        <v>43203</v>
      </c>
      <c r="C47" s="341" t="s">
        <v>4263</v>
      </c>
      <c r="D47" s="341" t="s">
        <v>4264</v>
      </c>
      <c r="E47" s="342" t="s">
        <v>3532</v>
      </c>
      <c r="F47" s="342">
        <v>1</v>
      </c>
      <c r="G47" s="342" t="s">
        <v>2828</v>
      </c>
      <c r="H47" s="342" t="s">
        <v>3975</v>
      </c>
      <c r="I47" s="342" t="s">
        <v>3926</v>
      </c>
      <c r="J47" s="345">
        <v>43233</v>
      </c>
      <c r="K47" s="345"/>
      <c r="L47" s="345"/>
      <c r="M47" s="342" t="s">
        <v>2853</v>
      </c>
      <c r="N47" s="342" t="s">
        <v>2088</v>
      </c>
      <c r="O47" s="345">
        <v>43209</v>
      </c>
      <c r="P47" s="355" t="s">
        <v>3061</v>
      </c>
      <c r="Q47" s="342" t="s">
        <v>2829</v>
      </c>
      <c r="R47" s="356"/>
      <c r="S47" s="354">
        <f t="shared" si="0"/>
        <v>6</v>
      </c>
    </row>
    <row r="48" spans="1:19" ht="25.35" customHeight="1" x14ac:dyDescent="0.2">
      <c r="A48" s="338" t="s">
        <v>4265</v>
      </c>
      <c r="B48" s="339">
        <v>43203</v>
      </c>
      <c r="C48" s="343" t="s">
        <v>4266</v>
      </c>
      <c r="D48" s="343" t="s">
        <v>4267</v>
      </c>
      <c r="E48" s="344" t="s">
        <v>3519</v>
      </c>
      <c r="F48" s="344">
        <v>1</v>
      </c>
      <c r="G48" s="344" t="s">
        <v>4271</v>
      </c>
      <c r="H48" s="344" t="s">
        <v>486</v>
      </c>
      <c r="I48" s="344" t="s">
        <v>229</v>
      </c>
      <c r="J48" s="339">
        <v>43210</v>
      </c>
      <c r="K48" s="339"/>
      <c r="L48" s="339"/>
      <c r="M48" s="344" t="s">
        <v>2853</v>
      </c>
      <c r="N48" s="344" t="s">
        <v>2088</v>
      </c>
      <c r="O48" s="339">
        <v>43206</v>
      </c>
      <c r="P48" s="353" t="s">
        <v>3061</v>
      </c>
      <c r="Q48" s="344" t="s">
        <v>2829</v>
      </c>
      <c r="R48" s="354"/>
      <c r="S48" s="354">
        <f t="shared" si="0"/>
        <v>3</v>
      </c>
    </row>
    <row r="49" spans="1:19" ht="25.35" customHeight="1" x14ac:dyDescent="0.2">
      <c r="A49" s="340" t="s">
        <v>4268</v>
      </c>
      <c r="B49" s="345">
        <v>43206</v>
      </c>
      <c r="C49" s="341" t="s">
        <v>4269</v>
      </c>
      <c r="D49" s="341" t="s">
        <v>4270</v>
      </c>
      <c r="E49" s="342" t="s">
        <v>2971</v>
      </c>
      <c r="F49" s="342">
        <v>1</v>
      </c>
      <c r="G49" s="342" t="s">
        <v>2841</v>
      </c>
      <c r="H49" s="342" t="s">
        <v>3842</v>
      </c>
      <c r="I49" s="342" t="s">
        <v>3211</v>
      </c>
      <c r="J49" s="345">
        <v>43677</v>
      </c>
      <c r="K49" s="345"/>
      <c r="L49" s="345"/>
      <c r="M49" s="342" t="s">
        <v>2853</v>
      </c>
      <c r="N49" s="342" t="s">
        <v>2088</v>
      </c>
      <c r="O49" s="345">
        <v>43452</v>
      </c>
      <c r="P49" s="355" t="s">
        <v>3061</v>
      </c>
      <c r="Q49" s="342" t="s">
        <v>2837</v>
      </c>
      <c r="R49" s="356"/>
      <c r="S49" s="354">
        <f t="shared" si="0"/>
        <v>246</v>
      </c>
    </row>
    <row r="50" spans="1:19" ht="25.35" customHeight="1" x14ac:dyDescent="0.2">
      <c r="A50" s="338" t="s">
        <v>4272</v>
      </c>
      <c r="B50" s="339">
        <v>43208</v>
      </c>
      <c r="C50" s="343" t="s">
        <v>4273</v>
      </c>
      <c r="D50" s="343" t="s">
        <v>4274</v>
      </c>
      <c r="E50" s="344" t="s">
        <v>3825</v>
      </c>
      <c r="F50" s="344">
        <v>1</v>
      </c>
      <c r="G50" s="344" t="s">
        <v>2828</v>
      </c>
      <c r="H50" s="344" t="s">
        <v>2058</v>
      </c>
      <c r="I50" s="344" t="s">
        <v>3926</v>
      </c>
      <c r="J50" s="339">
        <v>43280</v>
      </c>
      <c r="K50" s="339"/>
      <c r="L50" s="339"/>
      <c r="M50" s="344" t="s">
        <v>2853</v>
      </c>
      <c r="N50" s="344" t="s">
        <v>2088</v>
      </c>
      <c r="O50" s="339">
        <v>43381</v>
      </c>
      <c r="P50" s="353" t="s">
        <v>3022</v>
      </c>
      <c r="Q50" s="344" t="s">
        <v>2835</v>
      </c>
      <c r="R50" s="354"/>
      <c r="S50" s="354">
        <f t="shared" si="0"/>
        <v>173</v>
      </c>
    </row>
    <row r="51" spans="1:19" ht="25.35" customHeight="1" x14ac:dyDescent="0.2">
      <c r="A51" s="340" t="s">
        <v>4277</v>
      </c>
      <c r="B51" s="345">
        <v>43208</v>
      </c>
      <c r="C51" s="341" t="s">
        <v>4278</v>
      </c>
      <c r="D51" s="341" t="s">
        <v>4279</v>
      </c>
      <c r="E51" s="342" t="s">
        <v>4208</v>
      </c>
      <c r="F51" s="342">
        <v>1</v>
      </c>
      <c r="G51" s="342" t="s">
        <v>2838</v>
      </c>
      <c r="H51" s="342" t="s">
        <v>685</v>
      </c>
      <c r="I51" s="342" t="s">
        <v>229</v>
      </c>
      <c r="J51" s="345">
        <v>43251</v>
      </c>
      <c r="K51" s="345"/>
      <c r="L51" s="345"/>
      <c r="M51" s="342" t="s">
        <v>2853</v>
      </c>
      <c r="N51" s="342" t="s">
        <v>3022</v>
      </c>
      <c r="O51" s="345">
        <v>43287</v>
      </c>
      <c r="P51" s="355" t="s">
        <v>3022</v>
      </c>
      <c r="Q51" s="342" t="s">
        <v>2832</v>
      </c>
      <c r="R51" s="356"/>
      <c r="S51" s="354">
        <f t="shared" si="0"/>
        <v>79</v>
      </c>
    </row>
    <row r="52" spans="1:19" ht="25.35" customHeight="1" x14ac:dyDescent="0.2">
      <c r="A52" s="338" t="s">
        <v>4280</v>
      </c>
      <c r="B52" s="339">
        <v>43208</v>
      </c>
      <c r="C52" s="343" t="s">
        <v>4281</v>
      </c>
      <c r="D52" s="343" t="s">
        <v>4282</v>
      </c>
      <c r="E52" s="344" t="s">
        <v>3323</v>
      </c>
      <c r="F52" s="344">
        <v>1</v>
      </c>
      <c r="G52" s="344" t="s">
        <v>2828</v>
      </c>
      <c r="H52" s="344" t="s">
        <v>3729</v>
      </c>
      <c r="I52" s="344" t="s">
        <v>3211</v>
      </c>
      <c r="J52" s="339">
        <v>43238</v>
      </c>
      <c r="K52" s="339"/>
      <c r="L52" s="339"/>
      <c r="M52" s="344" t="s">
        <v>2853</v>
      </c>
      <c r="N52" s="344" t="s">
        <v>2088</v>
      </c>
      <c r="O52" s="339">
        <v>43209</v>
      </c>
      <c r="P52" s="353" t="s">
        <v>3061</v>
      </c>
      <c r="Q52" s="344" t="s">
        <v>2829</v>
      </c>
      <c r="R52" s="354" t="s">
        <v>2088</v>
      </c>
      <c r="S52" s="354">
        <f t="shared" si="0"/>
        <v>1</v>
      </c>
    </row>
    <row r="53" spans="1:19" ht="25.35" customHeight="1" x14ac:dyDescent="0.2">
      <c r="A53" s="340" t="s">
        <v>4283</v>
      </c>
      <c r="B53" s="345">
        <v>43208</v>
      </c>
      <c r="C53" s="341" t="s">
        <v>4284</v>
      </c>
      <c r="D53" s="341" t="s">
        <v>4285</v>
      </c>
      <c r="E53" s="342" t="s">
        <v>4260</v>
      </c>
      <c r="F53" s="342">
        <v>2</v>
      </c>
      <c r="G53" s="342" t="s">
        <v>2828</v>
      </c>
      <c r="H53" s="342" t="s">
        <v>615</v>
      </c>
      <c r="I53" s="342" t="s">
        <v>3211</v>
      </c>
      <c r="J53" s="345">
        <v>43209</v>
      </c>
      <c r="K53" s="345"/>
      <c r="L53" s="345"/>
      <c r="M53" s="342" t="s">
        <v>2853</v>
      </c>
      <c r="N53" s="342" t="s">
        <v>2912</v>
      </c>
      <c r="O53" s="345">
        <v>43210</v>
      </c>
      <c r="P53" s="355" t="s">
        <v>3022</v>
      </c>
      <c r="Q53" s="342" t="s">
        <v>2829</v>
      </c>
      <c r="R53" s="356"/>
      <c r="S53" s="354">
        <f t="shared" si="0"/>
        <v>2</v>
      </c>
    </row>
    <row r="54" spans="1:19" ht="25.35" customHeight="1" x14ac:dyDescent="0.2">
      <c r="A54" s="338" t="s">
        <v>4286</v>
      </c>
      <c r="B54" s="339">
        <v>43210</v>
      </c>
      <c r="C54" s="343" t="s">
        <v>4287</v>
      </c>
      <c r="D54" s="343" t="s">
        <v>4288</v>
      </c>
      <c r="E54" s="344" t="s">
        <v>2869</v>
      </c>
      <c r="F54" s="344">
        <v>1</v>
      </c>
      <c r="G54" s="344" t="s">
        <v>2828</v>
      </c>
      <c r="H54" s="344" t="s">
        <v>4232</v>
      </c>
      <c r="I54" s="344" t="s">
        <v>3926</v>
      </c>
      <c r="J54" s="339">
        <v>43301</v>
      </c>
      <c r="K54" s="339"/>
      <c r="L54" s="339"/>
      <c r="M54" s="344" t="s">
        <v>2853</v>
      </c>
      <c r="N54" s="344" t="s">
        <v>2088</v>
      </c>
      <c r="O54" s="339">
        <v>43291</v>
      </c>
      <c r="P54" s="353" t="s">
        <v>3061</v>
      </c>
      <c r="Q54" s="344" t="s">
        <v>4393</v>
      </c>
      <c r="R54" s="354" t="s">
        <v>2088</v>
      </c>
      <c r="S54" s="354">
        <f t="shared" si="0"/>
        <v>81</v>
      </c>
    </row>
    <row r="55" spans="1:19" ht="25.35" customHeight="1" x14ac:dyDescent="0.2">
      <c r="A55" s="340" t="s">
        <v>4289</v>
      </c>
      <c r="B55" s="345">
        <v>43216</v>
      </c>
      <c r="C55" s="341" t="s">
        <v>4290</v>
      </c>
      <c r="D55" s="341" t="s">
        <v>3307</v>
      </c>
      <c r="E55" s="342" t="s">
        <v>2971</v>
      </c>
      <c r="F55" s="342">
        <v>1</v>
      </c>
      <c r="G55" s="342" t="s">
        <v>2841</v>
      </c>
      <c r="H55" s="342" t="s">
        <v>3991</v>
      </c>
      <c r="I55" s="342" t="s">
        <v>229</v>
      </c>
      <c r="J55" s="345">
        <v>43220</v>
      </c>
      <c r="K55" s="345"/>
      <c r="L55" s="345"/>
      <c r="M55" s="342" t="s">
        <v>2853</v>
      </c>
      <c r="N55" s="342" t="s">
        <v>2088</v>
      </c>
      <c r="O55" s="345">
        <v>43220</v>
      </c>
      <c r="P55" s="355" t="s">
        <v>3061</v>
      </c>
      <c r="Q55" s="342" t="s">
        <v>2829</v>
      </c>
      <c r="R55" s="356"/>
      <c r="S55" s="354">
        <f t="shared" si="0"/>
        <v>4</v>
      </c>
    </row>
    <row r="56" spans="1:19" ht="25.35" customHeight="1" x14ac:dyDescent="0.2">
      <c r="A56" s="338" t="s">
        <v>4291</v>
      </c>
      <c r="B56" s="339">
        <v>43217</v>
      </c>
      <c r="C56" s="343" t="s">
        <v>4292</v>
      </c>
      <c r="D56" s="343" t="s">
        <v>4293</v>
      </c>
      <c r="E56" s="344" t="s">
        <v>3586</v>
      </c>
      <c r="F56" s="344">
        <v>1</v>
      </c>
      <c r="G56" s="344" t="s">
        <v>2828</v>
      </c>
      <c r="H56" s="344" t="s">
        <v>2106</v>
      </c>
      <c r="I56" s="344" t="s">
        <v>3211</v>
      </c>
      <c r="J56" s="339">
        <v>43251</v>
      </c>
      <c r="K56" s="339"/>
      <c r="L56" s="339"/>
      <c r="M56" s="344" t="s">
        <v>2853</v>
      </c>
      <c r="N56" s="344" t="s">
        <v>2088</v>
      </c>
      <c r="O56" s="339">
        <v>43221</v>
      </c>
      <c r="P56" s="353" t="s">
        <v>3061</v>
      </c>
      <c r="Q56" s="344" t="s">
        <v>2829</v>
      </c>
      <c r="R56" s="354"/>
      <c r="S56" s="354">
        <f t="shared" si="0"/>
        <v>4</v>
      </c>
    </row>
    <row r="57" spans="1:19" ht="25.35" customHeight="1" x14ac:dyDescent="0.2">
      <c r="A57" s="340" t="s">
        <v>4294</v>
      </c>
      <c r="B57" s="345">
        <v>43217</v>
      </c>
      <c r="C57" s="341" t="s">
        <v>4295</v>
      </c>
      <c r="D57" s="341" t="s">
        <v>4296</v>
      </c>
      <c r="E57" s="342" t="s">
        <v>3825</v>
      </c>
      <c r="F57" s="342">
        <v>1</v>
      </c>
      <c r="G57" s="342" t="s">
        <v>2828</v>
      </c>
      <c r="H57" s="342" t="s">
        <v>3747</v>
      </c>
      <c r="I57" s="342" t="s">
        <v>3645</v>
      </c>
      <c r="J57" s="345">
        <v>43224</v>
      </c>
      <c r="K57" s="345"/>
      <c r="L57" s="345"/>
      <c r="M57" s="342" t="s">
        <v>2853</v>
      </c>
      <c r="N57" s="342" t="s">
        <v>2088</v>
      </c>
      <c r="O57" s="345">
        <v>43220</v>
      </c>
      <c r="P57" s="355" t="s">
        <v>3061</v>
      </c>
      <c r="Q57" s="342" t="s">
        <v>2829</v>
      </c>
      <c r="R57" s="356"/>
      <c r="S57" s="354">
        <f t="shared" si="0"/>
        <v>3</v>
      </c>
    </row>
    <row r="58" spans="1:19" ht="25.35" customHeight="1" x14ac:dyDescent="0.2">
      <c r="A58" s="338" t="s">
        <v>4297</v>
      </c>
      <c r="B58" s="339">
        <v>43217</v>
      </c>
      <c r="C58" s="343" t="s">
        <v>4298</v>
      </c>
      <c r="D58" s="343" t="s">
        <v>4299</v>
      </c>
      <c r="E58" s="344" t="s">
        <v>4208</v>
      </c>
      <c r="F58" s="344">
        <v>1</v>
      </c>
      <c r="G58" s="344" t="s">
        <v>4300</v>
      </c>
      <c r="H58" s="344" t="s">
        <v>1461</v>
      </c>
      <c r="I58" s="344" t="s">
        <v>229</v>
      </c>
      <c r="J58" s="365" t="s">
        <v>5169</v>
      </c>
      <c r="K58" s="365"/>
      <c r="L58" s="365"/>
      <c r="M58" s="344" t="s">
        <v>2853</v>
      </c>
      <c r="N58" s="344" t="s">
        <v>3061</v>
      </c>
      <c r="O58" s="339">
        <v>43769</v>
      </c>
      <c r="P58" s="353" t="s">
        <v>3022</v>
      </c>
      <c r="Q58" s="344" t="s">
        <v>2839</v>
      </c>
      <c r="R58" s="354"/>
      <c r="S58" s="354">
        <f t="shared" si="0"/>
        <v>552</v>
      </c>
    </row>
    <row r="59" spans="1:19" ht="25.35" customHeight="1" x14ac:dyDescent="0.2">
      <c r="A59" s="340" t="s">
        <v>4301</v>
      </c>
      <c r="B59" s="345">
        <v>43221</v>
      </c>
      <c r="C59" s="341" t="s">
        <v>4302</v>
      </c>
      <c r="D59" s="341" t="s">
        <v>4303</v>
      </c>
      <c r="E59" s="342" t="s">
        <v>3825</v>
      </c>
      <c r="F59" s="342">
        <v>1</v>
      </c>
      <c r="G59" s="342" t="s">
        <v>2828</v>
      </c>
      <c r="H59" s="342" t="s">
        <v>2058</v>
      </c>
      <c r="I59" s="342" t="s">
        <v>3211</v>
      </c>
      <c r="J59" s="345">
        <v>43252</v>
      </c>
      <c r="K59" s="345"/>
      <c r="L59" s="345"/>
      <c r="M59" s="342" t="s">
        <v>2853</v>
      </c>
      <c r="N59" s="342" t="s">
        <v>2088</v>
      </c>
      <c r="O59" s="345">
        <v>43224</v>
      </c>
      <c r="P59" s="355" t="s">
        <v>3061</v>
      </c>
      <c r="Q59" s="342" t="s">
        <v>2829</v>
      </c>
      <c r="R59" s="356"/>
      <c r="S59" s="354">
        <f t="shared" si="0"/>
        <v>3</v>
      </c>
    </row>
    <row r="60" spans="1:19" ht="25.35" customHeight="1" x14ac:dyDescent="0.2">
      <c r="A60" s="338" t="s">
        <v>4305</v>
      </c>
      <c r="B60" s="339">
        <v>43227</v>
      </c>
      <c r="C60" s="343" t="s">
        <v>4307</v>
      </c>
      <c r="D60" s="343" t="s">
        <v>4306</v>
      </c>
      <c r="E60" s="344" t="s">
        <v>2971</v>
      </c>
      <c r="F60" s="344">
        <v>1</v>
      </c>
      <c r="G60" s="344" t="s">
        <v>2838</v>
      </c>
      <c r="H60" s="344" t="s">
        <v>685</v>
      </c>
      <c r="I60" s="344" t="s">
        <v>229</v>
      </c>
      <c r="J60" s="339">
        <v>43251</v>
      </c>
      <c r="K60" s="339"/>
      <c r="L60" s="339"/>
      <c r="M60" s="344" t="s">
        <v>2853</v>
      </c>
      <c r="N60" s="344" t="s">
        <v>3022</v>
      </c>
      <c r="O60" s="339">
        <v>43278</v>
      </c>
      <c r="P60" s="353" t="s">
        <v>3022</v>
      </c>
      <c r="Q60" s="344" t="s">
        <v>2832</v>
      </c>
      <c r="R60" s="354"/>
      <c r="S60" s="354">
        <f t="shared" si="0"/>
        <v>51</v>
      </c>
    </row>
    <row r="61" spans="1:19" ht="25.35" customHeight="1" x14ac:dyDescent="0.2">
      <c r="A61" s="340" t="s">
        <v>4308</v>
      </c>
      <c r="B61" s="345">
        <v>43229</v>
      </c>
      <c r="C61" s="341" t="s">
        <v>4309</v>
      </c>
      <c r="D61" s="341" t="s">
        <v>4310</v>
      </c>
      <c r="E61" s="342" t="s">
        <v>3084</v>
      </c>
      <c r="F61" s="342">
        <v>1</v>
      </c>
      <c r="G61" s="342" t="s">
        <v>2828</v>
      </c>
      <c r="H61" s="342" t="s">
        <v>4079</v>
      </c>
      <c r="I61" s="342" t="s">
        <v>3926</v>
      </c>
      <c r="J61" s="345">
        <v>43321</v>
      </c>
      <c r="K61" s="345"/>
      <c r="L61" s="345"/>
      <c r="M61" s="342" t="s">
        <v>2853</v>
      </c>
      <c r="N61" s="342" t="s">
        <v>3022</v>
      </c>
      <c r="O61" s="345">
        <v>43343</v>
      </c>
      <c r="P61" s="355" t="s">
        <v>3022</v>
      </c>
      <c r="Q61" s="342" t="s">
        <v>2835</v>
      </c>
      <c r="R61" s="356"/>
      <c r="S61" s="354">
        <f t="shared" si="0"/>
        <v>114</v>
      </c>
    </row>
    <row r="62" spans="1:19" ht="25.35" customHeight="1" x14ac:dyDescent="0.2">
      <c r="A62" s="338" t="s">
        <v>4311</v>
      </c>
      <c r="B62" s="339">
        <v>43236</v>
      </c>
      <c r="C62" s="343" t="s">
        <v>4312</v>
      </c>
      <c r="D62" s="343" t="s">
        <v>4313</v>
      </c>
      <c r="E62" s="344" t="s">
        <v>4208</v>
      </c>
      <c r="F62" s="344">
        <v>1</v>
      </c>
      <c r="G62" s="344" t="s">
        <v>2828</v>
      </c>
      <c r="H62" s="344" t="s">
        <v>615</v>
      </c>
      <c r="I62" s="344" t="s">
        <v>3926</v>
      </c>
      <c r="J62" s="339">
        <v>43267</v>
      </c>
      <c r="K62" s="339"/>
      <c r="L62" s="339"/>
      <c r="M62" s="344" t="s">
        <v>2853</v>
      </c>
      <c r="N62" s="344" t="s">
        <v>2088</v>
      </c>
      <c r="O62" s="339">
        <v>43257</v>
      </c>
      <c r="P62" s="353" t="s">
        <v>3061</v>
      </c>
      <c r="Q62" s="344" t="s">
        <v>2829</v>
      </c>
      <c r="R62" s="354"/>
      <c r="S62" s="354">
        <f t="shared" si="0"/>
        <v>21</v>
      </c>
    </row>
    <row r="63" spans="1:19" ht="25.35" customHeight="1" x14ac:dyDescent="0.2">
      <c r="A63" s="340" t="s">
        <v>4314</v>
      </c>
      <c r="B63" s="345">
        <v>43236</v>
      </c>
      <c r="C63" s="341" t="s">
        <v>4317</v>
      </c>
      <c r="D63" s="341" t="s">
        <v>4315</v>
      </c>
      <c r="E63" s="342" t="s">
        <v>4316</v>
      </c>
      <c r="F63" s="342">
        <v>2</v>
      </c>
      <c r="G63" s="342" t="s">
        <v>2828</v>
      </c>
      <c r="H63" s="342" t="s">
        <v>615</v>
      </c>
      <c r="I63" s="342" t="s">
        <v>3211</v>
      </c>
      <c r="J63" s="345">
        <v>43250</v>
      </c>
      <c r="K63" s="345"/>
      <c r="L63" s="345"/>
      <c r="M63" s="342" t="s">
        <v>2853</v>
      </c>
      <c r="N63" s="342" t="s">
        <v>2088</v>
      </c>
      <c r="O63" s="345">
        <v>43237</v>
      </c>
      <c r="P63" s="355" t="s">
        <v>3061</v>
      </c>
      <c r="Q63" s="342" t="s">
        <v>3677</v>
      </c>
      <c r="R63" s="356"/>
      <c r="S63" s="354">
        <f t="shared" si="0"/>
        <v>1</v>
      </c>
    </row>
    <row r="64" spans="1:19" ht="25.35" customHeight="1" x14ac:dyDescent="0.2">
      <c r="A64" s="338" t="s">
        <v>4318</v>
      </c>
      <c r="B64" s="339">
        <v>43236</v>
      </c>
      <c r="C64" s="343" t="s">
        <v>4319</v>
      </c>
      <c r="D64" s="343" t="s">
        <v>4320</v>
      </c>
      <c r="E64" s="344" t="s">
        <v>4260</v>
      </c>
      <c r="F64" s="344">
        <v>1</v>
      </c>
      <c r="G64" s="344" t="s">
        <v>2828</v>
      </c>
      <c r="H64" s="344" t="s">
        <v>4079</v>
      </c>
      <c r="I64" s="344" t="s">
        <v>3926</v>
      </c>
      <c r="J64" s="339">
        <v>43267</v>
      </c>
      <c r="K64" s="339"/>
      <c r="L64" s="339"/>
      <c r="M64" s="344" t="s">
        <v>2853</v>
      </c>
      <c r="N64" s="344" t="s">
        <v>2088</v>
      </c>
      <c r="O64" s="339">
        <v>43237</v>
      </c>
      <c r="P64" s="353" t="s">
        <v>3061</v>
      </c>
      <c r="Q64" s="344" t="s">
        <v>2829</v>
      </c>
      <c r="R64" s="354"/>
      <c r="S64" s="354">
        <f t="shared" si="0"/>
        <v>1</v>
      </c>
    </row>
    <row r="65" spans="1:19" ht="25.35" customHeight="1" x14ac:dyDescent="0.2">
      <c r="A65" s="340" t="s">
        <v>4321</v>
      </c>
      <c r="B65" s="345">
        <v>43237</v>
      </c>
      <c r="C65" s="341" t="s">
        <v>4336</v>
      </c>
      <c r="D65" s="341" t="s">
        <v>4337</v>
      </c>
      <c r="E65" s="342" t="s">
        <v>4316</v>
      </c>
      <c r="F65" s="342">
        <v>1</v>
      </c>
      <c r="G65" s="342" t="s">
        <v>2828</v>
      </c>
      <c r="H65" s="342" t="s">
        <v>4232</v>
      </c>
      <c r="I65" s="342" t="s">
        <v>3211</v>
      </c>
      <c r="J65" s="345">
        <v>43266</v>
      </c>
      <c r="K65" s="345"/>
      <c r="L65" s="345"/>
      <c r="M65" s="342" t="s">
        <v>2853</v>
      </c>
      <c r="N65" s="342" t="s">
        <v>2088</v>
      </c>
      <c r="O65" s="345">
        <v>43243</v>
      </c>
      <c r="P65" s="355" t="s">
        <v>3061</v>
      </c>
      <c r="Q65" s="342" t="s">
        <v>2829</v>
      </c>
      <c r="R65" s="356"/>
      <c r="S65" s="354">
        <f t="shared" si="0"/>
        <v>6</v>
      </c>
    </row>
    <row r="66" spans="1:19" ht="25.35" customHeight="1" x14ac:dyDescent="0.2">
      <c r="A66" s="338" t="s">
        <v>4322</v>
      </c>
      <c r="B66" s="339">
        <v>43241</v>
      </c>
      <c r="C66" s="343" t="s">
        <v>4323</v>
      </c>
      <c r="D66" s="343" t="s">
        <v>4324</v>
      </c>
      <c r="E66" s="344" t="s">
        <v>4316</v>
      </c>
      <c r="F66" s="344">
        <v>1</v>
      </c>
      <c r="G66" s="344" t="s">
        <v>2828</v>
      </c>
      <c r="H66" s="344" t="s">
        <v>4079</v>
      </c>
      <c r="I66" s="344" t="s">
        <v>3926</v>
      </c>
      <c r="J66" s="339">
        <v>43333</v>
      </c>
      <c r="K66" s="339"/>
      <c r="L66" s="339"/>
      <c r="M66" s="344" t="s">
        <v>2853</v>
      </c>
      <c r="N66" s="344" t="s">
        <v>2088</v>
      </c>
      <c r="O66" s="339">
        <v>43283</v>
      </c>
      <c r="P66" s="353" t="s">
        <v>3061</v>
      </c>
      <c r="Q66" s="344" t="s">
        <v>4393</v>
      </c>
      <c r="R66" s="354"/>
      <c r="S66" s="354">
        <f t="shared" si="0"/>
        <v>42</v>
      </c>
    </row>
    <row r="67" spans="1:19" ht="25.35" customHeight="1" x14ac:dyDescent="0.2">
      <c r="A67" s="340" t="s">
        <v>4325</v>
      </c>
      <c r="B67" s="345">
        <v>43243</v>
      </c>
      <c r="C67" s="341" t="s">
        <v>4326</v>
      </c>
      <c r="D67" s="341" t="s">
        <v>4327</v>
      </c>
      <c r="E67" s="342" t="s">
        <v>4256</v>
      </c>
      <c r="F67" s="342">
        <v>1</v>
      </c>
      <c r="G67" s="342" t="s">
        <v>2828</v>
      </c>
      <c r="H67" s="342" t="s">
        <v>2058</v>
      </c>
      <c r="I67" s="342" t="s">
        <v>3211</v>
      </c>
      <c r="J67" s="345">
        <v>43276</v>
      </c>
      <c r="K67" s="345"/>
      <c r="L67" s="345"/>
      <c r="M67" s="342" t="s">
        <v>2853</v>
      </c>
      <c r="N67" s="342" t="s">
        <v>2088</v>
      </c>
      <c r="O67" s="345">
        <v>43243</v>
      </c>
      <c r="P67" s="355" t="s">
        <v>3061</v>
      </c>
      <c r="Q67" s="342" t="s">
        <v>2829</v>
      </c>
      <c r="R67" s="356"/>
      <c r="S67" s="354">
        <f t="shared" ref="S67:S130" si="1">O67-B67</f>
        <v>0</v>
      </c>
    </row>
    <row r="68" spans="1:19" ht="25.35" customHeight="1" x14ac:dyDescent="0.2">
      <c r="A68" s="338" t="s">
        <v>4328</v>
      </c>
      <c r="B68" s="339">
        <v>43245</v>
      </c>
      <c r="C68" s="343" t="s">
        <v>4329</v>
      </c>
      <c r="D68" s="343" t="s">
        <v>3606</v>
      </c>
      <c r="E68" s="344" t="s">
        <v>4256</v>
      </c>
      <c r="F68" s="344">
        <v>1</v>
      </c>
      <c r="G68" s="344" t="s">
        <v>2828</v>
      </c>
      <c r="H68" s="344" t="s">
        <v>615</v>
      </c>
      <c r="I68" s="344" t="s">
        <v>3926</v>
      </c>
      <c r="J68" s="339">
        <v>43266</v>
      </c>
      <c r="K68" s="339"/>
      <c r="L68" s="339"/>
      <c r="M68" s="344" t="s">
        <v>2853</v>
      </c>
      <c r="N68" s="344" t="s">
        <v>2088</v>
      </c>
      <c r="O68" s="339">
        <v>43264</v>
      </c>
      <c r="P68" s="353" t="s">
        <v>3061</v>
      </c>
      <c r="Q68" s="344" t="s">
        <v>2829</v>
      </c>
      <c r="R68" s="354"/>
      <c r="S68" s="354">
        <f t="shared" si="1"/>
        <v>19</v>
      </c>
    </row>
    <row r="69" spans="1:19" ht="25.35" customHeight="1" x14ac:dyDescent="0.2">
      <c r="A69" s="340" t="s">
        <v>4330</v>
      </c>
      <c r="B69" s="345">
        <v>43245</v>
      </c>
      <c r="C69" s="341" t="s">
        <v>4331</v>
      </c>
      <c r="D69" s="341" t="s">
        <v>4332</v>
      </c>
      <c r="E69" s="342" t="s">
        <v>2971</v>
      </c>
      <c r="F69" s="342">
        <v>1</v>
      </c>
      <c r="G69" s="342" t="s">
        <v>2841</v>
      </c>
      <c r="H69" s="342" t="s">
        <v>3926</v>
      </c>
      <c r="I69" s="342" t="s">
        <v>3926</v>
      </c>
      <c r="J69" s="345">
        <v>43276</v>
      </c>
      <c r="K69" s="345"/>
      <c r="L69" s="345"/>
      <c r="M69" s="342" t="s">
        <v>2853</v>
      </c>
      <c r="N69" s="342" t="s">
        <v>2088</v>
      </c>
      <c r="O69" s="345">
        <v>43271</v>
      </c>
      <c r="P69" s="355" t="s">
        <v>3061</v>
      </c>
      <c r="Q69" s="342" t="s">
        <v>2829</v>
      </c>
      <c r="R69" s="356"/>
      <c r="S69" s="354">
        <f t="shared" si="1"/>
        <v>26</v>
      </c>
    </row>
    <row r="70" spans="1:19" ht="25.35" customHeight="1" x14ac:dyDescent="0.2">
      <c r="A70" s="338" t="s">
        <v>4333</v>
      </c>
      <c r="B70" s="339">
        <v>43250</v>
      </c>
      <c r="C70" s="343" t="s">
        <v>4334</v>
      </c>
      <c r="D70" s="343" t="s">
        <v>4335</v>
      </c>
      <c r="E70" s="344" t="s">
        <v>3777</v>
      </c>
      <c r="F70" s="344">
        <v>1</v>
      </c>
      <c r="G70" s="344" t="s">
        <v>2828</v>
      </c>
      <c r="H70" s="344" t="s">
        <v>2058</v>
      </c>
      <c r="I70" s="344" t="s">
        <v>3926</v>
      </c>
      <c r="J70" s="339">
        <v>43280</v>
      </c>
      <c r="K70" s="339"/>
      <c r="L70" s="339"/>
      <c r="M70" s="344" t="s">
        <v>2853</v>
      </c>
      <c r="N70" s="344" t="s">
        <v>2088</v>
      </c>
      <c r="O70" s="339">
        <v>43252</v>
      </c>
      <c r="P70" s="353" t="s">
        <v>3061</v>
      </c>
      <c r="Q70" s="344" t="s">
        <v>2829</v>
      </c>
      <c r="R70" s="354"/>
      <c r="S70" s="354">
        <f t="shared" si="1"/>
        <v>2</v>
      </c>
    </row>
    <row r="71" spans="1:19" ht="25.35" customHeight="1" x14ac:dyDescent="0.2">
      <c r="A71" s="340" t="s">
        <v>4338</v>
      </c>
      <c r="B71" s="345">
        <v>43255</v>
      </c>
      <c r="C71" s="341" t="s">
        <v>4339</v>
      </c>
      <c r="D71" s="341" t="s">
        <v>4030</v>
      </c>
      <c r="E71" s="342" t="s">
        <v>4260</v>
      </c>
      <c r="F71" s="342">
        <v>1</v>
      </c>
      <c r="G71" s="342" t="s">
        <v>2828</v>
      </c>
      <c r="H71" s="342" t="s">
        <v>4232</v>
      </c>
      <c r="I71" s="342" t="s">
        <v>3211</v>
      </c>
      <c r="J71" s="345">
        <v>43294</v>
      </c>
      <c r="K71" s="345"/>
      <c r="L71" s="345"/>
      <c r="M71" s="342" t="s">
        <v>2853</v>
      </c>
      <c r="N71" s="342" t="s">
        <v>2088</v>
      </c>
      <c r="O71" s="345">
        <v>43258</v>
      </c>
      <c r="P71" s="355" t="s">
        <v>3061</v>
      </c>
      <c r="Q71" s="342" t="s">
        <v>3677</v>
      </c>
      <c r="R71" s="356"/>
      <c r="S71" s="354">
        <f t="shared" si="1"/>
        <v>3</v>
      </c>
    </row>
    <row r="72" spans="1:19" ht="25.35" customHeight="1" x14ac:dyDescent="0.2">
      <c r="A72" s="338" t="s">
        <v>4341</v>
      </c>
      <c r="B72" s="339">
        <v>43258</v>
      </c>
      <c r="C72" s="343" t="s">
        <v>4342</v>
      </c>
      <c r="D72" s="343" t="s">
        <v>4343</v>
      </c>
      <c r="E72" s="344" t="s">
        <v>2971</v>
      </c>
      <c r="F72" s="344">
        <v>1</v>
      </c>
      <c r="G72" s="344" t="s">
        <v>2828</v>
      </c>
      <c r="H72" s="344" t="s">
        <v>3842</v>
      </c>
      <c r="I72" s="344" t="s">
        <v>3211</v>
      </c>
      <c r="J72" s="339">
        <v>43280</v>
      </c>
      <c r="K72" s="339"/>
      <c r="L72" s="339"/>
      <c r="M72" s="344" t="s">
        <v>2853</v>
      </c>
      <c r="N72" s="344"/>
      <c r="O72" s="339">
        <v>43259</v>
      </c>
      <c r="P72" s="353" t="s">
        <v>3061</v>
      </c>
      <c r="Q72" s="344" t="s">
        <v>2829</v>
      </c>
      <c r="R72" s="354"/>
      <c r="S72" s="354">
        <f t="shared" si="1"/>
        <v>1</v>
      </c>
    </row>
    <row r="73" spans="1:19" ht="25.35" customHeight="1" x14ac:dyDescent="0.2">
      <c r="A73" s="340" t="s">
        <v>4344</v>
      </c>
      <c r="B73" s="345">
        <v>43262</v>
      </c>
      <c r="C73" s="341" t="s">
        <v>4345</v>
      </c>
      <c r="D73" s="341" t="s">
        <v>4346</v>
      </c>
      <c r="E73" s="342" t="s">
        <v>3777</v>
      </c>
      <c r="F73" s="342">
        <v>1</v>
      </c>
      <c r="G73" s="342" t="s">
        <v>2828</v>
      </c>
      <c r="H73" s="342" t="s">
        <v>2058</v>
      </c>
      <c r="I73" s="342" t="s">
        <v>3926</v>
      </c>
      <c r="J73" s="345">
        <v>43292</v>
      </c>
      <c r="K73" s="345"/>
      <c r="L73" s="345"/>
      <c r="M73" s="342" t="s">
        <v>2853</v>
      </c>
      <c r="N73" s="342" t="s">
        <v>2088</v>
      </c>
      <c r="O73" s="345">
        <v>43277</v>
      </c>
      <c r="P73" s="355" t="s">
        <v>3061</v>
      </c>
      <c r="Q73" s="342" t="s">
        <v>2829</v>
      </c>
      <c r="R73" s="356"/>
      <c r="S73" s="354">
        <f t="shared" si="1"/>
        <v>15</v>
      </c>
    </row>
    <row r="74" spans="1:19" ht="25.35" customHeight="1" x14ac:dyDescent="0.2">
      <c r="A74" s="338" t="s">
        <v>4347</v>
      </c>
      <c r="B74" s="339">
        <v>43263</v>
      </c>
      <c r="C74" s="343" t="s">
        <v>4348</v>
      </c>
      <c r="D74" s="343" t="s">
        <v>4141</v>
      </c>
      <c r="E74" s="344" t="s">
        <v>2971</v>
      </c>
      <c r="F74" s="344">
        <v>1</v>
      </c>
      <c r="G74" s="344" t="s">
        <v>2828</v>
      </c>
      <c r="H74" s="344" t="s">
        <v>3926</v>
      </c>
      <c r="I74" s="344" t="s">
        <v>3926</v>
      </c>
      <c r="J74" s="339">
        <v>43324</v>
      </c>
      <c r="K74" s="339"/>
      <c r="L74" s="339"/>
      <c r="M74" s="344" t="s">
        <v>2853</v>
      </c>
      <c r="N74" s="344" t="s">
        <v>2088</v>
      </c>
      <c r="O74" s="339">
        <v>43308</v>
      </c>
      <c r="P74" s="353" t="s">
        <v>3061</v>
      </c>
      <c r="Q74" s="344" t="s">
        <v>2832</v>
      </c>
      <c r="R74" s="354"/>
      <c r="S74" s="354">
        <f t="shared" si="1"/>
        <v>45</v>
      </c>
    </row>
    <row r="75" spans="1:19" ht="25.35" customHeight="1" x14ac:dyDescent="0.2">
      <c r="A75" s="340" t="s">
        <v>4349</v>
      </c>
      <c r="B75" s="345">
        <v>43263</v>
      </c>
      <c r="C75" s="341" t="s">
        <v>4351</v>
      </c>
      <c r="D75" s="341" t="s">
        <v>4350</v>
      </c>
      <c r="E75" s="342" t="s">
        <v>2971</v>
      </c>
      <c r="F75" s="342">
        <v>1</v>
      </c>
      <c r="G75" s="342" t="s">
        <v>2836</v>
      </c>
      <c r="H75" s="342" t="s">
        <v>685</v>
      </c>
      <c r="I75" s="342" t="s">
        <v>3645</v>
      </c>
      <c r="J75" s="345">
        <v>43263</v>
      </c>
      <c r="K75" s="345"/>
      <c r="L75" s="345"/>
      <c r="M75" s="342" t="s">
        <v>2853</v>
      </c>
      <c r="N75" s="342" t="s">
        <v>2088</v>
      </c>
      <c r="O75" s="345">
        <v>43263</v>
      </c>
      <c r="P75" s="355" t="s">
        <v>3061</v>
      </c>
      <c r="Q75" s="342" t="s">
        <v>2829</v>
      </c>
      <c r="R75" s="356"/>
      <c r="S75" s="354">
        <f t="shared" si="1"/>
        <v>0</v>
      </c>
    </row>
    <row r="76" spans="1:19" ht="25.35" customHeight="1" x14ac:dyDescent="0.2">
      <c r="A76" s="338" t="s">
        <v>4352</v>
      </c>
      <c r="B76" s="339">
        <v>43263</v>
      </c>
      <c r="C76" s="343" t="s">
        <v>4363</v>
      </c>
      <c r="D76" s="343" t="s">
        <v>4364</v>
      </c>
      <c r="E76" s="344" t="s">
        <v>2971</v>
      </c>
      <c r="F76" s="344">
        <v>1</v>
      </c>
      <c r="G76" s="344" t="s">
        <v>2828</v>
      </c>
      <c r="H76" s="344" t="s">
        <v>3423</v>
      </c>
      <c r="I76" s="344" t="s">
        <v>3211</v>
      </c>
      <c r="J76" s="339">
        <v>43312</v>
      </c>
      <c r="K76" s="339"/>
      <c r="L76" s="339"/>
      <c r="M76" s="344" t="s">
        <v>2853</v>
      </c>
      <c r="N76" s="344" t="s">
        <v>2912</v>
      </c>
      <c r="O76" s="339">
        <v>43322</v>
      </c>
      <c r="P76" s="353" t="s">
        <v>3022</v>
      </c>
      <c r="Q76" s="344" t="s">
        <v>2832</v>
      </c>
      <c r="R76" s="354"/>
      <c r="S76" s="354">
        <f t="shared" si="1"/>
        <v>59</v>
      </c>
    </row>
    <row r="77" spans="1:19" ht="25.35" customHeight="1" x14ac:dyDescent="0.2">
      <c r="A77" s="340" t="s">
        <v>4355</v>
      </c>
      <c r="B77" s="345">
        <v>43264</v>
      </c>
      <c r="C77" s="341" t="s">
        <v>4353</v>
      </c>
      <c r="D77" s="341" t="s">
        <v>4356</v>
      </c>
      <c r="E77" s="342" t="s">
        <v>2971</v>
      </c>
      <c r="F77" s="342">
        <v>1</v>
      </c>
      <c r="G77" s="342" t="s">
        <v>2841</v>
      </c>
      <c r="H77" s="342" t="s">
        <v>4354</v>
      </c>
      <c r="I77" s="342" t="s">
        <v>229</v>
      </c>
      <c r="J77" s="345">
        <v>43312</v>
      </c>
      <c r="K77" s="345"/>
      <c r="L77" s="345"/>
      <c r="M77" s="342" t="s">
        <v>2853</v>
      </c>
      <c r="N77" s="342" t="s">
        <v>2088</v>
      </c>
      <c r="O77" s="345">
        <v>43287</v>
      </c>
      <c r="P77" s="355" t="s">
        <v>3061</v>
      </c>
      <c r="Q77" s="342" t="s">
        <v>2829</v>
      </c>
      <c r="R77" s="356"/>
      <c r="S77" s="354">
        <f t="shared" si="1"/>
        <v>23</v>
      </c>
    </row>
    <row r="78" spans="1:19" ht="25.35" customHeight="1" x14ac:dyDescent="0.2">
      <c r="A78" s="338" t="s">
        <v>4357</v>
      </c>
      <c r="B78" s="339">
        <v>43264</v>
      </c>
      <c r="C78" s="343" t="s">
        <v>4358</v>
      </c>
      <c r="D78" s="343" t="s">
        <v>4359</v>
      </c>
      <c r="E78" s="344" t="s">
        <v>4208</v>
      </c>
      <c r="F78" s="344">
        <v>1</v>
      </c>
      <c r="G78" s="344" t="s">
        <v>2828</v>
      </c>
      <c r="H78" s="344" t="s">
        <v>615</v>
      </c>
      <c r="I78" s="344" t="s">
        <v>3211</v>
      </c>
      <c r="J78" s="339">
        <v>43294</v>
      </c>
      <c r="K78" s="339"/>
      <c r="L78" s="339"/>
      <c r="M78" s="344" t="s">
        <v>2853</v>
      </c>
      <c r="N78" s="344" t="s">
        <v>2088</v>
      </c>
      <c r="O78" s="339">
        <v>43265</v>
      </c>
      <c r="P78" s="353" t="s">
        <v>3061</v>
      </c>
      <c r="Q78" s="344" t="s">
        <v>2829</v>
      </c>
      <c r="R78" s="354"/>
      <c r="S78" s="354">
        <f t="shared" si="1"/>
        <v>1</v>
      </c>
    </row>
    <row r="79" spans="1:19" ht="25.35" customHeight="1" x14ac:dyDescent="0.2">
      <c r="A79" s="340" t="s">
        <v>4360</v>
      </c>
      <c r="B79" s="345">
        <v>43266</v>
      </c>
      <c r="C79" s="341" t="s">
        <v>4361</v>
      </c>
      <c r="D79" s="341" t="s">
        <v>4362</v>
      </c>
      <c r="E79" s="342" t="s">
        <v>2971</v>
      </c>
      <c r="F79" s="342">
        <v>1</v>
      </c>
      <c r="G79" s="342" t="s">
        <v>2841</v>
      </c>
      <c r="H79" s="342" t="s">
        <v>229</v>
      </c>
      <c r="I79" s="342" t="s">
        <v>229</v>
      </c>
      <c r="J79" s="345">
        <v>43312</v>
      </c>
      <c r="K79" s="345"/>
      <c r="L79" s="345"/>
      <c r="M79" s="342" t="s">
        <v>2853</v>
      </c>
      <c r="N79" s="342" t="s">
        <v>2088</v>
      </c>
      <c r="O79" s="345">
        <v>43292</v>
      </c>
      <c r="P79" s="355" t="s">
        <v>3061</v>
      </c>
      <c r="Q79" s="342" t="s">
        <v>2829</v>
      </c>
      <c r="R79" s="356"/>
      <c r="S79" s="354">
        <f t="shared" si="1"/>
        <v>26</v>
      </c>
    </row>
    <row r="80" spans="1:19" ht="25.35" customHeight="1" x14ac:dyDescent="0.2">
      <c r="A80" s="338" t="s">
        <v>4365</v>
      </c>
      <c r="B80" s="339">
        <v>43266</v>
      </c>
      <c r="C80" s="343" t="s">
        <v>4366</v>
      </c>
      <c r="D80" s="343" t="s">
        <v>3518</v>
      </c>
      <c r="E80" s="344" t="s">
        <v>4033</v>
      </c>
      <c r="F80" s="344">
        <v>1</v>
      </c>
      <c r="G80" s="344" t="s">
        <v>2828</v>
      </c>
      <c r="H80" s="344" t="s">
        <v>4232</v>
      </c>
      <c r="I80" s="344" t="s">
        <v>3211</v>
      </c>
      <c r="J80" s="339">
        <v>43296</v>
      </c>
      <c r="K80" s="339"/>
      <c r="L80" s="339"/>
      <c r="M80" s="344" t="s">
        <v>2853</v>
      </c>
      <c r="N80" s="344" t="s">
        <v>3022</v>
      </c>
      <c r="O80" s="339">
        <v>43586</v>
      </c>
      <c r="P80" s="353" t="s">
        <v>3022</v>
      </c>
      <c r="Q80" s="344" t="s">
        <v>2837</v>
      </c>
      <c r="R80" s="354"/>
      <c r="S80" s="354">
        <f t="shared" si="1"/>
        <v>320</v>
      </c>
    </row>
    <row r="81" spans="1:19" ht="25.35" customHeight="1" x14ac:dyDescent="0.2">
      <c r="A81" s="340" t="s">
        <v>4367</v>
      </c>
      <c r="B81" s="345">
        <v>43269</v>
      </c>
      <c r="C81" s="341" t="s">
        <v>4368</v>
      </c>
      <c r="D81" s="341" t="s">
        <v>4369</v>
      </c>
      <c r="E81" s="342" t="s">
        <v>2971</v>
      </c>
      <c r="F81" s="342">
        <v>1</v>
      </c>
      <c r="G81" s="342" t="s">
        <v>2836</v>
      </c>
      <c r="H81" s="342" t="s">
        <v>2058</v>
      </c>
      <c r="I81" s="342" t="s">
        <v>3211</v>
      </c>
      <c r="J81" s="345">
        <v>43299</v>
      </c>
      <c r="K81" s="345"/>
      <c r="L81" s="345"/>
      <c r="M81" s="342" t="s">
        <v>2853</v>
      </c>
      <c r="N81" s="342" t="s">
        <v>3022</v>
      </c>
      <c r="O81" s="345">
        <v>43553</v>
      </c>
      <c r="P81" s="355" t="s">
        <v>3022</v>
      </c>
      <c r="Q81" s="342" t="s">
        <v>2837</v>
      </c>
      <c r="R81" s="356"/>
      <c r="S81" s="354">
        <f t="shared" si="1"/>
        <v>284</v>
      </c>
    </row>
    <row r="82" spans="1:19" ht="25.35" customHeight="1" x14ac:dyDescent="0.2">
      <c r="A82" s="338" t="s">
        <v>4370</v>
      </c>
      <c r="B82" s="339">
        <v>43271</v>
      </c>
      <c r="C82" s="343" t="s">
        <v>4371</v>
      </c>
      <c r="D82" s="343" t="s">
        <v>4372</v>
      </c>
      <c r="E82" s="344" t="s">
        <v>4208</v>
      </c>
      <c r="F82" s="344">
        <v>1</v>
      </c>
      <c r="G82" s="344" t="s">
        <v>2828</v>
      </c>
      <c r="H82" s="344" t="s">
        <v>4079</v>
      </c>
      <c r="I82" s="344" t="s">
        <v>3926</v>
      </c>
      <c r="J82" s="339">
        <v>43312</v>
      </c>
      <c r="K82" s="339"/>
      <c r="L82" s="339"/>
      <c r="M82" s="344" t="s">
        <v>2853</v>
      </c>
      <c r="N82" s="344" t="s">
        <v>2088</v>
      </c>
      <c r="O82" s="339">
        <v>43284</v>
      </c>
      <c r="P82" s="353" t="s">
        <v>3061</v>
      </c>
      <c r="Q82" s="344" t="s">
        <v>2829</v>
      </c>
      <c r="R82" s="354"/>
      <c r="S82" s="354">
        <f t="shared" si="1"/>
        <v>13</v>
      </c>
    </row>
    <row r="83" spans="1:19" ht="25.35" customHeight="1" x14ac:dyDescent="0.2">
      <c r="A83" s="340" t="s">
        <v>4373</v>
      </c>
      <c r="B83" s="345">
        <v>43271</v>
      </c>
      <c r="C83" s="341" t="s">
        <v>4374</v>
      </c>
      <c r="D83" s="341" t="s">
        <v>4375</v>
      </c>
      <c r="E83" s="342" t="s">
        <v>3335</v>
      </c>
      <c r="F83" s="342">
        <v>1</v>
      </c>
      <c r="G83" s="342" t="s">
        <v>2828</v>
      </c>
      <c r="H83" s="342" t="s">
        <v>2058</v>
      </c>
      <c r="I83" s="342" t="s">
        <v>3926</v>
      </c>
      <c r="J83" s="345">
        <v>43301</v>
      </c>
      <c r="K83" s="345"/>
      <c r="L83" s="345"/>
      <c r="M83" s="342" t="s">
        <v>2853</v>
      </c>
      <c r="N83" s="342" t="s">
        <v>2088</v>
      </c>
      <c r="O83" s="345">
        <v>43272</v>
      </c>
      <c r="P83" s="355" t="s">
        <v>3061</v>
      </c>
      <c r="Q83" s="342" t="s">
        <v>2829</v>
      </c>
      <c r="R83" s="356"/>
      <c r="S83" s="354">
        <f t="shared" si="1"/>
        <v>1</v>
      </c>
    </row>
    <row r="84" spans="1:19" ht="25.35" customHeight="1" x14ac:dyDescent="0.2">
      <c r="A84" s="338" t="s">
        <v>4376</v>
      </c>
      <c r="B84" s="339">
        <v>43272</v>
      </c>
      <c r="C84" s="343" t="s">
        <v>4377</v>
      </c>
      <c r="D84" s="343" t="s">
        <v>4378</v>
      </c>
      <c r="E84" s="344" t="s">
        <v>2971</v>
      </c>
      <c r="F84" s="344">
        <v>1</v>
      </c>
      <c r="G84" s="344" t="s">
        <v>4300</v>
      </c>
      <c r="H84" s="344" t="s">
        <v>441</v>
      </c>
      <c r="I84" s="344" t="s">
        <v>3645</v>
      </c>
      <c r="J84" s="339">
        <v>43272</v>
      </c>
      <c r="K84" s="339"/>
      <c r="L84" s="339"/>
      <c r="M84" s="344" t="s">
        <v>2853</v>
      </c>
      <c r="N84" s="344" t="s">
        <v>2088</v>
      </c>
      <c r="O84" s="339">
        <v>43272</v>
      </c>
      <c r="P84" s="353" t="s">
        <v>3061</v>
      </c>
      <c r="Q84" s="344" t="s">
        <v>2829</v>
      </c>
      <c r="R84" s="354"/>
      <c r="S84" s="354">
        <f t="shared" si="1"/>
        <v>0</v>
      </c>
    </row>
    <row r="85" spans="1:19" ht="25.35" customHeight="1" x14ac:dyDescent="0.2">
      <c r="A85" s="340" t="s">
        <v>4379</v>
      </c>
      <c r="B85" s="345">
        <v>43278</v>
      </c>
      <c r="C85" s="341" t="s">
        <v>4380</v>
      </c>
      <c r="D85" s="341" t="s">
        <v>4381</v>
      </c>
      <c r="E85" s="342" t="s">
        <v>3323</v>
      </c>
      <c r="F85" s="342">
        <v>1</v>
      </c>
      <c r="G85" s="342" t="s">
        <v>2828</v>
      </c>
      <c r="H85" s="342" t="s">
        <v>3729</v>
      </c>
      <c r="I85" s="342" t="s">
        <v>3211</v>
      </c>
      <c r="J85" s="345">
        <v>43296</v>
      </c>
      <c r="K85" s="345"/>
      <c r="L85" s="345"/>
      <c r="M85" s="342" t="s">
        <v>2853</v>
      </c>
      <c r="N85" s="342" t="s">
        <v>2088</v>
      </c>
      <c r="O85" s="345">
        <v>43327</v>
      </c>
      <c r="P85" s="355" t="s">
        <v>3061</v>
      </c>
      <c r="Q85" s="342" t="s">
        <v>2832</v>
      </c>
      <c r="R85" s="356"/>
      <c r="S85" s="354">
        <f t="shared" si="1"/>
        <v>49</v>
      </c>
    </row>
    <row r="86" spans="1:19" ht="25.35" customHeight="1" x14ac:dyDescent="0.2">
      <c r="A86" s="338" t="s">
        <v>4382</v>
      </c>
      <c r="B86" s="339">
        <v>43287</v>
      </c>
      <c r="C86" s="343" t="s">
        <v>4383</v>
      </c>
      <c r="D86" s="343" t="s">
        <v>4384</v>
      </c>
      <c r="E86" s="344" t="s">
        <v>3586</v>
      </c>
      <c r="F86" s="344">
        <v>1</v>
      </c>
      <c r="G86" s="344" t="s">
        <v>2828</v>
      </c>
      <c r="H86" s="344" t="s">
        <v>3423</v>
      </c>
      <c r="I86" s="344" t="s">
        <v>3926</v>
      </c>
      <c r="J86" s="339">
        <v>43318</v>
      </c>
      <c r="K86" s="339"/>
      <c r="L86" s="339"/>
      <c r="M86" s="344" t="s">
        <v>2853</v>
      </c>
      <c r="N86" s="344" t="s">
        <v>2088</v>
      </c>
      <c r="O86" s="339">
        <v>43293</v>
      </c>
      <c r="P86" s="353" t="s">
        <v>3061</v>
      </c>
      <c r="Q86" s="344" t="s">
        <v>2829</v>
      </c>
      <c r="R86" s="354"/>
      <c r="S86" s="354">
        <f t="shared" si="1"/>
        <v>6</v>
      </c>
    </row>
    <row r="87" spans="1:19" ht="25.35" customHeight="1" x14ac:dyDescent="0.2">
      <c r="A87" s="340" t="s">
        <v>4385</v>
      </c>
      <c r="B87" s="345">
        <v>43290</v>
      </c>
      <c r="C87" s="341" t="s">
        <v>4386</v>
      </c>
      <c r="D87" s="341" t="s">
        <v>4041</v>
      </c>
      <c r="E87" s="342" t="s">
        <v>2971</v>
      </c>
      <c r="F87" s="342">
        <v>1</v>
      </c>
      <c r="G87" s="342" t="s">
        <v>2841</v>
      </c>
      <c r="H87" s="342" t="s">
        <v>486</v>
      </c>
      <c r="I87" s="342" t="s">
        <v>229</v>
      </c>
      <c r="J87" s="345">
        <v>43312</v>
      </c>
      <c r="K87" s="345"/>
      <c r="L87" s="345"/>
      <c r="M87" s="342" t="s">
        <v>2853</v>
      </c>
      <c r="N87" s="342" t="s">
        <v>2088</v>
      </c>
      <c r="O87" s="345">
        <v>43314</v>
      </c>
      <c r="P87" s="355" t="s">
        <v>3061</v>
      </c>
      <c r="Q87" s="342" t="s">
        <v>2829</v>
      </c>
      <c r="R87" s="356"/>
      <c r="S87" s="354">
        <f t="shared" si="1"/>
        <v>24</v>
      </c>
    </row>
    <row r="88" spans="1:19" ht="25.35" customHeight="1" x14ac:dyDescent="0.2">
      <c r="A88" s="338" t="s">
        <v>4387</v>
      </c>
      <c r="B88" s="339">
        <v>43290</v>
      </c>
      <c r="C88" s="343" t="s">
        <v>4388</v>
      </c>
      <c r="D88" s="343" t="s">
        <v>3225</v>
      </c>
      <c r="E88" s="344" t="s">
        <v>2971</v>
      </c>
      <c r="F88" s="344">
        <v>1</v>
      </c>
      <c r="G88" s="344" t="s">
        <v>2841</v>
      </c>
      <c r="H88" s="344" t="s">
        <v>3991</v>
      </c>
      <c r="I88" s="344" t="s">
        <v>229</v>
      </c>
      <c r="J88" s="339">
        <v>43312</v>
      </c>
      <c r="K88" s="339"/>
      <c r="L88" s="339"/>
      <c r="M88" s="344" t="s">
        <v>2853</v>
      </c>
      <c r="N88" s="344" t="s">
        <v>2088</v>
      </c>
      <c r="O88" s="339">
        <v>43315</v>
      </c>
      <c r="P88" s="353" t="s">
        <v>3061</v>
      </c>
      <c r="Q88" s="344" t="s">
        <v>2829</v>
      </c>
      <c r="R88" s="354"/>
      <c r="S88" s="354">
        <f t="shared" si="1"/>
        <v>25</v>
      </c>
    </row>
    <row r="89" spans="1:19" ht="25.35" customHeight="1" x14ac:dyDescent="0.2">
      <c r="A89" s="340" t="s">
        <v>4389</v>
      </c>
      <c r="B89" s="345">
        <v>43290</v>
      </c>
      <c r="C89" s="341" t="s">
        <v>4390</v>
      </c>
      <c r="D89" s="341" t="s">
        <v>2172</v>
      </c>
      <c r="E89" s="342" t="s">
        <v>2971</v>
      </c>
      <c r="F89" s="342">
        <v>1</v>
      </c>
      <c r="G89" s="342" t="s">
        <v>2841</v>
      </c>
      <c r="H89" s="342" t="s">
        <v>229</v>
      </c>
      <c r="I89" s="342" t="s">
        <v>229</v>
      </c>
      <c r="J89" s="345">
        <v>43312</v>
      </c>
      <c r="K89" s="345"/>
      <c r="L89" s="345"/>
      <c r="M89" s="342" t="s">
        <v>2853</v>
      </c>
      <c r="N89" s="342" t="s">
        <v>2088</v>
      </c>
      <c r="O89" s="345">
        <v>43321</v>
      </c>
      <c r="P89" s="355" t="s">
        <v>3061</v>
      </c>
      <c r="Q89" s="342" t="s">
        <v>2829</v>
      </c>
      <c r="R89" s="356"/>
      <c r="S89" s="354">
        <f t="shared" si="1"/>
        <v>31</v>
      </c>
    </row>
    <row r="90" spans="1:19" ht="25.35" customHeight="1" x14ac:dyDescent="0.2">
      <c r="A90" s="338" t="s">
        <v>4391</v>
      </c>
      <c r="B90" s="339">
        <v>43290</v>
      </c>
      <c r="C90" s="343" t="s">
        <v>4392</v>
      </c>
      <c r="D90" s="343" t="s">
        <v>4041</v>
      </c>
      <c r="E90" s="344" t="s">
        <v>2971</v>
      </c>
      <c r="F90" s="344">
        <v>1</v>
      </c>
      <c r="G90" s="344" t="s">
        <v>2841</v>
      </c>
      <c r="H90" s="344" t="s">
        <v>481</v>
      </c>
      <c r="I90" s="344" t="s">
        <v>229</v>
      </c>
      <c r="J90" s="339">
        <v>43312</v>
      </c>
      <c r="K90" s="339"/>
      <c r="L90" s="339"/>
      <c r="M90" s="344" t="s">
        <v>2853</v>
      </c>
      <c r="N90" s="344" t="s">
        <v>2088</v>
      </c>
      <c r="O90" s="339">
        <v>43312</v>
      </c>
      <c r="P90" s="353" t="s">
        <v>3061</v>
      </c>
      <c r="Q90" s="344" t="s">
        <v>2829</v>
      </c>
      <c r="R90" s="354"/>
      <c r="S90" s="354">
        <f t="shared" si="1"/>
        <v>22</v>
      </c>
    </row>
    <row r="91" spans="1:19" ht="25.35" customHeight="1" x14ac:dyDescent="0.2">
      <c r="A91" s="340" t="s">
        <v>4394</v>
      </c>
      <c r="B91" s="345">
        <v>43294</v>
      </c>
      <c r="C91" s="341" t="s">
        <v>4395</v>
      </c>
      <c r="D91" s="341" t="s">
        <v>4396</v>
      </c>
      <c r="E91" s="342" t="s">
        <v>2971</v>
      </c>
      <c r="F91" s="342">
        <v>1</v>
      </c>
      <c r="G91" s="342" t="s">
        <v>2841</v>
      </c>
      <c r="H91" s="342" t="s">
        <v>229</v>
      </c>
      <c r="I91" s="342" t="s">
        <v>229</v>
      </c>
      <c r="J91" s="345">
        <v>43315</v>
      </c>
      <c r="K91" s="345"/>
      <c r="L91" s="345"/>
      <c r="M91" s="342" t="s">
        <v>2853</v>
      </c>
      <c r="N91" s="342" t="s">
        <v>2088</v>
      </c>
      <c r="O91" s="345">
        <v>43319</v>
      </c>
      <c r="P91" s="355" t="s">
        <v>3061</v>
      </c>
      <c r="Q91" s="342" t="s">
        <v>2829</v>
      </c>
      <c r="R91" s="356"/>
      <c r="S91" s="354">
        <f t="shared" si="1"/>
        <v>25</v>
      </c>
    </row>
    <row r="92" spans="1:19" ht="25.35" customHeight="1" x14ac:dyDescent="0.2">
      <c r="A92" s="338" t="s">
        <v>4398</v>
      </c>
      <c r="B92" s="339">
        <v>43297</v>
      </c>
      <c r="C92" s="343" t="s">
        <v>4400</v>
      </c>
      <c r="D92" s="343" t="s">
        <v>4401</v>
      </c>
      <c r="E92" s="344" t="s">
        <v>4399</v>
      </c>
      <c r="F92" s="344">
        <v>1</v>
      </c>
      <c r="G92" s="344" t="s">
        <v>2828</v>
      </c>
      <c r="H92" s="344" t="s">
        <v>4232</v>
      </c>
      <c r="I92" s="344" t="s">
        <v>3926</v>
      </c>
      <c r="J92" s="339">
        <v>43404</v>
      </c>
      <c r="K92" s="339"/>
      <c r="L92" s="339"/>
      <c r="M92" s="344" t="s">
        <v>2853</v>
      </c>
      <c r="N92" s="344" t="s">
        <v>2088</v>
      </c>
      <c r="O92" s="339">
        <v>43385</v>
      </c>
      <c r="P92" s="353" t="s">
        <v>3061</v>
      </c>
      <c r="Q92" s="344" t="s">
        <v>2835</v>
      </c>
      <c r="R92" s="354"/>
      <c r="S92" s="354">
        <f t="shared" si="1"/>
        <v>88</v>
      </c>
    </row>
    <row r="93" spans="1:19" ht="25.35" customHeight="1" x14ac:dyDescent="0.2">
      <c r="A93" s="340" t="s">
        <v>4402</v>
      </c>
      <c r="B93" s="345">
        <v>43298</v>
      </c>
      <c r="C93" s="341" t="s">
        <v>4404</v>
      </c>
      <c r="D93" s="341" t="s">
        <v>4403</v>
      </c>
      <c r="E93" s="342" t="s">
        <v>4174</v>
      </c>
      <c r="F93" s="342">
        <v>1</v>
      </c>
      <c r="G93" s="342" t="s">
        <v>2828</v>
      </c>
      <c r="H93" s="342" t="s">
        <v>615</v>
      </c>
      <c r="I93" s="342" t="s">
        <v>3211</v>
      </c>
      <c r="J93" s="345">
        <v>43329</v>
      </c>
      <c r="K93" s="345"/>
      <c r="L93" s="345"/>
      <c r="M93" s="342" t="s">
        <v>2853</v>
      </c>
      <c r="N93" s="342" t="s">
        <v>2088</v>
      </c>
      <c r="O93" s="345">
        <v>43305</v>
      </c>
      <c r="P93" s="355" t="s">
        <v>3061</v>
      </c>
      <c r="Q93" s="342" t="s">
        <v>2829</v>
      </c>
      <c r="R93" s="356"/>
      <c r="S93" s="354">
        <f t="shared" si="1"/>
        <v>7</v>
      </c>
    </row>
    <row r="94" spans="1:19" ht="25.35" customHeight="1" x14ac:dyDescent="0.2">
      <c r="A94" s="338" t="s">
        <v>4405</v>
      </c>
      <c r="B94" s="339">
        <v>43299</v>
      </c>
      <c r="C94" s="343" t="s">
        <v>4406</v>
      </c>
      <c r="D94" s="343" t="s">
        <v>4407</v>
      </c>
      <c r="E94" s="344" t="s">
        <v>3969</v>
      </c>
      <c r="F94" s="344">
        <v>1</v>
      </c>
      <c r="G94" s="344" t="s">
        <v>2828</v>
      </c>
      <c r="H94" s="344" t="s">
        <v>3423</v>
      </c>
      <c r="I94" s="344" t="s">
        <v>3211</v>
      </c>
      <c r="J94" s="339">
        <v>43329</v>
      </c>
      <c r="K94" s="339"/>
      <c r="L94" s="339"/>
      <c r="M94" s="344" t="s">
        <v>2853</v>
      </c>
      <c r="N94" s="344" t="s">
        <v>2088</v>
      </c>
      <c r="O94" s="339">
        <v>43300</v>
      </c>
      <c r="P94" s="353" t="s">
        <v>3061</v>
      </c>
      <c r="Q94" s="344" t="s">
        <v>2829</v>
      </c>
      <c r="R94" s="354"/>
      <c r="S94" s="354">
        <f t="shared" si="1"/>
        <v>1</v>
      </c>
    </row>
    <row r="95" spans="1:19" ht="25.35" customHeight="1" x14ac:dyDescent="0.2">
      <c r="A95" s="340" t="s">
        <v>4408</v>
      </c>
      <c r="B95" s="345">
        <v>43300</v>
      </c>
      <c r="C95" s="341" t="s">
        <v>4409</v>
      </c>
      <c r="D95" s="341" t="s">
        <v>4410</v>
      </c>
      <c r="E95" s="342" t="s">
        <v>2971</v>
      </c>
      <c r="F95" s="342">
        <v>1</v>
      </c>
      <c r="G95" s="342" t="s">
        <v>2841</v>
      </c>
      <c r="H95" s="342" t="s">
        <v>229</v>
      </c>
      <c r="I95" s="342" t="s">
        <v>229</v>
      </c>
      <c r="J95" s="345">
        <v>43343</v>
      </c>
      <c r="K95" s="345"/>
      <c r="L95" s="345"/>
      <c r="M95" s="342" t="s">
        <v>2853</v>
      </c>
      <c r="N95" s="342" t="s">
        <v>2088</v>
      </c>
      <c r="O95" s="345">
        <v>43328</v>
      </c>
      <c r="P95" s="355" t="s">
        <v>3061</v>
      </c>
      <c r="Q95" s="342" t="s">
        <v>2829</v>
      </c>
      <c r="R95" s="356"/>
      <c r="S95" s="354">
        <f t="shared" si="1"/>
        <v>28</v>
      </c>
    </row>
    <row r="96" spans="1:19" ht="25.35" customHeight="1" x14ac:dyDescent="0.2">
      <c r="A96" s="338" t="s">
        <v>4411</v>
      </c>
      <c r="B96" s="339">
        <v>43306</v>
      </c>
      <c r="C96" s="343" t="s">
        <v>4412</v>
      </c>
      <c r="D96" s="343" t="s">
        <v>4375</v>
      </c>
      <c r="E96" s="344" t="s">
        <v>3667</v>
      </c>
      <c r="F96" s="344">
        <v>1</v>
      </c>
      <c r="G96" s="344" t="s">
        <v>2828</v>
      </c>
      <c r="H96" s="344" t="s">
        <v>615</v>
      </c>
      <c r="I96" s="344" t="s">
        <v>3926</v>
      </c>
      <c r="J96" s="339">
        <v>43363</v>
      </c>
      <c r="K96" s="339"/>
      <c r="L96" s="339"/>
      <c r="M96" s="344" t="s">
        <v>2853</v>
      </c>
      <c r="N96" s="344" t="s">
        <v>2088</v>
      </c>
      <c r="O96" s="339">
        <v>43356</v>
      </c>
      <c r="P96" s="353" t="s">
        <v>3061</v>
      </c>
      <c r="Q96" s="344" t="s">
        <v>2832</v>
      </c>
      <c r="R96" s="354"/>
      <c r="S96" s="354">
        <f t="shared" si="1"/>
        <v>50</v>
      </c>
    </row>
    <row r="97" spans="1:19" ht="25.35" customHeight="1" x14ac:dyDescent="0.2">
      <c r="A97" s="340" t="s">
        <v>4413</v>
      </c>
      <c r="B97" s="345">
        <v>43307</v>
      </c>
      <c r="C97" s="341" t="s">
        <v>4414</v>
      </c>
      <c r="D97" s="341" t="s">
        <v>4346</v>
      </c>
      <c r="E97" s="342" t="s">
        <v>3473</v>
      </c>
      <c r="F97" s="342">
        <v>1</v>
      </c>
      <c r="G97" s="342" t="s">
        <v>2828</v>
      </c>
      <c r="H97" s="342" t="s">
        <v>4079</v>
      </c>
      <c r="I97" s="342" t="s">
        <v>3211</v>
      </c>
      <c r="J97" s="345">
        <v>43367</v>
      </c>
      <c r="K97" s="345"/>
      <c r="L97" s="345"/>
      <c r="M97" s="342" t="s">
        <v>2853</v>
      </c>
      <c r="N97" s="342" t="s">
        <v>2088</v>
      </c>
      <c r="O97" s="345">
        <v>43342</v>
      </c>
      <c r="P97" s="355" t="s">
        <v>3061</v>
      </c>
      <c r="Q97" s="342" t="s">
        <v>2832</v>
      </c>
      <c r="R97" s="356"/>
      <c r="S97" s="354">
        <f t="shared" si="1"/>
        <v>35</v>
      </c>
    </row>
    <row r="98" spans="1:19" ht="25.35" customHeight="1" x14ac:dyDescent="0.2">
      <c r="A98" s="338" t="s">
        <v>4415</v>
      </c>
      <c r="B98" s="339">
        <v>43307</v>
      </c>
      <c r="C98" s="343" t="s">
        <v>4416</v>
      </c>
      <c r="D98" s="343" t="s">
        <v>4417</v>
      </c>
      <c r="E98" s="344" t="s">
        <v>3777</v>
      </c>
      <c r="F98" s="344">
        <v>1</v>
      </c>
      <c r="G98" s="344" t="s">
        <v>2828</v>
      </c>
      <c r="H98" s="344" t="s">
        <v>4079</v>
      </c>
      <c r="I98" s="344" t="s">
        <v>3926</v>
      </c>
      <c r="J98" s="339">
        <v>43338</v>
      </c>
      <c r="K98" s="339"/>
      <c r="L98" s="339"/>
      <c r="M98" s="344" t="s">
        <v>2853</v>
      </c>
      <c r="N98" s="344" t="s">
        <v>2088</v>
      </c>
      <c r="O98" s="339">
        <v>43315</v>
      </c>
      <c r="P98" s="353" t="s">
        <v>3061</v>
      </c>
      <c r="Q98" s="344" t="s">
        <v>2829</v>
      </c>
      <c r="R98" s="354"/>
      <c r="S98" s="354">
        <f t="shared" si="1"/>
        <v>8</v>
      </c>
    </row>
    <row r="99" spans="1:19" ht="25.35" customHeight="1" x14ac:dyDescent="0.2">
      <c r="A99" s="340" t="s">
        <v>4420</v>
      </c>
      <c r="B99" s="345">
        <v>43311</v>
      </c>
      <c r="C99" s="341" t="s">
        <v>4418</v>
      </c>
      <c r="D99" s="341" t="s">
        <v>4419</v>
      </c>
      <c r="E99" s="342" t="s">
        <v>3519</v>
      </c>
      <c r="F99" s="342">
        <v>1</v>
      </c>
      <c r="G99" s="342" t="s">
        <v>2828</v>
      </c>
      <c r="H99" s="342" t="s">
        <v>4079</v>
      </c>
      <c r="I99" s="342" t="s">
        <v>3926</v>
      </c>
      <c r="J99" s="345">
        <v>43312</v>
      </c>
      <c r="K99" s="345"/>
      <c r="L99" s="345"/>
      <c r="M99" s="342" t="s">
        <v>2853</v>
      </c>
      <c r="N99" s="342" t="s">
        <v>2088</v>
      </c>
      <c r="O99" s="345">
        <v>43320</v>
      </c>
      <c r="P99" s="355" t="s">
        <v>3022</v>
      </c>
      <c r="Q99" s="342" t="s">
        <v>2829</v>
      </c>
      <c r="R99" s="356"/>
      <c r="S99" s="354">
        <f t="shared" si="1"/>
        <v>9</v>
      </c>
    </row>
    <row r="100" spans="1:19" ht="25.35" customHeight="1" x14ac:dyDescent="0.2">
      <c r="A100" s="338" t="s">
        <v>4421</v>
      </c>
      <c r="B100" s="339">
        <v>43313</v>
      </c>
      <c r="C100" s="343" t="s">
        <v>4422</v>
      </c>
      <c r="D100" s="343" t="s">
        <v>4423</v>
      </c>
      <c r="E100" s="344" t="s">
        <v>2971</v>
      </c>
      <c r="F100" s="344">
        <v>1</v>
      </c>
      <c r="G100" s="344" t="s">
        <v>2841</v>
      </c>
      <c r="H100" s="344" t="s">
        <v>229</v>
      </c>
      <c r="I100" s="344" t="s">
        <v>229</v>
      </c>
      <c r="J100" s="339">
        <v>43343</v>
      </c>
      <c r="K100" s="339"/>
      <c r="L100" s="339"/>
      <c r="M100" s="344" t="s">
        <v>2853</v>
      </c>
      <c r="N100" s="344" t="s">
        <v>2088</v>
      </c>
      <c r="O100" s="339">
        <v>43336</v>
      </c>
      <c r="P100" s="353" t="s">
        <v>3061</v>
      </c>
      <c r="Q100" s="344" t="s">
        <v>2829</v>
      </c>
      <c r="R100" s="354"/>
      <c r="S100" s="354">
        <f t="shared" si="1"/>
        <v>23</v>
      </c>
    </row>
    <row r="101" spans="1:19" ht="25.35" customHeight="1" x14ac:dyDescent="0.2">
      <c r="A101" s="340" t="s">
        <v>4424</v>
      </c>
      <c r="B101" s="345">
        <v>43315</v>
      </c>
      <c r="C101" s="341" t="s">
        <v>4425</v>
      </c>
      <c r="D101" s="341" t="s">
        <v>4426</v>
      </c>
      <c r="E101" s="342" t="s">
        <v>2971</v>
      </c>
      <c r="F101" s="342">
        <v>1</v>
      </c>
      <c r="G101" s="342" t="s">
        <v>2838</v>
      </c>
      <c r="H101" s="342" t="s">
        <v>685</v>
      </c>
      <c r="I101" s="342" t="s">
        <v>229</v>
      </c>
      <c r="J101" s="345">
        <v>43322</v>
      </c>
      <c r="K101" s="345"/>
      <c r="L101" s="345"/>
      <c r="M101" s="342" t="s">
        <v>2853</v>
      </c>
      <c r="N101" s="342" t="s">
        <v>3022</v>
      </c>
      <c r="O101" s="345">
        <v>43343</v>
      </c>
      <c r="P101" s="355" t="s">
        <v>3022</v>
      </c>
      <c r="Q101" s="342" t="s">
        <v>2829</v>
      </c>
      <c r="R101" s="356"/>
      <c r="S101" s="354">
        <f t="shared" si="1"/>
        <v>28</v>
      </c>
    </row>
    <row r="102" spans="1:19" ht="25.35" customHeight="1" x14ac:dyDescent="0.2">
      <c r="A102" s="338" t="s">
        <v>4427</v>
      </c>
      <c r="B102" s="339">
        <v>43320</v>
      </c>
      <c r="C102" s="343" t="s">
        <v>4428</v>
      </c>
      <c r="D102" s="343" t="s">
        <v>4429</v>
      </c>
      <c r="E102" s="344" t="s">
        <v>4178</v>
      </c>
      <c r="F102" s="344">
        <v>1</v>
      </c>
      <c r="G102" s="344" t="s">
        <v>2828</v>
      </c>
      <c r="H102" s="344" t="s">
        <v>3423</v>
      </c>
      <c r="I102" s="344" t="s">
        <v>3211</v>
      </c>
      <c r="J102" s="339">
        <v>43331</v>
      </c>
      <c r="K102" s="339"/>
      <c r="L102" s="339"/>
      <c r="M102" s="344" t="s">
        <v>2853</v>
      </c>
      <c r="N102" s="344" t="s">
        <v>2088</v>
      </c>
      <c r="O102" s="339">
        <v>43329</v>
      </c>
      <c r="P102" s="353" t="s">
        <v>3061</v>
      </c>
      <c r="Q102" s="344" t="s">
        <v>2829</v>
      </c>
      <c r="R102" s="354"/>
      <c r="S102" s="354">
        <f t="shared" si="1"/>
        <v>9</v>
      </c>
    </row>
    <row r="103" spans="1:19" ht="25.35" customHeight="1" x14ac:dyDescent="0.2">
      <c r="A103" s="340" t="s">
        <v>4430</v>
      </c>
      <c r="B103" s="345">
        <v>43320</v>
      </c>
      <c r="C103" s="341" t="s">
        <v>4431</v>
      </c>
      <c r="D103" s="341" t="s">
        <v>4432</v>
      </c>
      <c r="E103" s="342" t="s">
        <v>3617</v>
      </c>
      <c r="F103" s="342">
        <v>1</v>
      </c>
      <c r="G103" s="342" t="s">
        <v>2828</v>
      </c>
      <c r="H103" s="342" t="s">
        <v>3423</v>
      </c>
      <c r="I103" s="342" t="s">
        <v>3211</v>
      </c>
      <c r="J103" s="345">
        <v>43373</v>
      </c>
      <c r="K103" s="345"/>
      <c r="L103" s="345"/>
      <c r="M103" s="342" t="s">
        <v>2853</v>
      </c>
      <c r="N103" s="342" t="s">
        <v>2088</v>
      </c>
      <c r="O103" s="345">
        <v>43361</v>
      </c>
      <c r="P103" s="355" t="s">
        <v>3061</v>
      </c>
      <c r="Q103" s="342" t="s">
        <v>2832</v>
      </c>
      <c r="R103" s="356"/>
      <c r="S103" s="354">
        <f t="shared" si="1"/>
        <v>41</v>
      </c>
    </row>
    <row r="104" spans="1:19" ht="25.35" customHeight="1" x14ac:dyDescent="0.2">
      <c r="A104" s="338" t="s">
        <v>4433</v>
      </c>
      <c r="B104" s="339">
        <v>43320</v>
      </c>
      <c r="C104" s="343" t="s">
        <v>4437</v>
      </c>
      <c r="D104" s="343" t="s">
        <v>4435</v>
      </c>
      <c r="E104" s="344" t="s">
        <v>2971</v>
      </c>
      <c r="F104" s="344">
        <v>1</v>
      </c>
      <c r="G104" s="344" t="s">
        <v>2841</v>
      </c>
      <c r="H104" s="344" t="s">
        <v>3423</v>
      </c>
      <c r="I104" s="344" t="s">
        <v>3211</v>
      </c>
      <c r="J104" s="339">
        <v>43371</v>
      </c>
      <c r="K104" s="339"/>
      <c r="L104" s="339"/>
      <c r="M104" s="344" t="s">
        <v>2853</v>
      </c>
      <c r="N104" s="344" t="s">
        <v>2088</v>
      </c>
      <c r="O104" s="339">
        <v>43354</v>
      </c>
      <c r="P104" s="353" t="s">
        <v>3061</v>
      </c>
      <c r="Q104" s="344" t="s">
        <v>2832</v>
      </c>
      <c r="R104" s="354"/>
      <c r="S104" s="354">
        <f t="shared" si="1"/>
        <v>34</v>
      </c>
    </row>
    <row r="105" spans="1:19" ht="25.35" customHeight="1" x14ac:dyDescent="0.2">
      <c r="A105" s="340" t="s">
        <v>4434</v>
      </c>
      <c r="B105" s="345">
        <v>43320</v>
      </c>
      <c r="C105" s="341" t="s">
        <v>4436</v>
      </c>
      <c r="D105" s="341" t="s">
        <v>4041</v>
      </c>
      <c r="E105" s="342" t="s">
        <v>2971</v>
      </c>
      <c r="F105" s="342">
        <v>1</v>
      </c>
      <c r="G105" s="342" t="s">
        <v>2841</v>
      </c>
      <c r="H105" s="342" t="s">
        <v>3423</v>
      </c>
      <c r="I105" s="342" t="s">
        <v>3211</v>
      </c>
      <c r="J105" s="345">
        <v>43371</v>
      </c>
      <c r="K105" s="345"/>
      <c r="L105" s="345"/>
      <c r="M105" s="342" t="s">
        <v>2853</v>
      </c>
      <c r="N105" s="342"/>
      <c r="O105" s="345">
        <v>43354</v>
      </c>
      <c r="P105" s="355" t="s">
        <v>3061</v>
      </c>
      <c r="Q105" s="342" t="s">
        <v>2832</v>
      </c>
      <c r="R105" s="356"/>
      <c r="S105" s="354">
        <f t="shared" si="1"/>
        <v>34</v>
      </c>
    </row>
    <row r="106" spans="1:19" ht="25.35" customHeight="1" x14ac:dyDescent="0.2">
      <c r="A106" s="338" t="s">
        <v>4438</v>
      </c>
      <c r="B106" s="339">
        <v>43320</v>
      </c>
      <c r="C106" s="343" t="s">
        <v>4439</v>
      </c>
      <c r="D106" s="343" t="s">
        <v>4440</v>
      </c>
      <c r="E106" s="344" t="s">
        <v>2971</v>
      </c>
      <c r="F106" s="344">
        <v>1</v>
      </c>
      <c r="G106" s="344" t="s">
        <v>2841</v>
      </c>
      <c r="H106" s="344" t="s">
        <v>4079</v>
      </c>
      <c r="I106" s="344" t="s">
        <v>3211</v>
      </c>
      <c r="J106" s="339">
        <v>43371</v>
      </c>
      <c r="K106" s="339"/>
      <c r="L106" s="339"/>
      <c r="M106" s="344" t="s">
        <v>2853</v>
      </c>
      <c r="N106" s="344" t="s">
        <v>2088</v>
      </c>
      <c r="O106" s="339">
        <v>43356</v>
      </c>
      <c r="P106" s="353" t="s">
        <v>3061</v>
      </c>
      <c r="Q106" s="344" t="s">
        <v>2832</v>
      </c>
      <c r="R106" s="354"/>
      <c r="S106" s="354">
        <f t="shared" si="1"/>
        <v>36</v>
      </c>
    </row>
    <row r="107" spans="1:19" ht="25.35" customHeight="1" x14ac:dyDescent="0.2">
      <c r="A107" s="340" t="s">
        <v>4441</v>
      </c>
      <c r="B107" s="345">
        <v>43321</v>
      </c>
      <c r="C107" s="341" t="s">
        <v>4442</v>
      </c>
      <c r="D107" s="341" t="s">
        <v>4443</v>
      </c>
      <c r="E107" s="342" t="s">
        <v>2869</v>
      </c>
      <c r="F107" s="342">
        <v>1</v>
      </c>
      <c r="G107" s="342" t="s">
        <v>2828</v>
      </c>
      <c r="H107" s="342" t="s">
        <v>615</v>
      </c>
      <c r="I107" s="342" t="s">
        <v>3926</v>
      </c>
      <c r="J107" s="345">
        <v>43352</v>
      </c>
      <c r="K107" s="345"/>
      <c r="L107" s="345"/>
      <c r="M107" s="342" t="s">
        <v>2853</v>
      </c>
      <c r="N107" s="342" t="s">
        <v>2088</v>
      </c>
      <c r="O107" s="345">
        <v>43322</v>
      </c>
      <c r="P107" s="355" t="s">
        <v>3061</v>
      </c>
      <c r="Q107" s="342" t="s">
        <v>2829</v>
      </c>
      <c r="R107" s="356"/>
      <c r="S107" s="354">
        <f t="shared" si="1"/>
        <v>1</v>
      </c>
    </row>
    <row r="108" spans="1:19" ht="25.35" customHeight="1" x14ac:dyDescent="0.2">
      <c r="A108" s="338" t="s">
        <v>4444</v>
      </c>
      <c r="B108" s="339">
        <v>43321</v>
      </c>
      <c r="C108" s="343" t="s">
        <v>4445</v>
      </c>
      <c r="D108" s="343" t="s">
        <v>4375</v>
      </c>
      <c r="E108" s="344" t="s">
        <v>4399</v>
      </c>
      <c r="F108" s="344">
        <v>1</v>
      </c>
      <c r="G108" s="344" t="s">
        <v>2828</v>
      </c>
      <c r="H108" s="344" t="s">
        <v>615</v>
      </c>
      <c r="I108" s="344" t="s">
        <v>3926</v>
      </c>
      <c r="J108" s="339">
        <v>43352</v>
      </c>
      <c r="K108" s="339"/>
      <c r="L108" s="339"/>
      <c r="M108" s="344" t="s">
        <v>2853</v>
      </c>
      <c r="N108" s="344" t="s">
        <v>2088</v>
      </c>
      <c r="O108" s="339">
        <v>43322</v>
      </c>
      <c r="P108" s="353" t="s">
        <v>3061</v>
      </c>
      <c r="Q108" s="344" t="s">
        <v>2829</v>
      </c>
      <c r="R108" s="354"/>
      <c r="S108" s="354">
        <f t="shared" si="1"/>
        <v>1</v>
      </c>
    </row>
    <row r="109" spans="1:19" ht="25.35" customHeight="1" x14ac:dyDescent="0.2">
      <c r="A109" s="340" t="s">
        <v>4446</v>
      </c>
      <c r="B109" s="345">
        <v>43325</v>
      </c>
      <c r="C109" s="341" t="s">
        <v>4447</v>
      </c>
      <c r="D109" s="341" t="s">
        <v>4448</v>
      </c>
      <c r="E109" s="342" t="s">
        <v>2971</v>
      </c>
      <c r="F109" s="342">
        <v>1</v>
      </c>
      <c r="G109" s="342" t="s">
        <v>2836</v>
      </c>
      <c r="H109" s="342" t="s">
        <v>481</v>
      </c>
      <c r="I109" s="342" t="s">
        <v>229</v>
      </c>
      <c r="J109" s="345">
        <v>43343</v>
      </c>
      <c r="K109" s="345"/>
      <c r="L109" s="345"/>
      <c r="M109" s="342" t="s">
        <v>2853</v>
      </c>
      <c r="N109" s="342" t="s">
        <v>2088</v>
      </c>
      <c r="O109" s="345">
        <v>43325</v>
      </c>
      <c r="P109" s="355" t="s">
        <v>3061</v>
      </c>
      <c r="Q109" s="342" t="s">
        <v>2829</v>
      </c>
      <c r="R109" s="356"/>
      <c r="S109" s="354">
        <f t="shared" si="1"/>
        <v>0</v>
      </c>
    </row>
    <row r="110" spans="1:19" ht="25.35" customHeight="1" x14ac:dyDescent="0.2">
      <c r="A110" s="338" t="s">
        <v>4449</v>
      </c>
      <c r="B110" s="339">
        <v>43327</v>
      </c>
      <c r="C110" s="343" t="s">
        <v>4451</v>
      </c>
      <c r="D110" s="343" t="s">
        <v>4452</v>
      </c>
      <c r="E110" s="344" t="s">
        <v>2971</v>
      </c>
      <c r="F110" s="344">
        <v>1</v>
      </c>
      <c r="G110" s="344" t="s">
        <v>2836</v>
      </c>
      <c r="H110" s="344" t="s">
        <v>685</v>
      </c>
      <c r="I110" s="344" t="s">
        <v>229</v>
      </c>
      <c r="J110" s="339">
        <v>43371</v>
      </c>
      <c r="K110" s="339"/>
      <c r="L110" s="339"/>
      <c r="M110" s="344" t="s">
        <v>2853</v>
      </c>
      <c r="N110" s="344" t="s">
        <v>2088</v>
      </c>
      <c r="O110" s="339">
        <v>43328</v>
      </c>
      <c r="P110" s="353" t="s">
        <v>3061</v>
      </c>
      <c r="Q110" s="344" t="s">
        <v>2829</v>
      </c>
      <c r="R110" s="354"/>
      <c r="S110" s="354">
        <f t="shared" si="1"/>
        <v>1</v>
      </c>
    </row>
    <row r="111" spans="1:19" ht="25.35" customHeight="1" x14ac:dyDescent="0.2">
      <c r="A111" s="340" t="s">
        <v>4450</v>
      </c>
      <c r="B111" s="345">
        <v>43327</v>
      </c>
      <c r="C111" s="341" t="s">
        <v>4453</v>
      </c>
      <c r="D111" s="341" t="s">
        <v>4452</v>
      </c>
      <c r="E111" s="342" t="s">
        <v>2971</v>
      </c>
      <c r="F111" s="342">
        <v>1</v>
      </c>
      <c r="G111" s="342" t="s">
        <v>2836</v>
      </c>
      <c r="H111" s="342" t="s">
        <v>685</v>
      </c>
      <c r="I111" s="342" t="s">
        <v>229</v>
      </c>
      <c r="J111" s="345">
        <v>43371</v>
      </c>
      <c r="K111" s="345"/>
      <c r="L111" s="345"/>
      <c r="M111" s="342" t="s">
        <v>2853</v>
      </c>
      <c r="N111" s="342" t="s">
        <v>2088</v>
      </c>
      <c r="O111" s="345">
        <v>43334</v>
      </c>
      <c r="P111" s="355" t="s">
        <v>3061</v>
      </c>
      <c r="Q111" s="342" t="s">
        <v>2829</v>
      </c>
      <c r="R111" s="356"/>
      <c r="S111" s="354">
        <f t="shared" si="1"/>
        <v>7</v>
      </c>
    </row>
    <row r="112" spans="1:19" ht="25.35" customHeight="1" x14ac:dyDescent="0.2">
      <c r="A112" s="338" t="s">
        <v>4454</v>
      </c>
      <c r="B112" s="339">
        <v>43333</v>
      </c>
      <c r="C112" s="343" t="s">
        <v>4455</v>
      </c>
      <c r="D112" s="343" t="s">
        <v>4456</v>
      </c>
      <c r="E112" s="344" t="s">
        <v>2971</v>
      </c>
      <c r="F112" s="344">
        <v>1</v>
      </c>
      <c r="G112" s="344" t="s">
        <v>2841</v>
      </c>
      <c r="H112" s="344" t="s">
        <v>3227</v>
      </c>
      <c r="I112" s="344" t="s">
        <v>3211</v>
      </c>
      <c r="J112" s="339">
        <v>43371</v>
      </c>
      <c r="K112" s="339"/>
      <c r="L112" s="339"/>
      <c r="M112" s="344" t="s">
        <v>2853</v>
      </c>
      <c r="N112" s="344" t="s">
        <v>2088</v>
      </c>
      <c r="O112" s="339">
        <v>43375</v>
      </c>
      <c r="P112" s="353" t="s">
        <v>3061</v>
      </c>
      <c r="Q112" s="344" t="s">
        <v>2832</v>
      </c>
      <c r="R112" s="354"/>
      <c r="S112" s="354">
        <f t="shared" si="1"/>
        <v>42</v>
      </c>
    </row>
    <row r="113" spans="1:19" ht="25.35" customHeight="1" x14ac:dyDescent="0.2">
      <c r="A113" s="340" t="s">
        <v>4457</v>
      </c>
      <c r="B113" s="345">
        <v>43333</v>
      </c>
      <c r="C113" s="341" t="s">
        <v>4458</v>
      </c>
      <c r="D113" s="341" t="s">
        <v>4141</v>
      </c>
      <c r="E113" s="342" t="s">
        <v>2971</v>
      </c>
      <c r="F113" s="342">
        <v>1</v>
      </c>
      <c r="G113" s="342" t="s">
        <v>2841</v>
      </c>
      <c r="H113" s="342" t="s">
        <v>229</v>
      </c>
      <c r="I113" s="342" t="s">
        <v>229</v>
      </c>
      <c r="J113" s="345">
        <v>43371</v>
      </c>
      <c r="K113" s="345"/>
      <c r="L113" s="345"/>
      <c r="M113" s="342" t="s">
        <v>2853</v>
      </c>
      <c r="N113" s="342" t="s">
        <v>2088</v>
      </c>
      <c r="O113" s="345">
        <v>43370</v>
      </c>
      <c r="P113" s="355" t="s">
        <v>3061</v>
      </c>
      <c r="Q113" s="342" t="s">
        <v>2832</v>
      </c>
      <c r="R113" s="356"/>
      <c r="S113" s="354">
        <f t="shared" si="1"/>
        <v>37</v>
      </c>
    </row>
    <row r="114" spans="1:19" ht="25.35" customHeight="1" x14ac:dyDescent="0.2">
      <c r="A114" s="338" t="s">
        <v>4459</v>
      </c>
      <c r="B114" s="339">
        <v>43335</v>
      </c>
      <c r="C114" s="343" t="s">
        <v>4460</v>
      </c>
      <c r="D114" s="343" t="s">
        <v>3873</v>
      </c>
      <c r="E114" s="344" t="s">
        <v>2971</v>
      </c>
      <c r="F114" s="344">
        <v>1</v>
      </c>
      <c r="G114" s="344" t="s">
        <v>2841</v>
      </c>
      <c r="H114" s="344" t="s">
        <v>229</v>
      </c>
      <c r="I114" s="344" t="s">
        <v>229</v>
      </c>
      <c r="J114" s="339">
        <v>43371</v>
      </c>
      <c r="K114" s="339"/>
      <c r="L114" s="339"/>
      <c r="M114" s="344" t="s">
        <v>2853</v>
      </c>
      <c r="N114" s="344" t="s">
        <v>2088</v>
      </c>
      <c r="O114" s="339">
        <v>43353</v>
      </c>
      <c r="P114" s="353" t="s">
        <v>3061</v>
      </c>
      <c r="Q114" s="344" t="s">
        <v>2829</v>
      </c>
      <c r="R114" s="354"/>
      <c r="S114" s="354">
        <f t="shared" si="1"/>
        <v>18</v>
      </c>
    </row>
    <row r="115" spans="1:19" ht="25.35" customHeight="1" x14ac:dyDescent="0.2">
      <c r="A115" s="340" t="s">
        <v>4461</v>
      </c>
      <c r="B115" s="345">
        <v>43338</v>
      </c>
      <c r="C115" s="341" t="s">
        <v>4462</v>
      </c>
      <c r="D115" s="341" t="s">
        <v>3873</v>
      </c>
      <c r="E115" s="342" t="s">
        <v>2971</v>
      </c>
      <c r="F115" s="342">
        <v>1</v>
      </c>
      <c r="G115" s="342" t="s">
        <v>2841</v>
      </c>
      <c r="H115" s="342" t="s">
        <v>229</v>
      </c>
      <c r="I115" s="342" t="s">
        <v>229</v>
      </c>
      <c r="J115" s="345">
        <v>43371</v>
      </c>
      <c r="K115" s="345"/>
      <c r="L115" s="345"/>
      <c r="M115" s="342" t="s">
        <v>2853</v>
      </c>
      <c r="N115" s="342" t="s">
        <v>2088</v>
      </c>
      <c r="O115" s="345">
        <v>43354</v>
      </c>
      <c r="P115" s="355" t="s">
        <v>3061</v>
      </c>
      <c r="Q115" s="342" t="s">
        <v>2829</v>
      </c>
      <c r="R115" s="356"/>
      <c r="S115" s="354">
        <f t="shared" si="1"/>
        <v>16</v>
      </c>
    </row>
    <row r="116" spans="1:19" ht="25.35" customHeight="1" x14ac:dyDescent="0.2">
      <c r="A116" s="338" t="s">
        <v>4463</v>
      </c>
      <c r="B116" s="339">
        <v>43339</v>
      </c>
      <c r="C116" s="343" t="s">
        <v>4465</v>
      </c>
      <c r="D116" s="343" t="s">
        <v>4464</v>
      </c>
      <c r="E116" s="344" t="s">
        <v>3400</v>
      </c>
      <c r="F116" s="344">
        <v>1</v>
      </c>
      <c r="G116" s="344" t="s">
        <v>2828</v>
      </c>
      <c r="H116" s="344" t="s">
        <v>3975</v>
      </c>
      <c r="I116" s="344" t="s">
        <v>3211</v>
      </c>
      <c r="J116" s="339">
        <v>43413</v>
      </c>
      <c r="K116" s="339"/>
      <c r="L116" s="339"/>
      <c r="M116" s="344" t="s">
        <v>2853</v>
      </c>
      <c r="N116" s="344" t="s">
        <v>2088</v>
      </c>
      <c r="O116" s="339">
        <v>43403</v>
      </c>
      <c r="P116" s="353" t="s">
        <v>3061</v>
      </c>
      <c r="Q116" s="344" t="s">
        <v>2832</v>
      </c>
      <c r="R116" s="354"/>
      <c r="S116" s="354">
        <f t="shared" si="1"/>
        <v>64</v>
      </c>
    </row>
    <row r="117" spans="1:19" ht="25.35" customHeight="1" x14ac:dyDescent="0.2">
      <c r="A117" s="340" t="s">
        <v>4466</v>
      </c>
      <c r="B117" s="345">
        <v>43339</v>
      </c>
      <c r="C117" s="341" t="s">
        <v>4467</v>
      </c>
      <c r="D117" s="341" t="s">
        <v>4468</v>
      </c>
      <c r="E117" s="342" t="s">
        <v>3586</v>
      </c>
      <c r="F117" s="342">
        <v>1</v>
      </c>
      <c r="G117" s="342" t="s">
        <v>2828</v>
      </c>
      <c r="H117" s="342" t="s">
        <v>3975</v>
      </c>
      <c r="I117" s="342" t="s">
        <v>3211</v>
      </c>
      <c r="J117" s="345">
        <v>43373</v>
      </c>
      <c r="K117" s="345"/>
      <c r="L117" s="345"/>
      <c r="M117" s="342" t="s">
        <v>2853</v>
      </c>
      <c r="N117" s="342" t="s">
        <v>2088</v>
      </c>
      <c r="O117" s="345">
        <v>43342</v>
      </c>
      <c r="P117" s="355" t="s">
        <v>3061</v>
      </c>
      <c r="Q117" s="342" t="s">
        <v>2829</v>
      </c>
      <c r="R117" s="356"/>
      <c r="S117" s="354">
        <f t="shared" si="1"/>
        <v>3</v>
      </c>
    </row>
    <row r="118" spans="1:19" ht="25.35" customHeight="1" x14ac:dyDescent="0.2">
      <c r="A118" s="338" t="s">
        <v>4469</v>
      </c>
      <c r="B118" s="339">
        <v>43347</v>
      </c>
      <c r="C118" s="343" t="s">
        <v>4470</v>
      </c>
      <c r="D118" s="343" t="s">
        <v>4471</v>
      </c>
      <c r="E118" s="344" t="s">
        <v>3210</v>
      </c>
      <c r="F118" s="344">
        <v>1</v>
      </c>
      <c r="G118" s="344" t="s">
        <v>2828</v>
      </c>
      <c r="H118" s="344" t="s">
        <v>4079</v>
      </c>
      <c r="I118" s="344" t="s">
        <v>3211</v>
      </c>
      <c r="J118" s="339">
        <v>43408</v>
      </c>
      <c r="K118" s="339"/>
      <c r="L118" s="339"/>
      <c r="M118" s="344" t="s">
        <v>2853</v>
      </c>
      <c r="N118" s="344" t="s">
        <v>2088</v>
      </c>
      <c r="O118" s="339">
        <v>43349</v>
      </c>
      <c r="P118" s="353" t="s">
        <v>3061</v>
      </c>
      <c r="Q118" s="344" t="s">
        <v>2829</v>
      </c>
      <c r="R118" s="354"/>
      <c r="S118" s="354">
        <f t="shared" si="1"/>
        <v>2</v>
      </c>
    </row>
    <row r="119" spans="1:19" ht="25.35" customHeight="1" x14ac:dyDescent="0.2">
      <c r="A119" s="340" t="s">
        <v>4472</v>
      </c>
      <c r="B119" s="345">
        <v>43348</v>
      </c>
      <c r="C119" s="341" t="s">
        <v>4473</v>
      </c>
      <c r="D119" s="341" t="s">
        <v>4464</v>
      </c>
      <c r="E119" s="342" t="s">
        <v>2869</v>
      </c>
      <c r="F119" s="342">
        <v>1</v>
      </c>
      <c r="G119" s="342" t="s">
        <v>2828</v>
      </c>
      <c r="H119" s="342" t="s">
        <v>4232</v>
      </c>
      <c r="I119" s="342" t="s">
        <v>3211</v>
      </c>
      <c r="J119" s="345">
        <v>43378</v>
      </c>
      <c r="K119" s="345"/>
      <c r="L119" s="345"/>
      <c r="M119" s="342" t="s">
        <v>2853</v>
      </c>
      <c r="N119" s="342" t="s">
        <v>2088</v>
      </c>
      <c r="O119" s="345">
        <v>43371</v>
      </c>
      <c r="P119" s="355" t="s">
        <v>3061</v>
      </c>
      <c r="Q119" s="342" t="s">
        <v>2829</v>
      </c>
      <c r="R119" s="356"/>
      <c r="S119" s="354">
        <f t="shared" si="1"/>
        <v>23</v>
      </c>
    </row>
    <row r="120" spans="1:19" ht="25.35" customHeight="1" x14ac:dyDescent="0.2">
      <c r="A120" s="338" t="s">
        <v>4474</v>
      </c>
      <c r="B120" s="339">
        <v>43348</v>
      </c>
      <c r="C120" s="343" t="s">
        <v>4475</v>
      </c>
      <c r="D120" s="343" t="s">
        <v>4476</v>
      </c>
      <c r="E120" s="344" t="s">
        <v>2971</v>
      </c>
      <c r="F120" s="344">
        <v>1</v>
      </c>
      <c r="G120" s="344" t="s">
        <v>2838</v>
      </c>
      <c r="H120" s="344" t="s">
        <v>685</v>
      </c>
      <c r="I120" s="344" t="s">
        <v>229</v>
      </c>
      <c r="J120" s="339">
        <v>43348</v>
      </c>
      <c r="K120" s="339"/>
      <c r="L120" s="339"/>
      <c r="M120" s="344" t="s">
        <v>2853</v>
      </c>
      <c r="N120" s="344" t="s">
        <v>2088</v>
      </c>
      <c r="O120" s="339">
        <v>43349</v>
      </c>
      <c r="P120" s="353" t="s">
        <v>3061</v>
      </c>
      <c r="Q120" s="344" t="s">
        <v>2829</v>
      </c>
      <c r="R120" s="354"/>
      <c r="S120" s="354">
        <f t="shared" si="1"/>
        <v>1</v>
      </c>
    </row>
    <row r="121" spans="1:19" ht="25.35" customHeight="1" x14ac:dyDescent="0.2">
      <c r="A121" s="340" t="s">
        <v>4477</v>
      </c>
      <c r="B121" s="345">
        <v>43349</v>
      </c>
      <c r="C121" s="341" t="s">
        <v>4524</v>
      </c>
      <c r="D121" s="341" t="s">
        <v>4525</v>
      </c>
      <c r="E121" s="342" t="s">
        <v>2971</v>
      </c>
      <c r="F121" s="342">
        <v>1</v>
      </c>
      <c r="G121" s="342" t="s">
        <v>4300</v>
      </c>
      <c r="H121" s="342" t="s">
        <v>3645</v>
      </c>
      <c r="I121" s="342" t="s">
        <v>229</v>
      </c>
      <c r="J121" s="345">
        <v>43350</v>
      </c>
      <c r="K121" s="345"/>
      <c r="L121" s="345"/>
      <c r="M121" s="342" t="s">
        <v>2853</v>
      </c>
      <c r="N121" s="342" t="s">
        <v>2088</v>
      </c>
      <c r="O121" s="345">
        <v>43349</v>
      </c>
      <c r="P121" s="355" t="s">
        <v>3061</v>
      </c>
      <c r="Q121" s="342" t="s">
        <v>2829</v>
      </c>
      <c r="R121" s="356"/>
      <c r="S121" s="354">
        <f t="shared" si="1"/>
        <v>0</v>
      </c>
    </row>
    <row r="122" spans="1:19" ht="25.35" customHeight="1" x14ac:dyDescent="0.2">
      <c r="A122" s="338" t="s">
        <v>4478</v>
      </c>
      <c r="B122" s="339">
        <v>43350</v>
      </c>
      <c r="C122" s="343" t="s">
        <v>4480</v>
      </c>
      <c r="D122" s="343" t="s">
        <v>4479</v>
      </c>
      <c r="E122" s="344" t="s">
        <v>2971</v>
      </c>
      <c r="F122" s="344">
        <v>1</v>
      </c>
      <c r="G122" s="344" t="s">
        <v>2836</v>
      </c>
      <c r="H122" s="344" t="s">
        <v>481</v>
      </c>
      <c r="I122" s="344" t="s">
        <v>229</v>
      </c>
      <c r="J122" s="339">
        <v>43404</v>
      </c>
      <c r="K122" s="339"/>
      <c r="L122" s="339"/>
      <c r="M122" s="344" t="s">
        <v>2853</v>
      </c>
      <c r="N122" s="344" t="s">
        <v>3022</v>
      </c>
      <c r="O122" s="339">
        <v>43445</v>
      </c>
      <c r="P122" s="353" t="s">
        <v>3022</v>
      </c>
      <c r="Q122" s="344" t="s">
        <v>2835</v>
      </c>
      <c r="R122" s="354"/>
      <c r="S122" s="354">
        <f t="shared" si="1"/>
        <v>95</v>
      </c>
    </row>
    <row r="123" spans="1:19" ht="25.35" customHeight="1" x14ac:dyDescent="0.2">
      <c r="A123" s="340" t="s">
        <v>4481</v>
      </c>
      <c r="B123" s="345">
        <v>43350</v>
      </c>
      <c r="C123" s="341" t="s">
        <v>4482</v>
      </c>
      <c r="D123" s="341" t="s">
        <v>4483</v>
      </c>
      <c r="E123" s="342" t="s">
        <v>2971</v>
      </c>
      <c r="F123" s="342">
        <v>1</v>
      </c>
      <c r="G123" s="342" t="s">
        <v>2838</v>
      </c>
      <c r="H123" s="342" t="s">
        <v>685</v>
      </c>
      <c r="I123" s="342" t="s">
        <v>229</v>
      </c>
      <c r="J123" s="345">
        <v>43371</v>
      </c>
      <c r="K123" s="345"/>
      <c r="L123" s="345"/>
      <c r="M123" s="342" t="s">
        <v>2853</v>
      </c>
      <c r="N123" s="342" t="s">
        <v>2088</v>
      </c>
      <c r="O123" s="345">
        <v>43353</v>
      </c>
      <c r="P123" s="355" t="s">
        <v>3061</v>
      </c>
      <c r="Q123" s="342" t="s">
        <v>2829</v>
      </c>
      <c r="R123" s="356"/>
      <c r="S123" s="354">
        <f t="shared" si="1"/>
        <v>3</v>
      </c>
    </row>
    <row r="124" spans="1:19" ht="25.35" customHeight="1" x14ac:dyDescent="0.2">
      <c r="A124" s="338" t="s">
        <v>4484</v>
      </c>
      <c r="B124" s="339">
        <v>43354</v>
      </c>
      <c r="C124" s="343" t="s">
        <v>4485</v>
      </c>
      <c r="D124" s="343" t="s">
        <v>4486</v>
      </c>
      <c r="E124" s="344" t="s">
        <v>3532</v>
      </c>
      <c r="F124" s="344">
        <v>1</v>
      </c>
      <c r="G124" s="344" t="s">
        <v>2828</v>
      </c>
      <c r="H124" s="344" t="s">
        <v>3975</v>
      </c>
      <c r="I124" s="344" t="s">
        <v>3926</v>
      </c>
      <c r="J124" s="339">
        <v>43410</v>
      </c>
      <c r="K124" s="339"/>
      <c r="L124" s="339"/>
      <c r="M124" s="344" t="s">
        <v>2853</v>
      </c>
      <c r="N124" s="344" t="s">
        <v>3022</v>
      </c>
      <c r="O124" s="339">
        <v>43417</v>
      </c>
      <c r="P124" s="353" t="s">
        <v>3022</v>
      </c>
      <c r="Q124" s="344" t="s">
        <v>2832</v>
      </c>
      <c r="R124" s="354"/>
      <c r="S124" s="354">
        <f t="shared" si="1"/>
        <v>63</v>
      </c>
    </row>
    <row r="125" spans="1:19" ht="25.35" customHeight="1" x14ac:dyDescent="0.2">
      <c r="A125" s="340" t="s">
        <v>4487</v>
      </c>
      <c r="B125" s="345">
        <v>43354</v>
      </c>
      <c r="C125" s="341" t="s">
        <v>4488</v>
      </c>
      <c r="D125" s="341" t="s">
        <v>4048</v>
      </c>
      <c r="E125" s="342" t="s">
        <v>2971</v>
      </c>
      <c r="F125" s="342">
        <v>1</v>
      </c>
      <c r="G125" s="342" t="s">
        <v>2841</v>
      </c>
      <c r="H125" s="342" t="s">
        <v>3645</v>
      </c>
      <c r="I125" s="342" t="s">
        <v>229</v>
      </c>
      <c r="J125" s="345">
        <v>43371</v>
      </c>
      <c r="K125" s="345"/>
      <c r="L125" s="345"/>
      <c r="M125" s="342" t="s">
        <v>2853</v>
      </c>
      <c r="N125" s="342" t="s">
        <v>2088</v>
      </c>
      <c r="O125" s="345">
        <v>43370</v>
      </c>
      <c r="P125" s="355" t="s">
        <v>3061</v>
      </c>
      <c r="Q125" s="342" t="s">
        <v>2829</v>
      </c>
      <c r="R125" s="356"/>
      <c r="S125" s="354">
        <f t="shared" si="1"/>
        <v>16</v>
      </c>
    </row>
    <row r="126" spans="1:19" ht="25.35" customHeight="1" x14ac:dyDescent="0.2">
      <c r="A126" s="338" t="s">
        <v>4489</v>
      </c>
      <c r="B126" s="339">
        <v>43354</v>
      </c>
      <c r="C126" s="343" t="s">
        <v>4490</v>
      </c>
      <c r="D126" s="343" t="s">
        <v>3873</v>
      </c>
      <c r="E126" s="344" t="s">
        <v>2971</v>
      </c>
      <c r="F126" s="344">
        <v>1</v>
      </c>
      <c r="G126" s="344" t="s">
        <v>2841</v>
      </c>
      <c r="H126" s="344" t="s">
        <v>229</v>
      </c>
      <c r="I126" s="344" t="s">
        <v>229</v>
      </c>
      <c r="J126" s="339">
        <v>43371</v>
      </c>
      <c r="K126" s="339"/>
      <c r="L126" s="339"/>
      <c r="M126" s="344" t="s">
        <v>2853</v>
      </c>
      <c r="N126" s="344" t="s">
        <v>2088</v>
      </c>
      <c r="O126" s="339">
        <v>43374</v>
      </c>
      <c r="P126" s="353" t="s">
        <v>3061</v>
      </c>
      <c r="Q126" s="344" t="s">
        <v>2829</v>
      </c>
      <c r="R126" s="354"/>
      <c r="S126" s="354">
        <f t="shared" si="1"/>
        <v>20</v>
      </c>
    </row>
    <row r="127" spans="1:19" ht="25.35" customHeight="1" x14ac:dyDescent="0.2">
      <c r="A127" s="340" t="s">
        <v>4491</v>
      </c>
      <c r="B127" s="345">
        <v>43356</v>
      </c>
      <c r="C127" s="341" t="s">
        <v>4492</v>
      </c>
      <c r="D127" s="341" t="s">
        <v>4493</v>
      </c>
      <c r="E127" s="342" t="s">
        <v>4242</v>
      </c>
      <c r="F127" s="342">
        <v>1</v>
      </c>
      <c r="G127" s="342" t="s">
        <v>2828</v>
      </c>
      <c r="H127" s="342" t="s">
        <v>4232</v>
      </c>
      <c r="I127" s="342" t="s">
        <v>3211</v>
      </c>
      <c r="J127" s="345">
        <v>43386</v>
      </c>
      <c r="K127" s="345"/>
      <c r="L127" s="345"/>
      <c r="M127" s="342" t="s">
        <v>2853</v>
      </c>
      <c r="N127" s="342" t="s">
        <v>2088</v>
      </c>
      <c r="O127" s="345">
        <v>43376</v>
      </c>
      <c r="P127" s="355" t="s">
        <v>3061</v>
      </c>
      <c r="Q127" s="342" t="s">
        <v>2829</v>
      </c>
      <c r="R127" s="356"/>
      <c r="S127" s="354">
        <f t="shared" si="1"/>
        <v>20</v>
      </c>
    </row>
    <row r="128" spans="1:19" ht="25.35" customHeight="1" x14ac:dyDescent="0.2">
      <c r="A128" s="338" t="s">
        <v>4494</v>
      </c>
      <c r="B128" s="339">
        <v>43356</v>
      </c>
      <c r="C128" s="343" t="s">
        <v>4495</v>
      </c>
      <c r="D128" s="343" t="s">
        <v>4497</v>
      </c>
      <c r="E128" s="344" t="s">
        <v>2971</v>
      </c>
      <c r="F128" s="344">
        <v>1</v>
      </c>
      <c r="G128" s="344" t="s">
        <v>4251</v>
      </c>
      <c r="H128" s="344" t="s">
        <v>4496</v>
      </c>
      <c r="I128" s="344" t="s">
        <v>3645</v>
      </c>
      <c r="J128" s="339">
        <v>43357</v>
      </c>
      <c r="K128" s="339"/>
      <c r="L128" s="339"/>
      <c r="M128" s="344" t="s">
        <v>2853</v>
      </c>
      <c r="N128" s="344" t="s">
        <v>2088</v>
      </c>
      <c r="O128" s="339">
        <v>43356</v>
      </c>
      <c r="P128" s="353" t="s">
        <v>3061</v>
      </c>
      <c r="Q128" s="344" t="s">
        <v>2829</v>
      </c>
      <c r="R128" s="354"/>
      <c r="S128" s="354">
        <f t="shared" si="1"/>
        <v>0</v>
      </c>
    </row>
    <row r="129" spans="1:19" ht="25.35" customHeight="1" x14ac:dyDescent="0.2">
      <c r="A129" s="340" t="s">
        <v>4499</v>
      </c>
      <c r="B129" s="345">
        <v>43356</v>
      </c>
      <c r="C129" s="341" t="s">
        <v>4498</v>
      </c>
      <c r="D129" s="341" t="s">
        <v>3039</v>
      </c>
      <c r="E129" s="342" t="s">
        <v>2971</v>
      </c>
      <c r="F129" s="342">
        <v>1</v>
      </c>
      <c r="G129" s="342" t="s">
        <v>2841</v>
      </c>
      <c r="H129" s="342" t="s">
        <v>3991</v>
      </c>
      <c r="I129" s="342" t="s">
        <v>229</v>
      </c>
      <c r="J129" s="345">
        <v>43385</v>
      </c>
      <c r="K129" s="345"/>
      <c r="L129" s="345"/>
      <c r="M129" s="342" t="s">
        <v>2853</v>
      </c>
      <c r="N129" s="342" t="s">
        <v>2088</v>
      </c>
      <c r="O129" s="345">
        <v>43374</v>
      </c>
      <c r="P129" s="355" t="s">
        <v>3061</v>
      </c>
      <c r="Q129" s="342" t="s">
        <v>2829</v>
      </c>
      <c r="R129" s="356"/>
      <c r="S129" s="354">
        <f t="shared" si="1"/>
        <v>18</v>
      </c>
    </row>
    <row r="130" spans="1:19" ht="25.35" customHeight="1" x14ac:dyDescent="0.2">
      <c r="A130" s="338" t="s">
        <v>4500</v>
      </c>
      <c r="B130" s="339">
        <v>43356</v>
      </c>
      <c r="C130" s="343" t="s">
        <v>4501</v>
      </c>
      <c r="D130" s="343" t="s">
        <v>3039</v>
      </c>
      <c r="E130" s="344" t="s">
        <v>2971</v>
      </c>
      <c r="F130" s="344">
        <v>1</v>
      </c>
      <c r="G130" s="344" t="s">
        <v>2841</v>
      </c>
      <c r="H130" s="344" t="s">
        <v>4502</v>
      </c>
      <c r="I130" s="344" t="s">
        <v>229</v>
      </c>
      <c r="J130" s="339">
        <v>43385</v>
      </c>
      <c r="K130" s="339"/>
      <c r="L130" s="339"/>
      <c r="M130" s="344" t="s">
        <v>2853</v>
      </c>
      <c r="N130" s="344" t="s">
        <v>2088</v>
      </c>
      <c r="O130" s="339">
        <v>43376</v>
      </c>
      <c r="P130" s="353" t="s">
        <v>3061</v>
      </c>
      <c r="Q130" s="344" t="s">
        <v>2829</v>
      </c>
      <c r="R130" s="354"/>
      <c r="S130" s="354">
        <f t="shared" si="1"/>
        <v>20</v>
      </c>
    </row>
    <row r="131" spans="1:19" ht="25.35" customHeight="1" x14ac:dyDescent="0.2">
      <c r="A131" s="340" t="s">
        <v>4503</v>
      </c>
      <c r="B131" s="345">
        <v>43356</v>
      </c>
      <c r="C131" s="341" t="s">
        <v>4504</v>
      </c>
      <c r="D131" s="341" t="s">
        <v>4048</v>
      </c>
      <c r="E131" s="342" t="s">
        <v>2971</v>
      </c>
      <c r="F131" s="342">
        <v>1</v>
      </c>
      <c r="G131" s="342" t="s">
        <v>2841</v>
      </c>
      <c r="H131" s="342" t="s">
        <v>229</v>
      </c>
      <c r="I131" s="342" t="s">
        <v>229</v>
      </c>
      <c r="J131" s="345">
        <v>43404</v>
      </c>
      <c r="K131" s="345"/>
      <c r="L131" s="345"/>
      <c r="M131" s="342" t="s">
        <v>2853</v>
      </c>
      <c r="N131" s="342" t="s">
        <v>2088</v>
      </c>
      <c r="O131" s="345">
        <v>43382</v>
      </c>
      <c r="P131" s="355" t="s">
        <v>3061</v>
      </c>
      <c r="Q131" s="342" t="s">
        <v>2829</v>
      </c>
      <c r="R131" s="356"/>
      <c r="S131" s="354">
        <f t="shared" ref="S131:S194" si="2">O131-B131</f>
        <v>26</v>
      </c>
    </row>
    <row r="132" spans="1:19" ht="25.35" customHeight="1" x14ac:dyDescent="0.2">
      <c r="A132" s="338" t="s">
        <v>4505</v>
      </c>
      <c r="B132" s="339">
        <v>43357</v>
      </c>
      <c r="C132" s="343" t="s">
        <v>4506</v>
      </c>
      <c r="D132" s="343" t="s">
        <v>3873</v>
      </c>
      <c r="E132" s="344" t="s">
        <v>2971</v>
      </c>
      <c r="F132" s="344">
        <v>1</v>
      </c>
      <c r="G132" s="344" t="s">
        <v>2841</v>
      </c>
      <c r="H132" s="344" t="s">
        <v>229</v>
      </c>
      <c r="I132" s="344" t="s">
        <v>229</v>
      </c>
      <c r="J132" s="339">
        <v>43385</v>
      </c>
      <c r="K132" s="339"/>
      <c r="L132" s="339"/>
      <c r="M132" s="344" t="s">
        <v>2853</v>
      </c>
      <c r="N132" s="344" t="s">
        <v>2088</v>
      </c>
      <c r="O132" s="339">
        <v>43389</v>
      </c>
      <c r="P132" s="353" t="s">
        <v>3061</v>
      </c>
      <c r="Q132" s="344" t="s">
        <v>2829</v>
      </c>
      <c r="R132" s="354"/>
      <c r="S132" s="354">
        <f t="shared" si="2"/>
        <v>32</v>
      </c>
    </row>
    <row r="133" spans="1:19" ht="25.35" customHeight="1" x14ac:dyDescent="0.2">
      <c r="A133" s="340" t="s">
        <v>4507</v>
      </c>
      <c r="B133" s="345">
        <v>43360</v>
      </c>
      <c r="C133" s="341" t="s">
        <v>4508</v>
      </c>
      <c r="D133" s="341" t="s">
        <v>4509</v>
      </c>
      <c r="E133" s="342" t="s">
        <v>2971</v>
      </c>
      <c r="F133" s="342">
        <v>1</v>
      </c>
      <c r="G133" s="342" t="s">
        <v>2838</v>
      </c>
      <c r="H133" s="342" t="s">
        <v>685</v>
      </c>
      <c r="I133" s="342" t="s">
        <v>229</v>
      </c>
      <c r="J133" s="345">
        <v>43371</v>
      </c>
      <c r="K133" s="345"/>
      <c r="L133" s="345"/>
      <c r="M133" s="342" t="s">
        <v>2853</v>
      </c>
      <c r="N133" s="342" t="s">
        <v>2088</v>
      </c>
      <c r="O133" s="345">
        <v>43371</v>
      </c>
      <c r="P133" s="355" t="s">
        <v>3061</v>
      </c>
      <c r="Q133" s="342" t="s">
        <v>2829</v>
      </c>
      <c r="R133" s="356"/>
      <c r="S133" s="354">
        <f t="shared" si="2"/>
        <v>11</v>
      </c>
    </row>
    <row r="134" spans="1:19" ht="25.35" customHeight="1" x14ac:dyDescent="0.2">
      <c r="A134" s="338" t="s">
        <v>4510</v>
      </c>
      <c r="B134" s="339">
        <v>43360</v>
      </c>
      <c r="C134" s="343" t="s">
        <v>4512</v>
      </c>
      <c r="D134" s="343" t="s">
        <v>4511</v>
      </c>
      <c r="E134" s="344" t="s">
        <v>2971</v>
      </c>
      <c r="F134" s="344">
        <v>1</v>
      </c>
      <c r="G134" s="344" t="s">
        <v>2841</v>
      </c>
      <c r="H134" s="344" t="s">
        <v>229</v>
      </c>
      <c r="I134" s="344" t="s">
        <v>229</v>
      </c>
      <c r="J134" s="339">
        <v>43385</v>
      </c>
      <c r="K134" s="339"/>
      <c r="L134" s="339"/>
      <c r="M134" s="344" t="s">
        <v>2853</v>
      </c>
      <c r="N134" s="344" t="s">
        <v>2088</v>
      </c>
      <c r="O134" s="339">
        <v>43389</v>
      </c>
      <c r="P134" s="353" t="s">
        <v>3061</v>
      </c>
      <c r="Q134" s="344" t="s">
        <v>2829</v>
      </c>
      <c r="R134" s="354"/>
      <c r="S134" s="354">
        <f t="shared" si="2"/>
        <v>29</v>
      </c>
    </row>
    <row r="135" spans="1:19" ht="25.35" customHeight="1" x14ac:dyDescent="0.2">
      <c r="A135" s="340" t="s">
        <v>4513</v>
      </c>
      <c r="B135" s="345">
        <v>43361</v>
      </c>
      <c r="C135" s="341" t="s">
        <v>4514</v>
      </c>
      <c r="D135" s="341" t="s">
        <v>4515</v>
      </c>
      <c r="E135" s="342" t="s">
        <v>3323</v>
      </c>
      <c r="F135" s="342">
        <v>1</v>
      </c>
      <c r="G135" s="342" t="s">
        <v>2828</v>
      </c>
      <c r="H135" s="342" t="s">
        <v>615</v>
      </c>
      <c r="I135" s="342" t="s">
        <v>3926</v>
      </c>
      <c r="J135" s="345">
        <v>43375</v>
      </c>
      <c r="K135" s="345"/>
      <c r="L135" s="345"/>
      <c r="M135" s="342" t="s">
        <v>2853</v>
      </c>
      <c r="N135" s="342" t="s">
        <v>2088</v>
      </c>
      <c r="O135" s="345">
        <v>43364</v>
      </c>
      <c r="P135" s="355" t="s">
        <v>3061</v>
      </c>
      <c r="Q135" s="342" t="s">
        <v>2829</v>
      </c>
      <c r="R135" s="356"/>
      <c r="S135" s="354">
        <f t="shared" si="2"/>
        <v>3</v>
      </c>
    </row>
    <row r="136" spans="1:19" ht="25.35" customHeight="1" x14ac:dyDescent="0.2">
      <c r="A136" s="338" t="s">
        <v>4516</v>
      </c>
      <c r="B136" s="339">
        <v>43361</v>
      </c>
      <c r="C136" s="343" t="s">
        <v>4518</v>
      </c>
      <c r="D136" s="343" t="s">
        <v>4517</v>
      </c>
      <c r="E136" s="344" t="s">
        <v>2971</v>
      </c>
      <c r="F136" s="344">
        <v>1</v>
      </c>
      <c r="G136" s="344" t="s">
        <v>2836</v>
      </c>
      <c r="H136" s="344" t="s">
        <v>727</v>
      </c>
      <c r="I136" s="344" t="s">
        <v>229</v>
      </c>
      <c r="J136" s="339">
        <v>43404</v>
      </c>
      <c r="K136" s="339"/>
      <c r="L136" s="339"/>
      <c r="M136" s="344" t="s">
        <v>2853</v>
      </c>
      <c r="N136" s="344" t="s">
        <v>2088</v>
      </c>
      <c r="O136" s="339">
        <v>43369</v>
      </c>
      <c r="P136" s="353" t="s">
        <v>3061</v>
      </c>
      <c r="Q136" s="344" t="s">
        <v>2829</v>
      </c>
      <c r="R136" s="354"/>
      <c r="S136" s="354">
        <f t="shared" si="2"/>
        <v>8</v>
      </c>
    </row>
    <row r="137" spans="1:19" ht="25.35" customHeight="1" x14ac:dyDescent="0.2">
      <c r="A137" s="340" t="s">
        <v>4519</v>
      </c>
      <c r="B137" s="345">
        <v>43361</v>
      </c>
      <c r="C137" s="341" t="s">
        <v>4520</v>
      </c>
      <c r="D137" s="341" t="s">
        <v>4517</v>
      </c>
      <c r="E137" s="342" t="s">
        <v>2971</v>
      </c>
      <c r="F137" s="342">
        <v>1</v>
      </c>
      <c r="G137" s="342" t="s">
        <v>2836</v>
      </c>
      <c r="H137" s="342" t="s">
        <v>727</v>
      </c>
      <c r="I137" s="342" t="s">
        <v>229</v>
      </c>
      <c r="J137" s="345">
        <v>43404</v>
      </c>
      <c r="K137" s="345"/>
      <c r="L137" s="345"/>
      <c r="M137" s="342" t="s">
        <v>2853</v>
      </c>
      <c r="N137" s="342" t="s">
        <v>2088</v>
      </c>
      <c r="O137" s="345">
        <v>43389</v>
      </c>
      <c r="P137" s="355" t="s">
        <v>3061</v>
      </c>
      <c r="Q137" s="342" t="s">
        <v>2829</v>
      </c>
      <c r="R137" s="356"/>
      <c r="S137" s="354">
        <f t="shared" si="2"/>
        <v>28</v>
      </c>
    </row>
    <row r="138" spans="1:19" ht="25.35" customHeight="1" x14ac:dyDescent="0.2">
      <c r="A138" s="338" t="s">
        <v>4521</v>
      </c>
      <c r="B138" s="339">
        <v>43361</v>
      </c>
      <c r="C138" s="343" t="s">
        <v>4522</v>
      </c>
      <c r="D138" s="343" t="s">
        <v>4523</v>
      </c>
      <c r="E138" s="344" t="s">
        <v>2971</v>
      </c>
      <c r="F138" s="344">
        <v>1</v>
      </c>
      <c r="G138" s="344" t="s">
        <v>4300</v>
      </c>
      <c r="H138" s="344" t="s">
        <v>229</v>
      </c>
      <c r="I138" s="344" t="s">
        <v>229</v>
      </c>
      <c r="J138" s="339">
        <v>43364</v>
      </c>
      <c r="K138" s="339"/>
      <c r="L138" s="339"/>
      <c r="M138" s="344" t="s">
        <v>2853</v>
      </c>
      <c r="N138" s="344" t="s">
        <v>2088</v>
      </c>
      <c r="O138" s="339">
        <v>43775</v>
      </c>
      <c r="P138" s="353" t="s">
        <v>3022</v>
      </c>
      <c r="Q138" s="344" t="s">
        <v>2839</v>
      </c>
      <c r="R138" s="354"/>
      <c r="S138" s="354">
        <f t="shared" si="2"/>
        <v>414</v>
      </c>
    </row>
    <row r="139" spans="1:19" ht="25.35" customHeight="1" x14ac:dyDescent="0.2">
      <c r="A139" s="340" t="s">
        <v>4526</v>
      </c>
      <c r="B139" s="345">
        <v>43363</v>
      </c>
      <c r="C139" s="341" t="s">
        <v>4527</v>
      </c>
      <c r="D139" s="341" t="s">
        <v>4528</v>
      </c>
      <c r="E139" s="342" t="s">
        <v>2869</v>
      </c>
      <c r="F139" s="342">
        <v>1</v>
      </c>
      <c r="G139" s="342" t="s">
        <v>2828</v>
      </c>
      <c r="H139" s="342" t="s">
        <v>4232</v>
      </c>
      <c r="I139" s="342" t="s">
        <v>3211</v>
      </c>
      <c r="J139" s="345">
        <v>43395</v>
      </c>
      <c r="K139" s="345"/>
      <c r="L139" s="345"/>
      <c r="M139" s="342" t="s">
        <v>2853</v>
      </c>
      <c r="N139" s="342" t="s">
        <v>2088</v>
      </c>
      <c r="O139" s="345">
        <v>43444</v>
      </c>
      <c r="P139" s="355" t="s">
        <v>3061</v>
      </c>
      <c r="Q139" s="342" t="s">
        <v>2832</v>
      </c>
      <c r="R139" s="356"/>
      <c r="S139" s="354">
        <f t="shared" si="2"/>
        <v>81</v>
      </c>
    </row>
    <row r="140" spans="1:19" ht="25.35" customHeight="1" x14ac:dyDescent="0.2">
      <c r="A140" s="338" t="s">
        <v>4529</v>
      </c>
      <c r="B140" s="339">
        <v>43363</v>
      </c>
      <c r="C140" s="343" t="s">
        <v>4530</v>
      </c>
      <c r="D140" s="343" t="s">
        <v>4531</v>
      </c>
      <c r="E140" s="344" t="s">
        <v>2971</v>
      </c>
      <c r="F140" s="344">
        <v>1</v>
      </c>
      <c r="G140" s="344" t="s">
        <v>4251</v>
      </c>
      <c r="H140" s="344" t="s">
        <v>685</v>
      </c>
      <c r="I140" s="344" t="s">
        <v>3645</v>
      </c>
      <c r="J140" s="339">
        <v>43364</v>
      </c>
      <c r="K140" s="339"/>
      <c r="L140" s="339"/>
      <c r="M140" s="344" t="s">
        <v>2853</v>
      </c>
      <c r="N140" s="344" t="s">
        <v>2088</v>
      </c>
      <c r="O140" s="339">
        <v>43363</v>
      </c>
      <c r="P140" s="353" t="s">
        <v>3061</v>
      </c>
      <c r="Q140" s="344" t="s">
        <v>2829</v>
      </c>
      <c r="R140" s="354" t="s">
        <v>4981</v>
      </c>
      <c r="S140" s="354">
        <f t="shared" si="2"/>
        <v>0</v>
      </c>
    </row>
    <row r="141" spans="1:19" ht="25.35" customHeight="1" x14ac:dyDescent="0.2">
      <c r="A141" s="340" t="s">
        <v>4532</v>
      </c>
      <c r="B141" s="345">
        <v>43364</v>
      </c>
      <c r="C141" s="341" t="s">
        <v>4533</v>
      </c>
      <c r="D141" s="341" t="s">
        <v>4534</v>
      </c>
      <c r="E141" s="342" t="s">
        <v>4535</v>
      </c>
      <c r="F141" s="342">
        <v>1</v>
      </c>
      <c r="G141" s="342" t="s">
        <v>2828</v>
      </c>
      <c r="H141" s="342" t="s">
        <v>4079</v>
      </c>
      <c r="I141" s="342" t="s">
        <v>3926</v>
      </c>
      <c r="J141" s="345">
        <v>43394</v>
      </c>
      <c r="K141" s="345"/>
      <c r="L141" s="345"/>
      <c r="M141" s="342" t="s">
        <v>2853</v>
      </c>
      <c r="N141" s="342" t="s">
        <v>2088</v>
      </c>
      <c r="O141" s="345">
        <v>43368</v>
      </c>
      <c r="P141" s="355" t="s">
        <v>3061</v>
      </c>
      <c r="Q141" s="342" t="s">
        <v>2829</v>
      </c>
      <c r="R141" s="356"/>
      <c r="S141" s="354">
        <f t="shared" si="2"/>
        <v>4</v>
      </c>
    </row>
    <row r="142" spans="1:19" ht="25.35" customHeight="1" x14ac:dyDescent="0.2">
      <c r="A142" s="338" t="s">
        <v>4536</v>
      </c>
      <c r="B142" s="339">
        <v>43367</v>
      </c>
      <c r="C142" s="343" t="s">
        <v>4537</v>
      </c>
      <c r="D142" s="343" t="s">
        <v>4573</v>
      </c>
      <c r="E142" s="344" t="s">
        <v>4538</v>
      </c>
      <c r="F142" s="344">
        <v>1</v>
      </c>
      <c r="G142" s="344" t="s">
        <v>2828</v>
      </c>
      <c r="H142" s="344" t="s">
        <v>4539</v>
      </c>
      <c r="I142" s="344" t="s">
        <v>3926</v>
      </c>
      <c r="J142" s="339">
        <v>43397</v>
      </c>
      <c r="K142" s="339"/>
      <c r="L142" s="339"/>
      <c r="M142" s="344" t="s">
        <v>2853</v>
      </c>
      <c r="N142" s="344" t="s">
        <v>2088</v>
      </c>
      <c r="O142" s="339">
        <v>43381</v>
      </c>
      <c r="P142" s="353" t="s">
        <v>3061</v>
      </c>
      <c r="Q142" s="344" t="s">
        <v>2829</v>
      </c>
      <c r="R142" s="354"/>
      <c r="S142" s="354">
        <f t="shared" si="2"/>
        <v>14</v>
      </c>
    </row>
    <row r="143" spans="1:19" ht="25.35" customHeight="1" x14ac:dyDescent="0.2">
      <c r="A143" s="340" t="s">
        <v>4540</v>
      </c>
      <c r="B143" s="345">
        <v>43367</v>
      </c>
      <c r="C143" s="341" t="s">
        <v>4541</v>
      </c>
      <c r="D143" s="341" t="s">
        <v>4542</v>
      </c>
      <c r="E143" s="342" t="s">
        <v>2971</v>
      </c>
      <c r="F143" s="342">
        <v>1</v>
      </c>
      <c r="G143" s="342" t="s">
        <v>2841</v>
      </c>
      <c r="H143" s="342" t="s">
        <v>2067</v>
      </c>
      <c r="I143" s="342" t="s">
        <v>229</v>
      </c>
      <c r="J143" s="345">
        <v>43404</v>
      </c>
      <c r="K143" s="345"/>
      <c r="L143" s="345"/>
      <c r="M143" s="342" t="s">
        <v>2853</v>
      </c>
      <c r="N143" s="342" t="s">
        <v>2088</v>
      </c>
      <c r="O143" s="345">
        <v>43396</v>
      </c>
      <c r="P143" s="355" t="s">
        <v>3061</v>
      </c>
      <c r="Q143" s="342" t="s">
        <v>2829</v>
      </c>
      <c r="R143" s="356"/>
      <c r="S143" s="354">
        <f t="shared" si="2"/>
        <v>29</v>
      </c>
    </row>
    <row r="144" spans="1:19" ht="25.35" customHeight="1" x14ac:dyDescent="0.2">
      <c r="A144" s="338" t="s">
        <v>4543</v>
      </c>
      <c r="B144" s="339">
        <v>43367</v>
      </c>
      <c r="C144" s="343" t="s">
        <v>4544</v>
      </c>
      <c r="D144" s="343" t="s">
        <v>3873</v>
      </c>
      <c r="E144" s="344" t="s">
        <v>2971</v>
      </c>
      <c r="F144" s="344">
        <v>1</v>
      </c>
      <c r="G144" s="344" t="s">
        <v>2841</v>
      </c>
      <c r="H144" s="344" t="s">
        <v>486</v>
      </c>
      <c r="I144" s="344" t="s">
        <v>229</v>
      </c>
      <c r="J144" s="339">
        <v>43404</v>
      </c>
      <c r="K144" s="339"/>
      <c r="L144" s="339"/>
      <c r="M144" s="344" t="s">
        <v>2853</v>
      </c>
      <c r="N144" s="344" t="s">
        <v>2088</v>
      </c>
      <c r="O144" s="339">
        <v>43389</v>
      </c>
      <c r="P144" s="353" t="s">
        <v>3061</v>
      </c>
      <c r="Q144" s="344" t="s">
        <v>2829</v>
      </c>
      <c r="R144" s="354"/>
      <c r="S144" s="354">
        <f t="shared" si="2"/>
        <v>22</v>
      </c>
    </row>
    <row r="145" spans="1:19" ht="25.35" customHeight="1" x14ac:dyDescent="0.2">
      <c r="A145" s="340" t="s">
        <v>4545</v>
      </c>
      <c r="B145" s="345">
        <v>43368</v>
      </c>
      <c r="C145" s="341" t="s">
        <v>4546</v>
      </c>
      <c r="D145" s="341" t="s">
        <v>4547</v>
      </c>
      <c r="E145" s="342" t="s">
        <v>2971</v>
      </c>
      <c r="F145" s="342">
        <v>1</v>
      </c>
      <c r="G145" s="342" t="s">
        <v>2841</v>
      </c>
      <c r="H145" s="342" t="s">
        <v>229</v>
      </c>
      <c r="I145" s="342" t="s">
        <v>229</v>
      </c>
      <c r="J145" s="345">
        <v>43404</v>
      </c>
      <c r="K145" s="345"/>
      <c r="L145" s="345"/>
      <c r="M145" s="342" t="s">
        <v>2853</v>
      </c>
      <c r="N145" s="342" t="s">
        <v>2088</v>
      </c>
      <c r="O145" s="345">
        <v>43396</v>
      </c>
      <c r="P145" s="355" t="s">
        <v>3061</v>
      </c>
      <c r="Q145" s="342" t="s">
        <v>2829</v>
      </c>
      <c r="R145" s="356"/>
      <c r="S145" s="354">
        <f t="shared" si="2"/>
        <v>28</v>
      </c>
    </row>
    <row r="146" spans="1:19" ht="25.35" customHeight="1" x14ac:dyDescent="0.2">
      <c r="A146" s="338" t="s">
        <v>4548</v>
      </c>
      <c r="B146" s="339">
        <v>43371</v>
      </c>
      <c r="C146" s="343" t="s">
        <v>4549</v>
      </c>
      <c r="D146" s="343" t="s">
        <v>4375</v>
      </c>
      <c r="E146" s="344" t="s">
        <v>4033</v>
      </c>
      <c r="F146" s="344">
        <v>1</v>
      </c>
      <c r="G146" s="344" t="s">
        <v>2828</v>
      </c>
      <c r="H146" s="344" t="s">
        <v>615</v>
      </c>
      <c r="I146" s="344" t="s">
        <v>3926</v>
      </c>
      <c r="J146" s="339">
        <v>43387</v>
      </c>
      <c r="K146" s="339"/>
      <c r="L146" s="339"/>
      <c r="M146" s="344" t="s">
        <v>2853</v>
      </c>
      <c r="N146" s="344" t="s">
        <v>2088</v>
      </c>
      <c r="O146" s="339">
        <v>43375</v>
      </c>
      <c r="P146" s="353" t="s">
        <v>3061</v>
      </c>
      <c r="Q146" s="344" t="s">
        <v>2829</v>
      </c>
      <c r="R146" s="354"/>
      <c r="S146" s="354">
        <f t="shared" si="2"/>
        <v>4</v>
      </c>
    </row>
    <row r="147" spans="1:19" ht="25.35" customHeight="1" x14ac:dyDescent="0.2">
      <c r="A147" s="340" t="s">
        <v>4550</v>
      </c>
      <c r="B147" s="345">
        <v>43375</v>
      </c>
      <c r="C147" s="341" t="s">
        <v>4552</v>
      </c>
      <c r="D147" s="341" t="s">
        <v>4551</v>
      </c>
      <c r="E147" s="342" t="s">
        <v>2971</v>
      </c>
      <c r="F147" s="342">
        <v>1</v>
      </c>
      <c r="G147" s="342" t="s">
        <v>4300</v>
      </c>
      <c r="H147" s="342" t="s">
        <v>229</v>
      </c>
      <c r="I147" s="342" t="s">
        <v>229</v>
      </c>
      <c r="J147" s="345">
        <v>43401</v>
      </c>
      <c r="K147" s="345"/>
      <c r="L147" s="345"/>
      <c r="M147" s="342" t="s">
        <v>2853</v>
      </c>
      <c r="N147" s="342" t="s">
        <v>2088</v>
      </c>
      <c r="O147" s="345">
        <v>43377</v>
      </c>
      <c r="P147" s="355" t="s">
        <v>3061</v>
      </c>
      <c r="Q147" s="342" t="s">
        <v>2829</v>
      </c>
      <c r="R147" s="356"/>
      <c r="S147" s="354">
        <f t="shared" si="2"/>
        <v>2</v>
      </c>
    </row>
    <row r="148" spans="1:19" ht="25.35" customHeight="1" x14ac:dyDescent="0.2">
      <c r="A148" s="338" t="s">
        <v>4553</v>
      </c>
      <c r="B148" s="339">
        <v>43376</v>
      </c>
      <c r="C148" s="343" t="s">
        <v>4554</v>
      </c>
      <c r="D148" s="343" t="s">
        <v>4141</v>
      </c>
      <c r="E148" s="344" t="s">
        <v>2971</v>
      </c>
      <c r="F148" s="344">
        <v>1</v>
      </c>
      <c r="G148" s="344" t="s">
        <v>2841</v>
      </c>
      <c r="H148" s="344" t="s">
        <v>3645</v>
      </c>
      <c r="I148" s="344" t="s">
        <v>229</v>
      </c>
      <c r="J148" s="339">
        <v>43404</v>
      </c>
      <c r="K148" s="339"/>
      <c r="L148" s="339"/>
      <c r="M148" s="344" t="s">
        <v>2853</v>
      </c>
      <c r="N148" s="344" t="s">
        <v>2088</v>
      </c>
      <c r="O148" s="339">
        <v>43406</v>
      </c>
      <c r="P148" s="353" t="s">
        <v>3061</v>
      </c>
      <c r="Q148" s="344" t="s">
        <v>2829</v>
      </c>
      <c r="R148" s="354"/>
      <c r="S148" s="354">
        <f t="shared" si="2"/>
        <v>30</v>
      </c>
    </row>
    <row r="149" spans="1:19" ht="25.35" customHeight="1" x14ac:dyDescent="0.2">
      <c r="A149" s="340" t="s">
        <v>4556</v>
      </c>
      <c r="B149" s="345">
        <v>43377</v>
      </c>
      <c r="C149" s="341" t="s">
        <v>4559</v>
      </c>
      <c r="D149" s="341" t="s">
        <v>4560</v>
      </c>
      <c r="E149" s="342" t="s">
        <v>3969</v>
      </c>
      <c r="F149" s="342">
        <v>1</v>
      </c>
      <c r="G149" s="342" t="s">
        <v>2828</v>
      </c>
      <c r="H149" s="342" t="s">
        <v>4079</v>
      </c>
      <c r="I149" s="342" t="s">
        <v>3926</v>
      </c>
      <c r="J149" s="345">
        <v>43408</v>
      </c>
      <c r="K149" s="345"/>
      <c r="L149" s="345"/>
      <c r="M149" s="342" t="s">
        <v>2853</v>
      </c>
      <c r="N149" s="342" t="s">
        <v>2912</v>
      </c>
      <c r="O149" s="345">
        <v>43627</v>
      </c>
      <c r="P149" s="355" t="s">
        <v>3022</v>
      </c>
      <c r="Q149" s="342" t="s">
        <v>2837</v>
      </c>
      <c r="R149" s="356"/>
      <c r="S149" s="354">
        <f t="shared" si="2"/>
        <v>250</v>
      </c>
    </row>
    <row r="150" spans="1:19" ht="25.35" customHeight="1" x14ac:dyDescent="0.2">
      <c r="A150" s="338" t="s">
        <v>4557</v>
      </c>
      <c r="B150" s="339">
        <v>43377</v>
      </c>
      <c r="C150" s="343" t="s">
        <v>4558</v>
      </c>
      <c r="D150" s="343" t="s">
        <v>4561</v>
      </c>
      <c r="E150" s="344" t="s">
        <v>3586</v>
      </c>
      <c r="F150" s="344">
        <v>1</v>
      </c>
      <c r="G150" s="344" t="s">
        <v>2828</v>
      </c>
      <c r="H150" s="344" t="s">
        <v>3975</v>
      </c>
      <c r="I150" s="344" t="s">
        <v>3211</v>
      </c>
      <c r="J150" s="339">
        <v>43408</v>
      </c>
      <c r="K150" s="339"/>
      <c r="L150" s="339"/>
      <c r="M150" s="344" t="s">
        <v>2853</v>
      </c>
      <c r="N150" s="344" t="s">
        <v>2088</v>
      </c>
      <c r="O150" s="339">
        <v>43377</v>
      </c>
      <c r="P150" s="353" t="s">
        <v>3061</v>
      </c>
      <c r="Q150" s="344" t="s">
        <v>2829</v>
      </c>
      <c r="R150" s="354"/>
      <c r="S150" s="354">
        <f t="shared" si="2"/>
        <v>0</v>
      </c>
    </row>
    <row r="151" spans="1:19" ht="25.35" customHeight="1" x14ac:dyDescent="0.2">
      <c r="A151" s="340" t="s">
        <v>4562</v>
      </c>
      <c r="B151" s="345">
        <v>43378</v>
      </c>
      <c r="C151" s="341" t="s">
        <v>4563</v>
      </c>
      <c r="D151" s="341" t="s">
        <v>3070</v>
      </c>
      <c r="E151" s="342" t="s">
        <v>2971</v>
      </c>
      <c r="F151" s="342">
        <v>1</v>
      </c>
      <c r="G151" s="342" t="s">
        <v>2841</v>
      </c>
      <c r="H151" s="342" t="s">
        <v>4021</v>
      </c>
      <c r="I151" s="342" t="s">
        <v>229</v>
      </c>
      <c r="J151" s="345">
        <v>43404</v>
      </c>
      <c r="K151" s="345"/>
      <c r="L151" s="345"/>
      <c r="M151" s="342" t="s">
        <v>2853</v>
      </c>
      <c r="N151" s="342" t="s">
        <v>2912</v>
      </c>
      <c r="O151" s="345">
        <v>43432</v>
      </c>
      <c r="P151" s="355" t="s">
        <v>3022</v>
      </c>
      <c r="Q151" s="342" t="s">
        <v>2832</v>
      </c>
      <c r="R151" s="356"/>
      <c r="S151" s="354">
        <f t="shared" si="2"/>
        <v>54</v>
      </c>
    </row>
    <row r="152" spans="1:19" ht="25.35" customHeight="1" x14ac:dyDescent="0.2">
      <c r="A152" s="338" t="s">
        <v>4565</v>
      </c>
      <c r="B152" s="339">
        <v>43381</v>
      </c>
      <c r="C152" s="343" t="s">
        <v>4566</v>
      </c>
      <c r="D152" s="343" t="s">
        <v>4567</v>
      </c>
      <c r="E152" s="344" t="s">
        <v>3323</v>
      </c>
      <c r="F152" s="344">
        <v>1</v>
      </c>
      <c r="G152" s="344" t="s">
        <v>2828</v>
      </c>
      <c r="H152" s="344" t="s">
        <v>4163</v>
      </c>
      <c r="I152" s="344" t="s">
        <v>3211</v>
      </c>
      <c r="J152" s="339">
        <v>43413</v>
      </c>
      <c r="K152" s="339"/>
      <c r="L152" s="339"/>
      <c r="M152" s="344" t="s">
        <v>2853</v>
      </c>
      <c r="N152" s="344" t="s">
        <v>2088</v>
      </c>
      <c r="O152" s="339">
        <v>43388</v>
      </c>
      <c r="P152" s="353" t="s">
        <v>3061</v>
      </c>
      <c r="Q152" s="344" t="s">
        <v>2829</v>
      </c>
      <c r="R152" s="354"/>
      <c r="S152" s="354">
        <f t="shared" si="2"/>
        <v>7</v>
      </c>
    </row>
    <row r="153" spans="1:19" ht="25.35" customHeight="1" x14ac:dyDescent="0.2">
      <c r="A153" s="340" t="s">
        <v>4568</v>
      </c>
      <c r="B153" s="345">
        <v>43381</v>
      </c>
      <c r="C153" s="341" t="s">
        <v>4569</v>
      </c>
      <c r="D153" s="341" t="s">
        <v>4570</v>
      </c>
      <c r="E153" s="342" t="s">
        <v>3915</v>
      </c>
      <c r="F153" s="342">
        <v>1</v>
      </c>
      <c r="G153" s="342" t="s">
        <v>2828</v>
      </c>
      <c r="H153" s="342" t="s">
        <v>3975</v>
      </c>
      <c r="I153" s="342" t="s">
        <v>3926</v>
      </c>
      <c r="J153" s="345">
        <v>43413</v>
      </c>
      <c r="K153" s="345"/>
      <c r="L153" s="345"/>
      <c r="M153" s="342" t="s">
        <v>2853</v>
      </c>
      <c r="N153" s="342" t="s">
        <v>3061</v>
      </c>
      <c r="O153" s="345">
        <v>43578</v>
      </c>
      <c r="P153" s="355" t="s">
        <v>3022</v>
      </c>
      <c r="Q153" s="342" t="s">
        <v>2837</v>
      </c>
      <c r="R153" s="356"/>
      <c r="S153" s="354">
        <f t="shared" si="2"/>
        <v>197</v>
      </c>
    </row>
    <row r="154" spans="1:19" ht="25.35" customHeight="1" x14ac:dyDescent="0.2">
      <c r="A154" s="338" t="s">
        <v>4571</v>
      </c>
      <c r="B154" s="339">
        <v>43382</v>
      </c>
      <c r="C154" s="343" t="s">
        <v>4572</v>
      </c>
      <c r="D154" s="343" t="s">
        <v>3225</v>
      </c>
      <c r="E154" s="344" t="s">
        <v>2971</v>
      </c>
      <c r="F154" s="344">
        <v>1</v>
      </c>
      <c r="G154" s="344" t="s">
        <v>2841</v>
      </c>
      <c r="H154" s="344" t="s">
        <v>229</v>
      </c>
      <c r="I154" s="344" t="s">
        <v>229</v>
      </c>
      <c r="J154" s="339">
        <v>43404</v>
      </c>
      <c r="K154" s="339"/>
      <c r="L154" s="339"/>
      <c r="M154" s="344" t="s">
        <v>2853</v>
      </c>
      <c r="N154" s="344" t="s">
        <v>2088</v>
      </c>
      <c r="O154" s="339">
        <v>43403</v>
      </c>
      <c r="P154" s="353" t="s">
        <v>3061</v>
      </c>
      <c r="Q154" s="344" t="s">
        <v>2829</v>
      </c>
      <c r="R154" s="354"/>
      <c r="S154" s="354">
        <f t="shared" si="2"/>
        <v>21</v>
      </c>
    </row>
    <row r="155" spans="1:19" ht="25.35" customHeight="1" x14ac:dyDescent="0.2">
      <c r="A155" s="340" t="s">
        <v>4574</v>
      </c>
      <c r="B155" s="345">
        <v>43382</v>
      </c>
      <c r="C155" s="341" t="s">
        <v>4578</v>
      </c>
      <c r="D155" s="341" t="s">
        <v>3225</v>
      </c>
      <c r="E155" s="342" t="s">
        <v>2971</v>
      </c>
      <c r="F155" s="342">
        <v>1</v>
      </c>
      <c r="G155" s="342" t="s">
        <v>2841</v>
      </c>
      <c r="H155" s="342" t="s">
        <v>229</v>
      </c>
      <c r="I155" s="342" t="s">
        <v>229</v>
      </c>
      <c r="J155" s="345">
        <v>43404</v>
      </c>
      <c r="K155" s="345"/>
      <c r="L155" s="345"/>
      <c r="M155" s="342" t="s">
        <v>2853</v>
      </c>
      <c r="N155" s="342" t="s">
        <v>2088</v>
      </c>
      <c r="O155" s="345">
        <v>43398</v>
      </c>
      <c r="P155" s="355" t="s">
        <v>3061</v>
      </c>
      <c r="Q155" s="342" t="s">
        <v>2829</v>
      </c>
      <c r="R155" s="356"/>
      <c r="S155" s="354">
        <f t="shared" si="2"/>
        <v>16</v>
      </c>
    </row>
    <row r="156" spans="1:19" ht="25.35" customHeight="1" x14ac:dyDescent="0.2">
      <c r="A156" s="338" t="s">
        <v>4577</v>
      </c>
      <c r="B156" s="339">
        <v>43383</v>
      </c>
      <c r="C156" s="343" t="s">
        <v>4575</v>
      </c>
      <c r="D156" s="343" t="s">
        <v>4375</v>
      </c>
      <c r="E156" s="344" t="s">
        <v>4170</v>
      </c>
      <c r="F156" s="344">
        <v>1</v>
      </c>
      <c r="G156" s="344" t="s">
        <v>2828</v>
      </c>
      <c r="H156" s="344" t="s">
        <v>4576</v>
      </c>
      <c r="I156" s="344" t="s">
        <v>3926</v>
      </c>
      <c r="J156" s="339">
        <v>43414</v>
      </c>
      <c r="K156" s="339"/>
      <c r="L156" s="339"/>
      <c r="M156" s="344" t="s">
        <v>2853</v>
      </c>
      <c r="N156" s="344" t="s">
        <v>2088</v>
      </c>
      <c r="O156" s="339">
        <v>43404</v>
      </c>
      <c r="P156" s="353" t="s">
        <v>3061</v>
      </c>
      <c r="Q156" s="344" t="s">
        <v>2829</v>
      </c>
      <c r="R156" s="354"/>
      <c r="S156" s="354">
        <f t="shared" si="2"/>
        <v>21</v>
      </c>
    </row>
    <row r="157" spans="1:19" ht="25.35" customHeight="1" x14ac:dyDescent="0.2">
      <c r="A157" s="340" t="s">
        <v>4579</v>
      </c>
      <c r="B157" s="345">
        <v>43383</v>
      </c>
      <c r="C157" s="341" t="s">
        <v>4580</v>
      </c>
      <c r="D157" s="341" t="s">
        <v>3225</v>
      </c>
      <c r="E157" s="342" t="s">
        <v>2971</v>
      </c>
      <c r="F157" s="342">
        <v>1</v>
      </c>
      <c r="G157" s="342" t="s">
        <v>2841</v>
      </c>
      <c r="H157" s="342" t="s">
        <v>3926</v>
      </c>
      <c r="I157" s="342" t="s">
        <v>3926</v>
      </c>
      <c r="J157" s="345">
        <v>43465</v>
      </c>
      <c r="K157" s="345"/>
      <c r="L157" s="345"/>
      <c r="M157" s="342" t="s">
        <v>2853</v>
      </c>
      <c r="N157" s="342" t="s">
        <v>2088</v>
      </c>
      <c r="O157" s="345">
        <v>43447</v>
      </c>
      <c r="P157" s="355" t="s">
        <v>3061</v>
      </c>
      <c r="Q157" s="342" t="s">
        <v>2832</v>
      </c>
      <c r="R157" s="356"/>
      <c r="S157" s="354">
        <f t="shared" si="2"/>
        <v>64</v>
      </c>
    </row>
    <row r="158" spans="1:19" ht="25.35" customHeight="1" x14ac:dyDescent="0.2">
      <c r="A158" s="338" t="s">
        <v>4581</v>
      </c>
      <c r="B158" s="339">
        <v>43383</v>
      </c>
      <c r="C158" s="343" t="s">
        <v>4582</v>
      </c>
      <c r="D158" s="343" t="s">
        <v>3225</v>
      </c>
      <c r="E158" s="344" t="s">
        <v>2971</v>
      </c>
      <c r="F158" s="344">
        <v>1</v>
      </c>
      <c r="G158" s="344" t="s">
        <v>2841</v>
      </c>
      <c r="H158" s="344" t="s">
        <v>229</v>
      </c>
      <c r="I158" s="344" t="s">
        <v>229</v>
      </c>
      <c r="J158" s="339">
        <v>43434</v>
      </c>
      <c r="K158" s="339"/>
      <c r="L158" s="339"/>
      <c r="M158" s="344" t="s">
        <v>2853</v>
      </c>
      <c r="N158" s="344" t="s">
        <v>3022</v>
      </c>
      <c r="O158" s="339">
        <v>43475</v>
      </c>
      <c r="P158" s="353" t="s">
        <v>3022</v>
      </c>
      <c r="Q158" s="344" t="s">
        <v>2832</v>
      </c>
      <c r="R158" s="354"/>
      <c r="S158" s="354">
        <f t="shared" si="2"/>
        <v>92</v>
      </c>
    </row>
    <row r="159" spans="1:19" ht="25.35" customHeight="1" x14ac:dyDescent="0.2">
      <c r="A159" s="340" t="s">
        <v>4583</v>
      </c>
      <c r="B159" s="345">
        <v>43389</v>
      </c>
      <c r="C159" s="341" t="s">
        <v>4584</v>
      </c>
      <c r="D159" s="341" t="s">
        <v>3225</v>
      </c>
      <c r="E159" s="342" t="s">
        <v>2971</v>
      </c>
      <c r="F159" s="342">
        <v>1</v>
      </c>
      <c r="G159" s="342" t="s">
        <v>2841</v>
      </c>
      <c r="H159" s="342" t="s">
        <v>229</v>
      </c>
      <c r="I159" s="342" t="s">
        <v>229</v>
      </c>
      <c r="J159" s="345">
        <v>43434</v>
      </c>
      <c r="K159" s="345"/>
      <c r="L159" s="345"/>
      <c r="M159" s="342" t="s">
        <v>2853</v>
      </c>
      <c r="N159" s="342" t="s">
        <v>2088</v>
      </c>
      <c r="O159" s="345">
        <v>43404</v>
      </c>
      <c r="P159" s="355" t="s">
        <v>3061</v>
      </c>
      <c r="Q159" s="342" t="s">
        <v>2829</v>
      </c>
      <c r="R159" s="356"/>
      <c r="S159" s="354">
        <f t="shared" si="2"/>
        <v>15</v>
      </c>
    </row>
    <row r="160" spans="1:19" ht="25.35" customHeight="1" x14ac:dyDescent="0.2">
      <c r="A160" s="338" t="s">
        <v>4585</v>
      </c>
      <c r="B160" s="339">
        <v>43391</v>
      </c>
      <c r="C160" s="343" t="s">
        <v>4586</v>
      </c>
      <c r="D160" s="343" t="s">
        <v>4587</v>
      </c>
      <c r="E160" s="344" t="s">
        <v>2971</v>
      </c>
      <c r="F160" s="344">
        <v>1</v>
      </c>
      <c r="G160" s="344" t="s">
        <v>2838</v>
      </c>
      <c r="H160" s="344" t="s">
        <v>685</v>
      </c>
      <c r="I160" s="344" t="s">
        <v>229</v>
      </c>
      <c r="J160" s="339">
        <v>43434</v>
      </c>
      <c r="K160" s="339"/>
      <c r="L160" s="339"/>
      <c r="M160" s="344" t="s">
        <v>2853</v>
      </c>
      <c r="N160" s="344" t="s">
        <v>2088</v>
      </c>
      <c r="O160" s="339">
        <v>43412</v>
      </c>
      <c r="P160" s="353" t="s">
        <v>3061</v>
      </c>
      <c r="Q160" s="344" t="s">
        <v>2829</v>
      </c>
      <c r="R160" s="354"/>
      <c r="S160" s="354">
        <f t="shared" si="2"/>
        <v>21</v>
      </c>
    </row>
    <row r="161" spans="1:19" ht="25.35" customHeight="1" x14ac:dyDescent="0.2">
      <c r="A161" s="340" t="s">
        <v>4588</v>
      </c>
      <c r="B161" s="345">
        <v>43392</v>
      </c>
      <c r="C161" s="341" t="s">
        <v>4592</v>
      </c>
      <c r="D161" s="341" t="s">
        <v>4589</v>
      </c>
      <c r="E161" s="342" t="s">
        <v>3519</v>
      </c>
      <c r="F161" s="342">
        <v>1</v>
      </c>
      <c r="G161" s="342" t="s">
        <v>2828</v>
      </c>
      <c r="H161" s="342" t="s">
        <v>4163</v>
      </c>
      <c r="I161" s="342" t="s">
        <v>3211</v>
      </c>
      <c r="J161" s="345">
        <v>43420</v>
      </c>
      <c r="K161" s="345"/>
      <c r="L161" s="345"/>
      <c r="M161" s="342" t="s">
        <v>2853</v>
      </c>
      <c r="N161" s="342"/>
      <c r="O161" s="345">
        <v>43412</v>
      </c>
      <c r="P161" s="355" t="s">
        <v>3061</v>
      </c>
      <c r="Q161" s="342" t="s">
        <v>2829</v>
      </c>
      <c r="R161" s="356"/>
      <c r="S161" s="354">
        <f t="shared" si="2"/>
        <v>20</v>
      </c>
    </row>
    <row r="162" spans="1:19" ht="25.35" customHeight="1" x14ac:dyDescent="0.2">
      <c r="A162" s="338" t="s">
        <v>4590</v>
      </c>
      <c r="B162" s="339">
        <v>43392</v>
      </c>
      <c r="C162" s="343" t="s">
        <v>4593</v>
      </c>
      <c r="D162" s="343" t="s">
        <v>4595</v>
      </c>
      <c r="E162" s="344" t="s">
        <v>3519</v>
      </c>
      <c r="F162" s="344">
        <v>1</v>
      </c>
      <c r="G162" s="344" t="s">
        <v>2828</v>
      </c>
      <c r="H162" s="344" t="s">
        <v>4163</v>
      </c>
      <c r="I162" s="344" t="s">
        <v>3211</v>
      </c>
      <c r="J162" s="339">
        <v>43420</v>
      </c>
      <c r="K162" s="339"/>
      <c r="L162" s="339"/>
      <c r="M162" s="344" t="s">
        <v>2853</v>
      </c>
      <c r="N162" s="344"/>
      <c r="O162" s="339">
        <v>43412</v>
      </c>
      <c r="P162" s="353" t="s">
        <v>3061</v>
      </c>
      <c r="Q162" s="344" t="s">
        <v>2829</v>
      </c>
      <c r="R162" s="354"/>
      <c r="S162" s="354">
        <f t="shared" si="2"/>
        <v>20</v>
      </c>
    </row>
    <row r="163" spans="1:19" ht="25.35" customHeight="1" x14ac:dyDescent="0.2">
      <c r="A163" s="340" t="s">
        <v>4591</v>
      </c>
      <c r="B163" s="345">
        <v>43392</v>
      </c>
      <c r="C163" s="341" t="s">
        <v>4594</v>
      </c>
      <c r="D163" s="341" t="s">
        <v>3606</v>
      </c>
      <c r="E163" s="342" t="s">
        <v>3519</v>
      </c>
      <c r="F163" s="342">
        <v>1</v>
      </c>
      <c r="G163" s="342" t="s">
        <v>2828</v>
      </c>
      <c r="H163" s="342" t="s">
        <v>4163</v>
      </c>
      <c r="I163" s="342" t="s">
        <v>3211</v>
      </c>
      <c r="J163" s="345">
        <v>43420</v>
      </c>
      <c r="K163" s="345"/>
      <c r="L163" s="345"/>
      <c r="M163" s="342" t="s">
        <v>2853</v>
      </c>
      <c r="N163" s="342" t="s">
        <v>3022</v>
      </c>
      <c r="O163" s="345">
        <v>43431</v>
      </c>
      <c r="P163" s="355" t="s">
        <v>3022</v>
      </c>
      <c r="Q163" s="342" t="s">
        <v>2832</v>
      </c>
      <c r="R163" s="356"/>
      <c r="S163" s="354">
        <f t="shared" si="2"/>
        <v>39</v>
      </c>
    </row>
    <row r="164" spans="1:19" ht="25.35" customHeight="1" x14ac:dyDescent="0.2">
      <c r="A164" s="338" t="s">
        <v>4596</v>
      </c>
      <c r="B164" s="339">
        <v>43395</v>
      </c>
      <c r="C164" s="343" t="s">
        <v>4597</v>
      </c>
      <c r="D164" s="343" t="s">
        <v>4598</v>
      </c>
      <c r="E164" s="344" t="s">
        <v>3969</v>
      </c>
      <c r="F164" s="344">
        <v>1</v>
      </c>
      <c r="G164" s="344" t="s">
        <v>2828</v>
      </c>
      <c r="H164" s="344" t="s">
        <v>3423</v>
      </c>
      <c r="I164" s="344" t="s">
        <v>3211</v>
      </c>
      <c r="J164" s="339">
        <v>43427</v>
      </c>
      <c r="K164" s="339"/>
      <c r="L164" s="339"/>
      <c r="M164" s="344" t="s">
        <v>2853</v>
      </c>
      <c r="N164" s="344" t="s">
        <v>3022</v>
      </c>
      <c r="O164" s="339">
        <v>43432</v>
      </c>
      <c r="P164" s="353" t="s">
        <v>3022</v>
      </c>
      <c r="Q164" s="344" t="s">
        <v>2832</v>
      </c>
      <c r="R164" s="354"/>
      <c r="S164" s="354">
        <f t="shared" si="2"/>
        <v>37</v>
      </c>
    </row>
    <row r="165" spans="1:19" ht="25.35" customHeight="1" x14ac:dyDescent="0.2">
      <c r="A165" s="340" t="s">
        <v>4599</v>
      </c>
      <c r="B165" s="345">
        <v>43396</v>
      </c>
      <c r="C165" s="341" t="s">
        <v>4600</v>
      </c>
      <c r="D165" s="341" t="s">
        <v>3307</v>
      </c>
      <c r="E165" s="342" t="s">
        <v>2971</v>
      </c>
      <c r="F165" s="342">
        <v>1</v>
      </c>
      <c r="G165" s="342" t="s">
        <v>2841</v>
      </c>
      <c r="H165" s="342" t="s">
        <v>3991</v>
      </c>
      <c r="I165" s="342" t="s">
        <v>229</v>
      </c>
      <c r="J165" s="345">
        <v>43434</v>
      </c>
      <c r="K165" s="345"/>
      <c r="L165" s="345"/>
      <c r="M165" s="342" t="s">
        <v>2853</v>
      </c>
      <c r="N165" s="342" t="s">
        <v>2088</v>
      </c>
      <c r="O165" s="345">
        <v>43423</v>
      </c>
      <c r="P165" s="355">
        <v>43434</v>
      </c>
      <c r="Q165" s="342" t="s">
        <v>2829</v>
      </c>
      <c r="R165" s="356"/>
      <c r="S165" s="354">
        <f t="shared" si="2"/>
        <v>27</v>
      </c>
    </row>
    <row r="166" spans="1:19" ht="25.35" customHeight="1" x14ac:dyDescent="0.2">
      <c r="A166" s="338" t="s">
        <v>4601</v>
      </c>
      <c r="B166" s="339">
        <v>43397</v>
      </c>
      <c r="C166" s="343" t="s">
        <v>4766</v>
      </c>
      <c r="D166" s="343" t="s">
        <v>4602</v>
      </c>
      <c r="E166" s="344" t="s">
        <v>3532</v>
      </c>
      <c r="F166" s="344">
        <v>1</v>
      </c>
      <c r="G166" s="344" t="s">
        <v>2828</v>
      </c>
      <c r="H166" s="344" t="s">
        <v>3975</v>
      </c>
      <c r="I166" s="344" t="s">
        <v>3926</v>
      </c>
      <c r="J166" s="339">
        <v>43412</v>
      </c>
      <c r="K166" s="339"/>
      <c r="L166" s="339"/>
      <c r="M166" s="344" t="s">
        <v>2853</v>
      </c>
      <c r="N166" s="344" t="s">
        <v>2088</v>
      </c>
      <c r="O166" s="339">
        <v>43405</v>
      </c>
      <c r="P166" s="353" t="s">
        <v>3061</v>
      </c>
      <c r="Q166" s="344" t="s">
        <v>2829</v>
      </c>
      <c r="R166" s="354"/>
      <c r="S166" s="354">
        <f t="shared" si="2"/>
        <v>8</v>
      </c>
    </row>
    <row r="167" spans="1:19" ht="25.35" customHeight="1" x14ac:dyDescent="0.2">
      <c r="A167" s="340" t="s">
        <v>4603</v>
      </c>
      <c r="B167" s="345">
        <v>43404</v>
      </c>
      <c r="C167" s="341" t="s">
        <v>4604</v>
      </c>
      <c r="D167" s="341" t="s">
        <v>4605</v>
      </c>
      <c r="E167" s="342" t="s">
        <v>3386</v>
      </c>
      <c r="F167" s="342">
        <v>1</v>
      </c>
      <c r="G167" s="342" t="s">
        <v>2828</v>
      </c>
      <c r="H167" s="342" t="s">
        <v>4079</v>
      </c>
      <c r="I167" s="342" t="s">
        <v>3926</v>
      </c>
      <c r="J167" s="345">
        <v>43434</v>
      </c>
      <c r="K167" s="345"/>
      <c r="L167" s="345"/>
      <c r="M167" s="342" t="s">
        <v>2853</v>
      </c>
      <c r="N167" s="342" t="s">
        <v>2088</v>
      </c>
      <c r="O167" s="345">
        <v>43406</v>
      </c>
      <c r="P167" s="355" t="s">
        <v>3061</v>
      </c>
      <c r="Q167" s="342" t="s">
        <v>2829</v>
      </c>
      <c r="R167" s="356"/>
      <c r="S167" s="354">
        <f t="shared" si="2"/>
        <v>2</v>
      </c>
    </row>
    <row r="168" spans="1:19" ht="25.35" customHeight="1" x14ac:dyDescent="0.2">
      <c r="A168" s="338" t="s">
        <v>4606</v>
      </c>
      <c r="B168" s="339">
        <v>43404</v>
      </c>
      <c r="C168" s="343" t="s">
        <v>4607</v>
      </c>
      <c r="D168" s="343" t="s">
        <v>3606</v>
      </c>
      <c r="E168" s="344" t="s">
        <v>3825</v>
      </c>
      <c r="F168" s="344">
        <v>1</v>
      </c>
      <c r="G168" s="344" t="s">
        <v>2828</v>
      </c>
      <c r="H168" s="344" t="s">
        <v>2058</v>
      </c>
      <c r="I168" s="344" t="s">
        <v>3211</v>
      </c>
      <c r="J168" s="339">
        <v>43434</v>
      </c>
      <c r="K168" s="339"/>
      <c r="L168" s="339"/>
      <c r="M168" s="344" t="s">
        <v>2853</v>
      </c>
      <c r="N168" s="344" t="s">
        <v>2088</v>
      </c>
      <c r="O168" s="339">
        <v>43413</v>
      </c>
      <c r="P168" s="353" t="s">
        <v>3061</v>
      </c>
      <c r="Q168" s="344" t="s">
        <v>2829</v>
      </c>
      <c r="R168" s="354"/>
      <c r="S168" s="354">
        <f t="shared" si="2"/>
        <v>9</v>
      </c>
    </row>
    <row r="169" spans="1:19" ht="25.35" customHeight="1" x14ac:dyDescent="0.2">
      <c r="A169" s="340" t="s">
        <v>4608</v>
      </c>
      <c r="B169" s="345">
        <v>43405</v>
      </c>
      <c r="C169" s="341" t="s">
        <v>4609</v>
      </c>
      <c r="D169" s="341" t="s">
        <v>4515</v>
      </c>
      <c r="E169" s="342" t="s">
        <v>4610</v>
      </c>
      <c r="F169" s="342">
        <v>1</v>
      </c>
      <c r="G169" s="342" t="s">
        <v>2828</v>
      </c>
      <c r="H169" s="342" t="s">
        <v>3842</v>
      </c>
      <c r="I169" s="342" t="s">
        <v>3926</v>
      </c>
      <c r="J169" s="345">
        <v>43465</v>
      </c>
      <c r="K169" s="345"/>
      <c r="L169" s="345"/>
      <c r="M169" s="342" t="s">
        <v>2853</v>
      </c>
      <c r="N169" s="342" t="s">
        <v>2088</v>
      </c>
      <c r="O169" s="345">
        <v>43431</v>
      </c>
      <c r="P169" s="355" t="s">
        <v>3061</v>
      </c>
      <c r="Q169" s="342" t="s">
        <v>2829</v>
      </c>
      <c r="R169" s="356"/>
      <c r="S169" s="354">
        <f t="shared" si="2"/>
        <v>26</v>
      </c>
    </row>
    <row r="170" spans="1:19" ht="25.35" customHeight="1" x14ac:dyDescent="0.2">
      <c r="A170" s="338" t="s">
        <v>4611</v>
      </c>
      <c r="B170" s="339">
        <v>43409</v>
      </c>
      <c r="C170" s="343" t="s">
        <v>4612</v>
      </c>
      <c r="D170" s="343" t="s">
        <v>4401</v>
      </c>
      <c r="E170" s="344" t="s">
        <v>3519</v>
      </c>
      <c r="F170" s="344">
        <v>1</v>
      </c>
      <c r="G170" s="344" t="s">
        <v>2828</v>
      </c>
      <c r="H170" s="344" t="s">
        <v>3842</v>
      </c>
      <c r="I170" s="344" t="s">
        <v>3926</v>
      </c>
      <c r="J170" s="339">
        <v>43439</v>
      </c>
      <c r="K170" s="339"/>
      <c r="L170" s="339"/>
      <c r="M170" s="344" t="s">
        <v>2853</v>
      </c>
      <c r="N170" s="344" t="s">
        <v>2088</v>
      </c>
      <c r="O170" s="339">
        <v>43410</v>
      </c>
      <c r="P170" s="353" t="s">
        <v>3061</v>
      </c>
      <c r="Q170" s="344" t="s">
        <v>2829</v>
      </c>
      <c r="R170" s="354"/>
      <c r="S170" s="354">
        <f t="shared" si="2"/>
        <v>1</v>
      </c>
    </row>
    <row r="171" spans="1:19" ht="25.35" customHeight="1" x14ac:dyDescent="0.2">
      <c r="A171" s="340" t="s">
        <v>4613</v>
      </c>
      <c r="B171" s="345">
        <v>43410</v>
      </c>
      <c r="C171" s="341" t="s">
        <v>4614</v>
      </c>
      <c r="D171" s="341" t="s">
        <v>3518</v>
      </c>
      <c r="E171" s="342" t="s">
        <v>3764</v>
      </c>
      <c r="F171" s="342">
        <v>1</v>
      </c>
      <c r="G171" s="342" t="s">
        <v>2828</v>
      </c>
      <c r="H171" s="342" t="s">
        <v>615</v>
      </c>
      <c r="I171" s="342" t="s">
        <v>3211</v>
      </c>
      <c r="J171" s="345">
        <v>43861</v>
      </c>
      <c r="K171" s="345"/>
      <c r="L171" s="345"/>
      <c r="M171" s="342" t="s">
        <v>2853</v>
      </c>
      <c r="N171" s="342" t="s">
        <v>2088</v>
      </c>
      <c r="O171" s="345">
        <v>43847</v>
      </c>
      <c r="P171" s="355" t="s">
        <v>3061</v>
      </c>
      <c r="Q171" s="342" t="s">
        <v>2839</v>
      </c>
      <c r="R171" s="356"/>
      <c r="S171" s="354">
        <f t="shared" si="2"/>
        <v>437</v>
      </c>
    </row>
    <row r="172" spans="1:19" ht="25.35" customHeight="1" x14ac:dyDescent="0.2">
      <c r="A172" s="338" t="s">
        <v>4615</v>
      </c>
      <c r="B172" s="339">
        <v>43412</v>
      </c>
      <c r="C172" s="343" t="s">
        <v>4616</v>
      </c>
      <c r="D172" s="343" t="s">
        <v>4617</v>
      </c>
      <c r="E172" s="344" t="s">
        <v>3667</v>
      </c>
      <c r="F172" s="344">
        <v>1</v>
      </c>
      <c r="G172" s="344" t="s">
        <v>2828</v>
      </c>
      <c r="H172" s="344" t="s">
        <v>4079</v>
      </c>
      <c r="I172" s="344" t="s">
        <v>3926</v>
      </c>
      <c r="J172" s="339">
        <v>43442</v>
      </c>
      <c r="K172" s="339"/>
      <c r="L172" s="339"/>
      <c r="M172" s="344" t="s">
        <v>2853</v>
      </c>
      <c r="N172" s="344" t="s">
        <v>2088</v>
      </c>
      <c r="O172" s="339">
        <v>43418</v>
      </c>
      <c r="P172" s="353" t="s">
        <v>3061</v>
      </c>
      <c r="Q172" s="344" t="s">
        <v>2829</v>
      </c>
      <c r="R172" s="354"/>
      <c r="S172" s="354">
        <f t="shared" si="2"/>
        <v>6</v>
      </c>
    </row>
    <row r="173" spans="1:19" ht="25.35" customHeight="1" x14ac:dyDescent="0.2">
      <c r="A173" s="340" t="s">
        <v>4618</v>
      </c>
      <c r="B173" s="345">
        <v>43418</v>
      </c>
      <c r="C173" s="341" t="s">
        <v>5009</v>
      </c>
      <c r="D173" s="341" t="s">
        <v>5010</v>
      </c>
      <c r="E173" s="342" t="s">
        <v>3927</v>
      </c>
      <c r="F173" s="342">
        <v>1</v>
      </c>
      <c r="G173" s="342" t="s">
        <v>2828</v>
      </c>
      <c r="H173" s="342" t="s">
        <v>3842</v>
      </c>
      <c r="I173" s="342" t="s">
        <v>3211</v>
      </c>
      <c r="J173" s="345">
        <v>43434</v>
      </c>
      <c r="K173" s="345"/>
      <c r="L173" s="345"/>
      <c r="M173" s="342" t="s">
        <v>2853</v>
      </c>
      <c r="N173" s="342" t="s">
        <v>2088</v>
      </c>
      <c r="O173" s="345">
        <v>43418</v>
      </c>
      <c r="P173" s="355" t="s">
        <v>3061</v>
      </c>
      <c r="Q173" s="342" t="s">
        <v>2829</v>
      </c>
      <c r="R173" s="356"/>
      <c r="S173" s="354">
        <f t="shared" si="2"/>
        <v>0</v>
      </c>
    </row>
    <row r="174" spans="1:19" ht="25.35" customHeight="1" x14ac:dyDescent="0.2">
      <c r="A174" s="338" t="s">
        <v>4621</v>
      </c>
      <c r="B174" s="339">
        <v>43420</v>
      </c>
      <c r="C174" s="343" t="s">
        <v>4619</v>
      </c>
      <c r="D174" s="343" t="s">
        <v>4620</v>
      </c>
      <c r="E174" s="344" t="s">
        <v>3681</v>
      </c>
      <c r="F174" s="344">
        <v>1</v>
      </c>
      <c r="G174" s="344" t="s">
        <v>2828</v>
      </c>
      <c r="H174" s="344" t="s">
        <v>3423</v>
      </c>
      <c r="I174" s="344" t="s">
        <v>3211</v>
      </c>
      <c r="J174" s="339">
        <v>43481</v>
      </c>
      <c r="K174" s="339"/>
      <c r="L174" s="339"/>
      <c r="M174" s="344" t="s">
        <v>2853</v>
      </c>
      <c r="N174" s="344" t="s">
        <v>2088</v>
      </c>
      <c r="O174" s="339">
        <v>43469</v>
      </c>
      <c r="P174" s="353" t="s">
        <v>3061</v>
      </c>
      <c r="Q174" s="344" t="s">
        <v>2832</v>
      </c>
      <c r="R174" s="354"/>
      <c r="S174" s="354">
        <f t="shared" si="2"/>
        <v>49</v>
      </c>
    </row>
    <row r="175" spans="1:19" ht="25.35" customHeight="1" x14ac:dyDescent="0.2">
      <c r="A175" s="340" t="s">
        <v>4622</v>
      </c>
      <c r="B175" s="345">
        <v>43423</v>
      </c>
      <c r="C175" s="341" t="s">
        <v>4623</v>
      </c>
      <c r="D175" s="341" t="s">
        <v>4624</v>
      </c>
      <c r="E175" s="342" t="s">
        <v>4256</v>
      </c>
      <c r="F175" s="342">
        <v>1</v>
      </c>
      <c r="G175" s="342" t="s">
        <v>2828</v>
      </c>
      <c r="H175" s="342" t="s">
        <v>4079</v>
      </c>
      <c r="I175" s="342" t="s">
        <v>3926</v>
      </c>
      <c r="J175" s="345">
        <v>43453</v>
      </c>
      <c r="K175" s="345"/>
      <c r="L175" s="345"/>
      <c r="M175" s="342" t="s">
        <v>2853</v>
      </c>
      <c r="N175" s="342" t="s">
        <v>2088</v>
      </c>
      <c r="O175" s="345">
        <v>43431</v>
      </c>
      <c r="P175" s="355" t="s">
        <v>3061</v>
      </c>
      <c r="Q175" s="342" t="s">
        <v>2829</v>
      </c>
      <c r="R175" s="356"/>
      <c r="S175" s="354">
        <f t="shared" si="2"/>
        <v>8</v>
      </c>
    </row>
    <row r="176" spans="1:19" ht="25.35" customHeight="1" x14ac:dyDescent="0.2">
      <c r="A176" s="338" t="s">
        <v>4625</v>
      </c>
      <c r="B176" s="339">
        <v>43423</v>
      </c>
      <c r="C176" s="343" t="s">
        <v>4626</v>
      </c>
      <c r="D176" s="343" t="s">
        <v>4627</v>
      </c>
      <c r="E176" s="344" t="s">
        <v>2971</v>
      </c>
      <c r="F176" s="344">
        <v>1</v>
      </c>
      <c r="G176" s="344" t="s">
        <v>2828</v>
      </c>
      <c r="H176" s="344" t="s">
        <v>4163</v>
      </c>
      <c r="I176" s="344" t="s">
        <v>3211</v>
      </c>
      <c r="J176" s="339">
        <v>43830</v>
      </c>
      <c r="K176" s="339"/>
      <c r="L176" s="339"/>
      <c r="M176" s="344" t="s">
        <v>2853</v>
      </c>
      <c r="N176" s="344" t="s">
        <v>3061</v>
      </c>
      <c r="O176" s="339">
        <v>43790</v>
      </c>
      <c r="P176" s="353" t="s">
        <v>3061</v>
      </c>
      <c r="Q176" s="344" t="s">
        <v>2829</v>
      </c>
      <c r="R176" s="354"/>
      <c r="S176" s="354">
        <f t="shared" si="2"/>
        <v>367</v>
      </c>
    </row>
    <row r="177" spans="1:19" ht="25.35" customHeight="1" x14ac:dyDescent="0.2">
      <c r="A177" s="340" t="s">
        <v>4628</v>
      </c>
      <c r="B177" s="345">
        <v>43424</v>
      </c>
      <c r="C177" s="341" t="s">
        <v>4629</v>
      </c>
      <c r="D177" s="341" t="s">
        <v>4630</v>
      </c>
      <c r="E177" s="342" t="s">
        <v>4631</v>
      </c>
      <c r="F177" s="342">
        <v>1</v>
      </c>
      <c r="G177" s="342" t="s">
        <v>2828</v>
      </c>
      <c r="H177" s="342" t="s">
        <v>3423</v>
      </c>
      <c r="I177" s="342" t="s">
        <v>3211</v>
      </c>
      <c r="J177" s="345">
        <v>43454</v>
      </c>
      <c r="K177" s="345"/>
      <c r="L177" s="345"/>
      <c r="M177" s="342" t="s">
        <v>2853</v>
      </c>
      <c r="N177" s="342" t="s">
        <v>2912</v>
      </c>
      <c r="O177" s="345">
        <v>43474</v>
      </c>
      <c r="P177" s="355" t="s">
        <v>3022</v>
      </c>
      <c r="Q177" s="342" t="s">
        <v>2832</v>
      </c>
      <c r="R177" s="356"/>
      <c r="S177" s="354">
        <f t="shared" si="2"/>
        <v>50</v>
      </c>
    </row>
    <row r="178" spans="1:19" ht="25.35" customHeight="1" x14ac:dyDescent="0.2">
      <c r="A178" s="338" t="s">
        <v>4632</v>
      </c>
      <c r="B178" s="339">
        <v>43425</v>
      </c>
      <c r="C178" s="343" t="s">
        <v>2605</v>
      </c>
      <c r="D178" s="343" t="s">
        <v>4633</v>
      </c>
      <c r="E178" s="344" t="s">
        <v>2971</v>
      </c>
      <c r="F178" s="344">
        <v>1</v>
      </c>
      <c r="G178" s="344" t="s">
        <v>2838</v>
      </c>
      <c r="H178" s="344" t="s">
        <v>441</v>
      </c>
      <c r="I178" s="344" t="s">
        <v>229</v>
      </c>
      <c r="J178" s="339">
        <v>43554</v>
      </c>
      <c r="K178" s="339"/>
      <c r="L178" s="339"/>
      <c r="M178" s="344" t="s">
        <v>2853</v>
      </c>
      <c r="N178" s="344" t="s">
        <v>3061</v>
      </c>
      <c r="O178" s="339">
        <v>43473</v>
      </c>
      <c r="P178" s="353" t="s">
        <v>3061</v>
      </c>
      <c r="Q178" s="344" t="s">
        <v>2839</v>
      </c>
      <c r="R178" s="354"/>
      <c r="S178" s="354">
        <f t="shared" si="2"/>
        <v>48</v>
      </c>
    </row>
    <row r="179" spans="1:19" ht="25.35" customHeight="1" x14ac:dyDescent="0.2">
      <c r="A179" s="340" t="s">
        <v>4634</v>
      </c>
      <c r="B179" s="345">
        <v>43431</v>
      </c>
      <c r="C179" s="341" t="s">
        <v>4635</v>
      </c>
      <c r="D179" s="341" t="s">
        <v>4048</v>
      </c>
      <c r="E179" s="342" t="s">
        <v>2971</v>
      </c>
      <c r="F179" s="342">
        <v>1</v>
      </c>
      <c r="G179" s="342" t="s">
        <v>2841</v>
      </c>
      <c r="H179" s="342" t="s">
        <v>3645</v>
      </c>
      <c r="I179" s="342" t="s">
        <v>229</v>
      </c>
      <c r="J179" s="345">
        <v>43465</v>
      </c>
      <c r="K179" s="345"/>
      <c r="L179" s="345"/>
      <c r="M179" s="342" t="s">
        <v>2853</v>
      </c>
      <c r="N179" s="342" t="s">
        <v>2088</v>
      </c>
      <c r="O179" s="345">
        <v>43448</v>
      </c>
      <c r="P179" s="355" t="s">
        <v>3061</v>
      </c>
      <c r="Q179" s="342" t="s">
        <v>2829</v>
      </c>
      <c r="R179" s="356"/>
      <c r="S179" s="354">
        <f t="shared" si="2"/>
        <v>17</v>
      </c>
    </row>
    <row r="180" spans="1:19" ht="25.35" customHeight="1" x14ac:dyDescent="0.2">
      <c r="A180" s="338" t="s">
        <v>4636</v>
      </c>
      <c r="B180" s="339">
        <v>43431</v>
      </c>
      <c r="C180" s="343" t="s">
        <v>4637</v>
      </c>
      <c r="D180" s="343" t="s">
        <v>4048</v>
      </c>
      <c r="E180" s="344" t="s">
        <v>2971</v>
      </c>
      <c r="F180" s="344">
        <v>1</v>
      </c>
      <c r="G180" s="344" t="s">
        <v>2841</v>
      </c>
      <c r="H180" s="344" t="s">
        <v>3645</v>
      </c>
      <c r="I180" s="344" t="s">
        <v>229</v>
      </c>
      <c r="J180" s="339">
        <v>43465</v>
      </c>
      <c r="K180" s="339"/>
      <c r="L180" s="339"/>
      <c r="M180" s="344" t="s">
        <v>2853</v>
      </c>
      <c r="N180" s="344" t="s">
        <v>2088</v>
      </c>
      <c r="O180" s="339">
        <v>43448</v>
      </c>
      <c r="P180" s="353" t="s">
        <v>3061</v>
      </c>
      <c r="Q180" s="344" t="s">
        <v>2829</v>
      </c>
      <c r="R180" s="354"/>
      <c r="S180" s="354">
        <f t="shared" si="2"/>
        <v>17</v>
      </c>
    </row>
    <row r="181" spans="1:19" ht="25.35" customHeight="1" x14ac:dyDescent="0.2">
      <c r="A181" s="340" t="s">
        <v>4638</v>
      </c>
      <c r="B181" s="345">
        <v>43432</v>
      </c>
      <c r="C181" s="341" t="s">
        <v>4639</v>
      </c>
      <c r="D181" s="341" t="s">
        <v>4640</v>
      </c>
      <c r="E181" s="342" t="s">
        <v>2971</v>
      </c>
      <c r="F181" s="342">
        <v>1</v>
      </c>
      <c r="G181" s="342" t="s">
        <v>2838</v>
      </c>
      <c r="H181" s="342" t="s">
        <v>4079</v>
      </c>
      <c r="I181" s="342" t="s">
        <v>3211</v>
      </c>
      <c r="J181" s="345">
        <v>43465</v>
      </c>
      <c r="K181" s="345"/>
      <c r="L181" s="345"/>
      <c r="M181" s="342" t="s">
        <v>1056</v>
      </c>
      <c r="N181" s="342"/>
      <c r="O181" s="345"/>
      <c r="P181" s="355"/>
      <c r="Q181" s="342"/>
      <c r="R181" s="356" t="s">
        <v>5999</v>
      </c>
      <c r="S181" s="354">
        <f t="shared" si="2"/>
        <v>-43432</v>
      </c>
    </row>
    <row r="182" spans="1:19" ht="25.35" customHeight="1" x14ac:dyDescent="0.2">
      <c r="A182" s="338" t="s">
        <v>4641</v>
      </c>
      <c r="B182" s="339">
        <v>43432</v>
      </c>
      <c r="C182" s="343" t="s">
        <v>4642</v>
      </c>
      <c r="D182" s="343" t="s">
        <v>4643</v>
      </c>
      <c r="E182" s="344" t="s">
        <v>2971</v>
      </c>
      <c r="F182" s="344">
        <v>1</v>
      </c>
      <c r="G182" s="344" t="s">
        <v>2841</v>
      </c>
      <c r="H182" s="344" t="s">
        <v>4644</v>
      </c>
      <c r="I182" s="344" t="s">
        <v>229</v>
      </c>
      <c r="J182" s="339">
        <v>43448</v>
      </c>
      <c r="K182" s="339"/>
      <c r="L182" s="339"/>
      <c r="M182" s="344" t="s">
        <v>2853</v>
      </c>
      <c r="N182" s="344" t="s">
        <v>3022</v>
      </c>
      <c r="O182" s="339">
        <v>43451</v>
      </c>
      <c r="P182" s="353" t="s">
        <v>3022</v>
      </c>
      <c r="Q182" s="344" t="s">
        <v>2829</v>
      </c>
      <c r="R182" s="354" t="s">
        <v>4676</v>
      </c>
      <c r="S182" s="354">
        <f t="shared" si="2"/>
        <v>19</v>
      </c>
    </row>
    <row r="183" spans="1:19" ht="25.35" customHeight="1" x14ac:dyDescent="0.2">
      <c r="A183" s="340" t="s">
        <v>4645</v>
      </c>
      <c r="B183" s="345">
        <v>43433</v>
      </c>
      <c r="C183" s="341" t="s">
        <v>4646</v>
      </c>
      <c r="D183" s="341" t="s">
        <v>4658</v>
      </c>
      <c r="E183" s="342" t="s">
        <v>2869</v>
      </c>
      <c r="F183" s="342">
        <v>1</v>
      </c>
      <c r="G183" s="342" t="s">
        <v>2828</v>
      </c>
      <c r="H183" s="342" t="s">
        <v>4232</v>
      </c>
      <c r="I183" s="342" t="s">
        <v>3926</v>
      </c>
      <c r="J183" s="345">
        <v>43463</v>
      </c>
      <c r="K183" s="345"/>
      <c r="L183" s="345"/>
      <c r="M183" s="342" t="s">
        <v>2853</v>
      </c>
      <c r="N183" s="342" t="s">
        <v>2088</v>
      </c>
      <c r="O183" s="345">
        <v>43438</v>
      </c>
      <c r="P183" s="355" t="s">
        <v>3061</v>
      </c>
      <c r="Q183" s="342" t="s">
        <v>2829</v>
      </c>
      <c r="R183" s="356"/>
      <c r="S183" s="354">
        <f t="shared" si="2"/>
        <v>5</v>
      </c>
    </row>
    <row r="184" spans="1:19" ht="25.35" customHeight="1" x14ac:dyDescent="0.2">
      <c r="A184" s="338" t="s">
        <v>4647</v>
      </c>
      <c r="B184" s="339">
        <v>43438</v>
      </c>
      <c r="C184" s="343" t="s">
        <v>4648</v>
      </c>
      <c r="D184" s="343" t="s">
        <v>4651</v>
      </c>
      <c r="E184" s="344" t="s">
        <v>4649</v>
      </c>
      <c r="F184" s="344">
        <v>1</v>
      </c>
      <c r="G184" s="344" t="s">
        <v>2828</v>
      </c>
      <c r="H184" s="344" t="s">
        <v>4650</v>
      </c>
      <c r="I184" s="344" t="s">
        <v>3926</v>
      </c>
      <c r="J184" s="339">
        <v>43469</v>
      </c>
      <c r="K184" s="339"/>
      <c r="L184" s="339"/>
      <c r="M184" s="344" t="s">
        <v>2853</v>
      </c>
      <c r="N184" s="344" t="s">
        <v>2088</v>
      </c>
      <c r="O184" s="339">
        <v>43438</v>
      </c>
      <c r="P184" s="353" t="s">
        <v>3061</v>
      </c>
      <c r="Q184" s="344" t="s">
        <v>2829</v>
      </c>
      <c r="R184" s="354"/>
      <c r="S184" s="354">
        <f t="shared" si="2"/>
        <v>0</v>
      </c>
    </row>
    <row r="185" spans="1:19" ht="25.35" customHeight="1" x14ac:dyDescent="0.2">
      <c r="A185" s="340" t="s">
        <v>4652</v>
      </c>
      <c r="B185" s="345">
        <v>43439</v>
      </c>
      <c r="C185" s="341" t="s">
        <v>4653</v>
      </c>
      <c r="D185" s="341" t="s">
        <v>4654</v>
      </c>
      <c r="E185" s="342" t="s">
        <v>2971</v>
      </c>
      <c r="F185" s="342">
        <v>1</v>
      </c>
      <c r="G185" s="342" t="s">
        <v>2841</v>
      </c>
      <c r="H185" s="342" t="s">
        <v>229</v>
      </c>
      <c r="I185" s="342" t="s">
        <v>229</v>
      </c>
      <c r="J185" s="345">
        <v>43465</v>
      </c>
      <c r="K185" s="345"/>
      <c r="L185" s="345"/>
      <c r="M185" s="342" t="s">
        <v>2853</v>
      </c>
      <c r="N185" s="342" t="s">
        <v>2088</v>
      </c>
      <c r="O185" s="345">
        <v>43823</v>
      </c>
      <c r="P185" s="355" t="s">
        <v>3061</v>
      </c>
      <c r="Q185" s="342" t="s">
        <v>2829</v>
      </c>
      <c r="R185" s="356"/>
      <c r="S185" s="354">
        <f t="shared" si="2"/>
        <v>384</v>
      </c>
    </row>
    <row r="186" spans="1:19" ht="25.35" customHeight="1" x14ac:dyDescent="0.2">
      <c r="A186" s="338" t="s">
        <v>4655</v>
      </c>
      <c r="B186" s="339">
        <v>43440</v>
      </c>
      <c r="C186" s="343" t="s">
        <v>4656</v>
      </c>
      <c r="D186" s="343" t="s">
        <v>4657</v>
      </c>
      <c r="E186" s="344" t="s">
        <v>2971</v>
      </c>
      <c r="F186" s="344">
        <v>1</v>
      </c>
      <c r="G186" s="344" t="s">
        <v>4300</v>
      </c>
      <c r="H186" s="344" t="s">
        <v>481</v>
      </c>
      <c r="I186" s="344" t="s">
        <v>229</v>
      </c>
      <c r="J186" s="339">
        <v>43444</v>
      </c>
      <c r="K186" s="339"/>
      <c r="L186" s="339"/>
      <c r="M186" s="344" t="s">
        <v>2853</v>
      </c>
      <c r="N186" s="344" t="s">
        <v>2088</v>
      </c>
      <c r="O186" s="339">
        <v>43444</v>
      </c>
      <c r="P186" s="353" t="s">
        <v>3061</v>
      </c>
      <c r="Q186" s="344" t="s">
        <v>2829</v>
      </c>
      <c r="R186" s="354"/>
      <c r="S186" s="354">
        <f t="shared" si="2"/>
        <v>4</v>
      </c>
    </row>
    <row r="187" spans="1:19" ht="25.35" customHeight="1" x14ac:dyDescent="0.2">
      <c r="A187" s="340" t="s">
        <v>4659</v>
      </c>
      <c r="B187" s="345">
        <v>43444</v>
      </c>
      <c r="C187" s="341" t="s">
        <v>4660</v>
      </c>
      <c r="D187" s="341" t="s">
        <v>3703</v>
      </c>
      <c r="E187" s="342" t="s">
        <v>3681</v>
      </c>
      <c r="F187" s="342">
        <v>1</v>
      </c>
      <c r="G187" s="342" t="s">
        <v>2828</v>
      </c>
      <c r="H187" s="342" t="s">
        <v>3423</v>
      </c>
      <c r="I187" s="342" t="s">
        <v>3211</v>
      </c>
      <c r="J187" s="345">
        <v>43110</v>
      </c>
      <c r="K187" s="345"/>
      <c r="L187" s="345"/>
      <c r="M187" s="342" t="s">
        <v>2853</v>
      </c>
      <c r="N187" s="342" t="s">
        <v>2088</v>
      </c>
      <c r="O187" s="345">
        <v>43445</v>
      </c>
      <c r="P187" s="355" t="s">
        <v>3061</v>
      </c>
      <c r="Q187" s="342" t="s">
        <v>2829</v>
      </c>
      <c r="R187" s="356"/>
      <c r="S187" s="354">
        <f t="shared" si="2"/>
        <v>1</v>
      </c>
    </row>
    <row r="188" spans="1:19" ht="25.35" customHeight="1" x14ac:dyDescent="0.2">
      <c r="A188" s="338" t="s">
        <v>4661</v>
      </c>
      <c r="B188" s="339">
        <v>43446</v>
      </c>
      <c r="C188" s="343" t="s">
        <v>4662</v>
      </c>
      <c r="D188" s="343" t="s">
        <v>4663</v>
      </c>
      <c r="E188" s="344" t="s">
        <v>2971</v>
      </c>
      <c r="F188" s="344">
        <v>1</v>
      </c>
      <c r="G188" s="344" t="s">
        <v>4300</v>
      </c>
      <c r="H188" s="344" t="s">
        <v>441</v>
      </c>
      <c r="I188" s="344" t="s">
        <v>229</v>
      </c>
      <c r="J188" s="339">
        <v>43465</v>
      </c>
      <c r="K188" s="339"/>
      <c r="L188" s="339"/>
      <c r="M188" s="344" t="s">
        <v>2853</v>
      </c>
      <c r="N188" s="344" t="s">
        <v>2088</v>
      </c>
      <c r="O188" s="339">
        <v>43461</v>
      </c>
      <c r="P188" s="353" t="s">
        <v>3061</v>
      </c>
      <c r="Q188" s="344" t="s">
        <v>2829</v>
      </c>
      <c r="R188" s="354"/>
      <c r="S188" s="354">
        <f t="shared" si="2"/>
        <v>15</v>
      </c>
    </row>
    <row r="189" spans="1:19" ht="25.35" customHeight="1" x14ac:dyDescent="0.2">
      <c r="A189" s="340" t="s">
        <v>4664</v>
      </c>
      <c r="B189" s="345">
        <v>43446</v>
      </c>
      <c r="C189" s="341" t="s">
        <v>4665</v>
      </c>
      <c r="D189" s="341" t="s">
        <v>4666</v>
      </c>
      <c r="E189" s="342" t="s">
        <v>4208</v>
      </c>
      <c r="F189" s="342">
        <v>1</v>
      </c>
      <c r="G189" s="342" t="s">
        <v>2828</v>
      </c>
      <c r="H189" s="342" t="s">
        <v>4232</v>
      </c>
      <c r="I189" s="342" t="s">
        <v>3211</v>
      </c>
      <c r="J189" s="345">
        <v>43477</v>
      </c>
      <c r="K189" s="345"/>
      <c r="L189" s="345"/>
      <c r="M189" s="342" t="s">
        <v>2853</v>
      </c>
      <c r="N189" s="342" t="s">
        <v>2088</v>
      </c>
      <c r="O189" s="345">
        <v>43451</v>
      </c>
      <c r="P189" s="355" t="s">
        <v>3061</v>
      </c>
      <c r="Q189" s="342" t="s">
        <v>2829</v>
      </c>
      <c r="R189" s="356"/>
      <c r="S189" s="354">
        <f t="shared" si="2"/>
        <v>5</v>
      </c>
    </row>
    <row r="190" spans="1:19" ht="25.35" customHeight="1" x14ac:dyDescent="0.2">
      <c r="A190" s="338" t="s">
        <v>4667</v>
      </c>
      <c r="B190" s="339">
        <v>43447</v>
      </c>
      <c r="C190" s="343" t="s">
        <v>4668</v>
      </c>
      <c r="D190" s="343" t="s">
        <v>3039</v>
      </c>
      <c r="E190" s="344" t="s">
        <v>2971</v>
      </c>
      <c r="F190" s="344">
        <v>1</v>
      </c>
      <c r="G190" s="344" t="s">
        <v>2841</v>
      </c>
      <c r="H190" s="344" t="s">
        <v>3645</v>
      </c>
      <c r="I190" s="344" t="s">
        <v>229</v>
      </c>
      <c r="J190" s="339">
        <v>43465</v>
      </c>
      <c r="K190" s="339"/>
      <c r="L190" s="339"/>
      <c r="M190" s="344" t="s">
        <v>2853</v>
      </c>
      <c r="N190" s="344" t="s">
        <v>2088</v>
      </c>
      <c r="O190" s="339">
        <v>43474</v>
      </c>
      <c r="P190" s="353" t="s">
        <v>3061</v>
      </c>
      <c r="Q190" s="344" t="s">
        <v>2829</v>
      </c>
      <c r="R190" s="354"/>
      <c r="S190" s="354">
        <f t="shared" si="2"/>
        <v>27</v>
      </c>
    </row>
    <row r="191" spans="1:19" ht="25.35" customHeight="1" x14ac:dyDescent="0.2">
      <c r="A191" s="340" t="s">
        <v>4669</v>
      </c>
      <c r="B191" s="345">
        <v>43447</v>
      </c>
      <c r="C191" s="341" t="s">
        <v>4670</v>
      </c>
      <c r="D191" s="341" t="s">
        <v>3039</v>
      </c>
      <c r="E191" s="342" t="s">
        <v>2971</v>
      </c>
      <c r="F191" s="342">
        <v>1</v>
      </c>
      <c r="G191" s="342" t="s">
        <v>2841</v>
      </c>
      <c r="H191" s="342" t="s">
        <v>486</v>
      </c>
      <c r="I191" s="342" t="s">
        <v>229</v>
      </c>
      <c r="J191" s="345">
        <v>43465</v>
      </c>
      <c r="K191" s="345"/>
      <c r="L191" s="345"/>
      <c r="M191" s="342" t="s">
        <v>2853</v>
      </c>
      <c r="N191" s="342" t="s">
        <v>2088</v>
      </c>
      <c r="O191" s="345">
        <v>43474</v>
      </c>
      <c r="P191" s="355" t="s">
        <v>3061</v>
      </c>
      <c r="Q191" s="342" t="s">
        <v>3677</v>
      </c>
      <c r="R191" s="356"/>
      <c r="S191" s="354">
        <f t="shared" si="2"/>
        <v>27</v>
      </c>
    </row>
    <row r="192" spans="1:19" ht="25.35" customHeight="1" x14ac:dyDescent="0.2">
      <c r="A192" s="338" t="s">
        <v>4672</v>
      </c>
      <c r="B192" s="339">
        <v>43453</v>
      </c>
      <c r="C192" s="343" t="s">
        <v>4673</v>
      </c>
      <c r="D192" s="343" t="s">
        <v>4674</v>
      </c>
      <c r="E192" s="344" t="s">
        <v>4675</v>
      </c>
      <c r="F192" s="344">
        <v>1</v>
      </c>
      <c r="G192" s="344" t="s">
        <v>2836</v>
      </c>
      <c r="H192" s="344" t="s">
        <v>3991</v>
      </c>
      <c r="I192" s="344" t="s">
        <v>229</v>
      </c>
      <c r="J192" s="339">
        <v>43465</v>
      </c>
      <c r="K192" s="339"/>
      <c r="L192" s="339"/>
      <c r="M192" s="344" t="s">
        <v>2853</v>
      </c>
      <c r="N192" s="344" t="s">
        <v>2088</v>
      </c>
      <c r="O192" s="339">
        <v>43454</v>
      </c>
      <c r="P192" s="353" t="s">
        <v>3061</v>
      </c>
      <c r="Q192" s="344" t="s">
        <v>2829</v>
      </c>
      <c r="R192" s="354"/>
      <c r="S192" s="354">
        <f t="shared" si="2"/>
        <v>1</v>
      </c>
    </row>
    <row r="193" spans="1:19" ht="25.35" customHeight="1" x14ac:dyDescent="0.2">
      <c r="A193" s="340" t="s">
        <v>4677</v>
      </c>
      <c r="B193" s="345">
        <v>43454</v>
      </c>
      <c r="C193" s="341" t="s">
        <v>4678</v>
      </c>
      <c r="D193" s="341" t="s">
        <v>4679</v>
      </c>
      <c r="E193" s="342" t="s">
        <v>2971</v>
      </c>
      <c r="F193" s="342">
        <v>1</v>
      </c>
      <c r="G193" s="342" t="s">
        <v>2838</v>
      </c>
      <c r="H193" s="342" t="s">
        <v>685</v>
      </c>
      <c r="I193" s="342" t="s">
        <v>229</v>
      </c>
      <c r="J193" s="345">
        <v>43554</v>
      </c>
      <c r="K193" s="345"/>
      <c r="L193" s="345"/>
      <c r="M193" s="342" t="s">
        <v>2853</v>
      </c>
      <c r="N193" s="342" t="s">
        <v>2088</v>
      </c>
      <c r="O193" s="345">
        <v>43486</v>
      </c>
      <c r="P193" s="355" t="s">
        <v>3061</v>
      </c>
      <c r="Q193" s="342" t="s">
        <v>2839</v>
      </c>
      <c r="R193" s="356"/>
      <c r="S193" s="354">
        <f t="shared" si="2"/>
        <v>32</v>
      </c>
    </row>
    <row r="194" spans="1:19" ht="25.35" customHeight="1" x14ac:dyDescent="0.2">
      <c r="A194" s="338" t="s">
        <v>4680</v>
      </c>
      <c r="B194" s="339">
        <v>43455</v>
      </c>
      <c r="C194" s="343" t="s">
        <v>4681</v>
      </c>
      <c r="D194" s="343" t="s">
        <v>4048</v>
      </c>
      <c r="E194" s="344" t="s">
        <v>2971</v>
      </c>
      <c r="F194" s="344">
        <v>1</v>
      </c>
      <c r="G194" s="344" t="s">
        <v>2841</v>
      </c>
      <c r="H194" s="344" t="s">
        <v>685</v>
      </c>
      <c r="I194" s="344" t="s">
        <v>229</v>
      </c>
      <c r="J194" s="339">
        <v>43465</v>
      </c>
      <c r="K194" s="339"/>
      <c r="L194" s="339"/>
      <c r="M194" s="344" t="s">
        <v>2853</v>
      </c>
      <c r="N194" s="344" t="s">
        <v>2088</v>
      </c>
      <c r="O194" s="339">
        <v>43825</v>
      </c>
      <c r="P194" s="353" t="s">
        <v>3061</v>
      </c>
      <c r="Q194" s="344" t="s">
        <v>2829</v>
      </c>
      <c r="R194" s="354"/>
      <c r="S194" s="354">
        <f t="shared" si="2"/>
        <v>370</v>
      </c>
    </row>
    <row r="195" spans="1:19" ht="25.35" customHeight="1" x14ac:dyDescent="0.2">
      <c r="A195" s="340" t="s">
        <v>4682</v>
      </c>
      <c r="B195" s="345">
        <v>43455</v>
      </c>
      <c r="C195" s="341" t="s">
        <v>4683</v>
      </c>
      <c r="D195" s="341" t="s">
        <v>3039</v>
      </c>
      <c r="E195" s="342" t="s">
        <v>2971</v>
      </c>
      <c r="F195" s="342">
        <v>1</v>
      </c>
      <c r="G195" s="342" t="s">
        <v>2841</v>
      </c>
      <c r="H195" s="342" t="s">
        <v>4684</v>
      </c>
      <c r="I195" s="342" t="s">
        <v>229</v>
      </c>
      <c r="J195" s="345">
        <v>43465</v>
      </c>
      <c r="K195" s="345"/>
      <c r="L195" s="345"/>
      <c r="M195" s="342" t="s">
        <v>2853</v>
      </c>
      <c r="N195" s="342" t="s">
        <v>2088</v>
      </c>
      <c r="O195" s="345">
        <v>43479</v>
      </c>
      <c r="P195" s="355" t="s">
        <v>3061</v>
      </c>
      <c r="Q195" s="342" t="s">
        <v>2829</v>
      </c>
      <c r="R195" s="356"/>
      <c r="S195" s="354">
        <f t="shared" ref="S195:S200" si="3">O195-B195</f>
        <v>24</v>
      </c>
    </row>
    <row r="196" spans="1:19" ht="25.35" customHeight="1" x14ac:dyDescent="0.2">
      <c r="A196" s="338" t="s">
        <v>4685</v>
      </c>
      <c r="B196" s="339">
        <v>43455</v>
      </c>
      <c r="C196" s="343" t="s">
        <v>4687</v>
      </c>
      <c r="D196" s="343" t="s">
        <v>3873</v>
      </c>
      <c r="E196" s="344" t="s">
        <v>2971</v>
      </c>
      <c r="F196" s="344">
        <v>1</v>
      </c>
      <c r="G196" s="344" t="s">
        <v>2841</v>
      </c>
      <c r="H196" s="344" t="s">
        <v>727</v>
      </c>
      <c r="I196" s="344" t="s">
        <v>229</v>
      </c>
      <c r="J196" s="339">
        <v>43465</v>
      </c>
      <c r="K196" s="339"/>
      <c r="L196" s="339"/>
      <c r="M196" s="344" t="s">
        <v>2853</v>
      </c>
      <c r="N196" s="344" t="s">
        <v>3022</v>
      </c>
      <c r="O196" s="339">
        <v>43488</v>
      </c>
      <c r="P196" s="353" t="s">
        <v>3022</v>
      </c>
      <c r="Q196" s="344" t="s">
        <v>2832</v>
      </c>
      <c r="R196" s="354"/>
      <c r="S196" s="354">
        <f t="shared" si="3"/>
        <v>33</v>
      </c>
    </row>
    <row r="197" spans="1:19" ht="25.35" customHeight="1" x14ac:dyDescent="0.2">
      <c r="A197" s="340" t="s">
        <v>4686</v>
      </c>
      <c r="B197" s="345">
        <v>43455</v>
      </c>
      <c r="C197" s="341" t="s">
        <v>4688</v>
      </c>
      <c r="D197" s="341" t="s">
        <v>3873</v>
      </c>
      <c r="E197" s="342" t="s">
        <v>2971</v>
      </c>
      <c r="F197" s="342">
        <v>1</v>
      </c>
      <c r="G197" s="342" t="s">
        <v>2841</v>
      </c>
      <c r="H197" s="342" t="s">
        <v>685</v>
      </c>
      <c r="I197" s="342" t="s">
        <v>229</v>
      </c>
      <c r="J197" s="345">
        <v>43465</v>
      </c>
      <c r="K197" s="345"/>
      <c r="L197" s="345"/>
      <c r="M197" s="342" t="s">
        <v>2853</v>
      </c>
      <c r="N197" s="342" t="s">
        <v>3022</v>
      </c>
      <c r="O197" s="345">
        <v>43486</v>
      </c>
      <c r="P197" s="355" t="s">
        <v>3022</v>
      </c>
      <c r="Q197" s="342" t="s">
        <v>2829</v>
      </c>
      <c r="R197" s="356"/>
      <c r="S197" s="354">
        <f t="shared" si="3"/>
        <v>31</v>
      </c>
    </row>
    <row r="198" spans="1:19" ht="25.35" customHeight="1" x14ac:dyDescent="0.2">
      <c r="A198" s="338" t="s">
        <v>4689</v>
      </c>
      <c r="B198" s="339">
        <v>43455</v>
      </c>
      <c r="C198" s="343" t="s">
        <v>4690</v>
      </c>
      <c r="D198" s="343" t="s">
        <v>3873</v>
      </c>
      <c r="E198" s="344" t="s">
        <v>2971</v>
      </c>
      <c r="F198" s="344">
        <v>1</v>
      </c>
      <c r="G198" s="344" t="s">
        <v>2841</v>
      </c>
      <c r="H198" s="344" t="s">
        <v>1461</v>
      </c>
      <c r="I198" s="344" t="s">
        <v>229</v>
      </c>
      <c r="J198" s="339">
        <v>43476</v>
      </c>
      <c r="K198" s="339"/>
      <c r="L198" s="339"/>
      <c r="M198" s="344" t="s">
        <v>2853</v>
      </c>
      <c r="N198" s="344" t="s">
        <v>3022</v>
      </c>
      <c r="O198" s="339">
        <v>43615</v>
      </c>
      <c r="P198" s="353" t="s">
        <v>3022</v>
      </c>
      <c r="Q198" s="344" t="s">
        <v>2835</v>
      </c>
      <c r="R198" s="354"/>
      <c r="S198" s="354">
        <f t="shared" si="3"/>
        <v>160</v>
      </c>
    </row>
    <row r="199" spans="1:19" ht="25.35" customHeight="1" x14ac:dyDescent="0.2">
      <c r="A199" s="340" t="s">
        <v>4691</v>
      </c>
      <c r="B199" s="345">
        <v>43455</v>
      </c>
      <c r="C199" s="341" t="s">
        <v>4692</v>
      </c>
      <c r="D199" s="341" t="s">
        <v>4048</v>
      </c>
      <c r="E199" s="342" t="s">
        <v>2971</v>
      </c>
      <c r="F199" s="342">
        <v>1</v>
      </c>
      <c r="G199" s="342" t="s">
        <v>2841</v>
      </c>
      <c r="H199" s="342" t="s">
        <v>229</v>
      </c>
      <c r="I199" s="342" t="s">
        <v>229</v>
      </c>
      <c r="J199" s="345">
        <v>43465</v>
      </c>
      <c r="K199" s="345"/>
      <c r="L199" s="345"/>
      <c r="M199" s="342" t="s">
        <v>2853</v>
      </c>
      <c r="N199" s="342" t="s">
        <v>2088</v>
      </c>
      <c r="O199" s="345">
        <v>43532</v>
      </c>
      <c r="P199" s="355" t="s">
        <v>3022</v>
      </c>
      <c r="Q199" s="342" t="s">
        <v>2832</v>
      </c>
      <c r="R199" s="356"/>
      <c r="S199" s="354">
        <f t="shared" si="3"/>
        <v>77</v>
      </c>
    </row>
    <row r="200" spans="1:19" ht="25.35" customHeight="1" x14ac:dyDescent="0.2">
      <c r="A200" s="338" t="s">
        <v>4693</v>
      </c>
      <c r="B200" s="339">
        <v>43460</v>
      </c>
      <c r="C200" s="343" t="s">
        <v>4694</v>
      </c>
      <c r="D200" s="343" t="s">
        <v>3873</v>
      </c>
      <c r="E200" s="344" t="s">
        <v>2971</v>
      </c>
      <c r="F200" s="344">
        <v>1</v>
      </c>
      <c r="G200" s="344" t="s">
        <v>2841</v>
      </c>
      <c r="H200" s="344" t="s">
        <v>1339</v>
      </c>
      <c r="I200" s="344" t="s">
        <v>229</v>
      </c>
      <c r="J200" s="339">
        <v>43465</v>
      </c>
      <c r="K200" s="339"/>
      <c r="L200" s="339"/>
      <c r="M200" s="344" t="s">
        <v>2853</v>
      </c>
      <c r="N200" s="344" t="s">
        <v>2088</v>
      </c>
      <c r="O200" s="339">
        <v>43475</v>
      </c>
      <c r="P200" s="353" t="s">
        <v>3061</v>
      </c>
      <c r="Q200" s="344" t="s">
        <v>3677</v>
      </c>
      <c r="R200" s="354"/>
      <c r="S200" s="354">
        <f t="shared" si="3"/>
        <v>15</v>
      </c>
    </row>
    <row r="201" spans="1:19" ht="25.35" customHeight="1" x14ac:dyDescent="0.2">
      <c r="A201" s="340" t="s">
        <v>4695</v>
      </c>
      <c r="B201" s="345">
        <v>43460</v>
      </c>
      <c r="C201" s="341" t="s">
        <v>4696</v>
      </c>
      <c r="D201" s="341" t="s">
        <v>4697</v>
      </c>
      <c r="E201" s="342" t="s">
        <v>2971</v>
      </c>
      <c r="F201" s="342">
        <v>1</v>
      </c>
      <c r="G201" s="342" t="s">
        <v>2841</v>
      </c>
      <c r="H201" s="342" t="s">
        <v>486</v>
      </c>
      <c r="I201" s="342" t="s">
        <v>229</v>
      </c>
      <c r="J201" s="345">
        <v>43465</v>
      </c>
      <c r="K201" s="345"/>
      <c r="L201" s="345"/>
      <c r="M201" s="342" t="s">
        <v>2853</v>
      </c>
      <c r="N201" s="342" t="s">
        <v>2088</v>
      </c>
      <c r="O201" s="345">
        <v>43476</v>
      </c>
      <c r="P201" s="355" t="s">
        <v>3061</v>
      </c>
      <c r="Q201" s="342" t="s">
        <v>2829</v>
      </c>
      <c r="R201" s="356"/>
      <c r="S201" s="354">
        <f t="shared" ref="S201:S204" si="4">O201-B201</f>
        <v>16</v>
      </c>
    </row>
    <row r="202" spans="1:19" ht="25.35" customHeight="1" x14ac:dyDescent="0.2">
      <c r="A202" s="399" t="s">
        <v>4699</v>
      </c>
      <c r="B202" s="400">
        <v>43462</v>
      </c>
      <c r="C202" s="401" t="s">
        <v>2605</v>
      </c>
      <c r="D202" s="401" t="s">
        <v>4700</v>
      </c>
      <c r="E202" s="391" t="s">
        <v>2971</v>
      </c>
      <c r="F202" s="391">
        <v>1</v>
      </c>
      <c r="G202" s="391" t="s">
        <v>2838</v>
      </c>
      <c r="H202" s="391" t="s">
        <v>685</v>
      </c>
      <c r="I202" s="391" t="s">
        <v>229</v>
      </c>
      <c r="J202" s="400">
        <v>43465</v>
      </c>
      <c r="K202" s="400"/>
      <c r="L202" s="400"/>
      <c r="M202" s="391" t="s">
        <v>2853</v>
      </c>
      <c r="N202" s="391" t="s">
        <v>2088</v>
      </c>
      <c r="O202" s="400">
        <v>43479</v>
      </c>
      <c r="P202" s="402" t="s">
        <v>3061</v>
      </c>
      <c r="Q202" s="391" t="s">
        <v>2829</v>
      </c>
      <c r="R202" s="392"/>
      <c r="S202" s="392">
        <f t="shared" si="4"/>
        <v>17</v>
      </c>
    </row>
    <row r="203" spans="1:19" ht="25.35" customHeight="1" x14ac:dyDescent="0.2">
      <c r="A203" s="340" t="s">
        <v>4695</v>
      </c>
      <c r="B203" s="345">
        <v>43460</v>
      </c>
      <c r="C203" s="341" t="s">
        <v>4696</v>
      </c>
      <c r="D203" s="341" t="s">
        <v>4697</v>
      </c>
      <c r="E203" s="342" t="s">
        <v>2971</v>
      </c>
      <c r="F203" s="342">
        <v>1</v>
      </c>
      <c r="G203" s="342" t="s">
        <v>2841</v>
      </c>
      <c r="H203" s="342" t="s">
        <v>486</v>
      </c>
      <c r="I203" s="342" t="s">
        <v>229</v>
      </c>
      <c r="J203" s="345">
        <v>43465</v>
      </c>
      <c r="K203" s="345"/>
      <c r="L203" s="345"/>
      <c r="M203" s="342" t="s">
        <v>2853</v>
      </c>
      <c r="N203" s="342" t="s">
        <v>2088</v>
      </c>
      <c r="O203" s="345">
        <v>43476</v>
      </c>
      <c r="P203" s="355" t="s">
        <v>3061</v>
      </c>
      <c r="Q203" s="342" t="s">
        <v>2829</v>
      </c>
      <c r="R203" s="356"/>
      <c r="S203" s="354">
        <f t="shared" si="4"/>
        <v>16</v>
      </c>
    </row>
    <row r="204" spans="1:19" ht="25.35" customHeight="1" x14ac:dyDescent="0.2">
      <c r="A204" s="399" t="s">
        <v>4699</v>
      </c>
      <c r="B204" s="400">
        <v>43462</v>
      </c>
      <c r="C204" s="401" t="s">
        <v>2605</v>
      </c>
      <c r="D204" s="401" t="s">
        <v>4700</v>
      </c>
      <c r="E204" s="391" t="s">
        <v>2971</v>
      </c>
      <c r="F204" s="391">
        <v>1</v>
      </c>
      <c r="G204" s="391" t="s">
        <v>2838</v>
      </c>
      <c r="H204" s="391" t="s">
        <v>685</v>
      </c>
      <c r="I204" s="391" t="s">
        <v>229</v>
      </c>
      <c r="J204" s="400">
        <v>43465</v>
      </c>
      <c r="K204" s="400"/>
      <c r="L204" s="400"/>
      <c r="M204" s="391" t="s">
        <v>2853</v>
      </c>
      <c r="N204" s="391" t="s">
        <v>2088</v>
      </c>
      <c r="O204" s="400">
        <v>43479</v>
      </c>
      <c r="P204" s="402" t="s">
        <v>3061</v>
      </c>
      <c r="Q204" s="391" t="s">
        <v>2829</v>
      </c>
      <c r="R204" s="392"/>
      <c r="S204" s="392">
        <f t="shared" si="4"/>
        <v>17</v>
      </c>
    </row>
    <row r="205" spans="1:19" ht="25.35" customHeight="1" x14ac:dyDescent="0.2">
      <c r="A205" s="340"/>
      <c r="B205" s="345"/>
      <c r="C205" s="341"/>
      <c r="D205" s="341"/>
      <c r="E205" s="342"/>
      <c r="F205" s="342"/>
      <c r="G205" s="342"/>
      <c r="H205" s="342"/>
      <c r="I205" s="342"/>
      <c r="J205" s="345"/>
      <c r="K205" s="345"/>
      <c r="L205" s="345"/>
      <c r="M205" s="342"/>
      <c r="N205" s="342"/>
      <c r="O205" s="345"/>
      <c r="P205" s="355"/>
      <c r="Q205" s="342"/>
      <c r="R205" s="356"/>
      <c r="S205" s="354"/>
    </row>
    <row r="206" spans="1:19" ht="25.35" customHeight="1" x14ac:dyDescent="0.2">
      <c r="A206" s="399"/>
      <c r="B206" s="400"/>
      <c r="C206" s="401"/>
      <c r="D206" s="401"/>
      <c r="E206" s="391"/>
      <c r="F206" s="391"/>
      <c r="G206" s="391"/>
      <c r="H206" s="391"/>
      <c r="I206" s="391"/>
      <c r="J206" s="400"/>
      <c r="K206" s="400"/>
      <c r="L206" s="400"/>
      <c r="M206" s="391"/>
      <c r="N206" s="391"/>
      <c r="O206" s="400"/>
      <c r="P206" s="402"/>
      <c r="Q206" s="391"/>
      <c r="R206" s="392"/>
      <c r="S206" s="392"/>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DropDownLists!$C$2:$C$4</xm:f>
          </x14:formula1>
          <xm:sqref>M2:M206</xm:sqref>
        </x14:dataValidation>
        <x14:dataValidation type="list" allowBlank="1" showInputMessage="1" showErrorMessage="1" xr:uid="{00000000-0002-0000-0400-000001000000}">
          <x14:formula1>
            <xm:f>DropDownLists!$B$2:$B$8</xm:f>
          </x14:formula1>
          <xm:sqref>G2:G206</xm:sqref>
        </x14:dataValidation>
        <x14:dataValidation type="list" allowBlank="1" showInputMessage="1" showErrorMessage="1" xr:uid="{00000000-0002-0000-0400-000002000000}">
          <x14:formula1>
            <xm:f>DropDownLists!$A$2:$A$3</xm:f>
          </x14:formula1>
          <xm:sqref>F2:F206</xm:sqref>
        </x14:dataValidation>
        <x14:dataValidation type="list" allowBlank="1" showInputMessage="1" showErrorMessage="1" xr:uid="{00000000-0002-0000-0400-000003000000}">
          <x14:formula1>
            <xm:f>DropDownLists!$F$2:$F$7</xm:f>
          </x14:formula1>
          <xm:sqref>Q2:Q206</xm:sqref>
        </x14:dataValidation>
        <x14:dataValidation type="list" allowBlank="1" showInputMessage="1" showErrorMessage="1" xr:uid="{00000000-0002-0000-0400-000004000000}">
          <x14:formula1>
            <xm:f>DropDownLists!$E$2:$E$4</xm:f>
          </x14:formula1>
          <xm:sqref>P2:P206</xm:sqref>
        </x14:dataValidation>
        <x14:dataValidation type="list" allowBlank="1" showInputMessage="1" showErrorMessage="1" xr:uid="{00000000-0002-0000-0400-000005000000}">
          <x14:formula1>
            <xm:f>DropDownLists!$D$2:$D$4</xm:f>
          </x14:formula1>
          <xm:sqref>N2:N206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U202"/>
  <sheetViews>
    <sheetView zoomScale="90" zoomScaleNormal="90" workbookViewId="0">
      <pane ySplit="1" topLeftCell="A2" activePane="bottomLeft" state="frozen"/>
      <selection pane="bottomLeft" activeCell="A2" sqref="A2:S148"/>
    </sheetView>
  </sheetViews>
  <sheetFormatPr defaultRowHeight="25.35" customHeight="1" x14ac:dyDescent="0.2"/>
  <cols>
    <col min="1" max="1" width="13" customWidth="1"/>
    <col min="2" max="2" width="17.42578125" customWidth="1"/>
    <col min="3" max="3" width="36.42578125" customWidth="1"/>
    <col min="4" max="4" width="43.42578125" style="82" customWidth="1"/>
    <col min="5" max="5" width="21.42578125" customWidth="1"/>
    <col min="6" max="6" width="14.5703125" customWidth="1"/>
    <col min="7" max="7" width="22.5703125" customWidth="1"/>
    <col min="8" max="8" width="22" customWidth="1"/>
    <col min="9" max="9" width="15.42578125" customWidth="1"/>
    <col min="10" max="10" width="14.42578125" customWidth="1"/>
    <col min="11" max="11" width="17.42578125" customWidth="1"/>
    <col min="12" max="12" width="18.42578125" customWidth="1"/>
    <col min="13" max="13" width="17.5703125" customWidth="1"/>
    <col min="14" max="14" width="15.5703125" customWidth="1"/>
    <col min="15" max="15" width="15.5703125" style="13" customWidth="1"/>
    <col min="16" max="16" width="19.42578125" customWidth="1"/>
    <col min="17" max="17" width="23.42578125" customWidth="1"/>
    <col min="18" max="18" width="22.5703125" customWidth="1"/>
  </cols>
  <sheetData>
    <row r="1" spans="1:19" ht="41.1" customHeight="1" x14ac:dyDescent="0.2">
      <c r="A1" s="428" t="s">
        <v>2808</v>
      </c>
      <c r="B1" s="429" t="s">
        <v>2809</v>
      </c>
      <c r="C1" s="428" t="s">
        <v>2810</v>
      </c>
      <c r="D1" s="428" t="s">
        <v>2811</v>
      </c>
      <c r="E1" s="428" t="s">
        <v>2812</v>
      </c>
      <c r="F1" s="428" t="s">
        <v>3408</v>
      </c>
      <c r="G1" s="428" t="s">
        <v>2814</v>
      </c>
      <c r="H1" s="428" t="s">
        <v>2815</v>
      </c>
      <c r="I1" s="428" t="s">
        <v>2816</v>
      </c>
      <c r="J1" s="429" t="s">
        <v>2817</v>
      </c>
      <c r="K1" s="430" t="s">
        <v>5011</v>
      </c>
      <c r="L1" s="430" t="s">
        <v>5012</v>
      </c>
      <c r="M1" s="428" t="s">
        <v>2818</v>
      </c>
      <c r="N1" s="431" t="s">
        <v>2819</v>
      </c>
      <c r="O1" s="432" t="s">
        <v>2820</v>
      </c>
      <c r="P1" s="431" t="s">
        <v>2821</v>
      </c>
      <c r="Q1" s="431" t="s">
        <v>2822</v>
      </c>
      <c r="R1" s="433" t="s">
        <v>2823</v>
      </c>
      <c r="S1" s="434" t="s">
        <v>4213</v>
      </c>
    </row>
    <row r="2" spans="1:19" ht="25.35" customHeight="1" x14ac:dyDescent="0.2">
      <c r="A2" s="407" t="s">
        <v>3695</v>
      </c>
      <c r="B2" s="424">
        <v>42739</v>
      </c>
      <c r="C2" s="405" t="s">
        <v>3696</v>
      </c>
      <c r="D2" s="405" t="s">
        <v>3697</v>
      </c>
      <c r="E2" s="406" t="s">
        <v>2971</v>
      </c>
      <c r="F2" s="406">
        <v>1</v>
      </c>
      <c r="G2" s="406" t="s">
        <v>2838</v>
      </c>
      <c r="H2" s="406" t="s">
        <v>516</v>
      </c>
      <c r="I2" s="406" t="s">
        <v>3778</v>
      </c>
      <c r="J2" s="424">
        <v>42825</v>
      </c>
      <c r="K2" s="435"/>
      <c r="L2" s="435"/>
      <c r="M2" s="406" t="s">
        <v>2853</v>
      </c>
      <c r="N2" s="406" t="s">
        <v>2088</v>
      </c>
      <c r="O2" s="424">
        <v>42837</v>
      </c>
      <c r="P2" s="406" t="s">
        <v>2912</v>
      </c>
      <c r="Q2" s="406" t="s">
        <v>2835</v>
      </c>
      <c r="R2" s="407"/>
      <c r="S2" s="436">
        <f>O2-B2</f>
        <v>98</v>
      </c>
    </row>
    <row r="3" spans="1:19" ht="25.35" customHeight="1" x14ac:dyDescent="0.2">
      <c r="A3" s="408" t="s">
        <v>3699</v>
      </c>
      <c r="B3" s="422">
        <v>42744</v>
      </c>
      <c r="C3" s="408" t="s">
        <v>3701</v>
      </c>
      <c r="D3" s="403" t="s">
        <v>3700</v>
      </c>
      <c r="E3" s="404" t="s">
        <v>3586</v>
      </c>
      <c r="F3" s="404">
        <v>1</v>
      </c>
      <c r="G3" s="404" t="s">
        <v>2828</v>
      </c>
      <c r="H3" s="404" t="s">
        <v>2106</v>
      </c>
      <c r="I3" s="404" t="s">
        <v>3211</v>
      </c>
      <c r="J3" s="422">
        <v>42748</v>
      </c>
      <c r="K3" s="437"/>
      <c r="L3" s="437"/>
      <c r="M3" s="404" t="s">
        <v>2853</v>
      </c>
      <c r="N3" s="404" t="s">
        <v>2088</v>
      </c>
      <c r="O3" s="422">
        <v>42759</v>
      </c>
      <c r="P3" s="406" t="s">
        <v>2912</v>
      </c>
      <c r="Q3" s="404" t="s">
        <v>2829</v>
      </c>
      <c r="R3" s="423"/>
      <c r="S3" s="420">
        <f t="shared" ref="S3:S66" si="0">O3-B3</f>
        <v>15</v>
      </c>
    </row>
    <row r="4" spans="1:19" ht="25.35" customHeight="1" x14ac:dyDescent="0.2">
      <c r="A4" s="407" t="s">
        <v>3702</v>
      </c>
      <c r="B4" s="424">
        <v>42747</v>
      </c>
      <c r="C4" s="407" t="s">
        <v>3704</v>
      </c>
      <c r="D4" s="405" t="s">
        <v>3703</v>
      </c>
      <c r="E4" s="406" t="s">
        <v>2917</v>
      </c>
      <c r="F4" s="406">
        <v>1</v>
      </c>
      <c r="G4" s="406" t="s">
        <v>2828</v>
      </c>
      <c r="H4" s="406" t="s">
        <v>3227</v>
      </c>
      <c r="I4" s="406" t="s">
        <v>3211</v>
      </c>
      <c r="J4" s="424">
        <v>42748</v>
      </c>
      <c r="K4" s="400"/>
      <c r="L4" s="400"/>
      <c r="M4" s="406" t="s">
        <v>2853</v>
      </c>
      <c r="N4" s="406" t="s">
        <v>2088</v>
      </c>
      <c r="O4" s="424">
        <v>42748</v>
      </c>
      <c r="P4" s="406" t="s">
        <v>4224</v>
      </c>
      <c r="Q4" s="406" t="s">
        <v>2829</v>
      </c>
      <c r="R4" s="412"/>
      <c r="S4" s="419">
        <f t="shared" si="0"/>
        <v>1</v>
      </c>
    </row>
    <row r="5" spans="1:19" ht="25.35" customHeight="1" x14ac:dyDescent="0.2">
      <c r="A5" s="408" t="s">
        <v>3705</v>
      </c>
      <c r="B5" s="422">
        <v>42762</v>
      </c>
      <c r="C5" s="408" t="s">
        <v>3706</v>
      </c>
      <c r="D5" s="403" t="s">
        <v>3707</v>
      </c>
      <c r="E5" s="404" t="s">
        <v>2971</v>
      </c>
      <c r="F5" s="404">
        <v>1</v>
      </c>
      <c r="G5" s="404" t="s">
        <v>2828</v>
      </c>
      <c r="H5" s="404" t="s">
        <v>3423</v>
      </c>
      <c r="I5" s="404" t="s">
        <v>3211</v>
      </c>
      <c r="J5" s="422">
        <v>42803</v>
      </c>
      <c r="K5" s="437"/>
      <c r="L5" s="437"/>
      <c r="M5" s="404" t="s">
        <v>2853</v>
      </c>
      <c r="N5" s="404" t="s">
        <v>2088</v>
      </c>
      <c r="O5" s="422">
        <v>42800</v>
      </c>
      <c r="P5" s="406" t="s">
        <v>4224</v>
      </c>
      <c r="Q5" s="404" t="s">
        <v>3677</v>
      </c>
      <c r="R5" s="423"/>
      <c r="S5" s="420">
        <f t="shared" si="0"/>
        <v>38</v>
      </c>
    </row>
    <row r="6" spans="1:19" ht="25.35" customHeight="1" x14ac:dyDescent="0.2">
      <c r="A6" s="407" t="s">
        <v>3708</v>
      </c>
      <c r="B6" s="424">
        <v>42765</v>
      </c>
      <c r="C6" s="407" t="s">
        <v>3709</v>
      </c>
      <c r="D6" s="405" t="s">
        <v>3307</v>
      </c>
      <c r="E6" s="406" t="s">
        <v>2971</v>
      </c>
      <c r="F6" s="406">
        <v>1</v>
      </c>
      <c r="G6" s="406" t="s">
        <v>2841</v>
      </c>
      <c r="H6" s="406" t="s">
        <v>486</v>
      </c>
      <c r="I6" s="406" t="s">
        <v>229</v>
      </c>
      <c r="J6" s="424">
        <v>42779</v>
      </c>
      <c r="K6" s="400"/>
      <c r="L6" s="400"/>
      <c r="M6" s="406" t="s">
        <v>2853</v>
      </c>
      <c r="N6" s="406" t="s">
        <v>2088</v>
      </c>
      <c r="O6" s="424">
        <v>42768</v>
      </c>
      <c r="P6" s="406" t="s">
        <v>4224</v>
      </c>
      <c r="Q6" s="406" t="s">
        <v>2829</v>
      </c>
      <c r="R6" s="412"/>
      <c r="S6" s="419">
        <f t="shared" si="0"/>
        <v>3</v>
      </c>
    </row>
    <row r="7" spans="1:19" ht="25.35" customHeight="1" x14ac:dyDescent="0.2">
      <c r="A7" s="408" t="s">
        <v>3712</v>
      </c>
      <c r="B7" s="422">
        <v>42768</v>
      </c>
      <c r="C7" s="408" t="s">
        <v>3713</v>
      </c>
      <c r="D7" s="403" t="s">
        <v>3714</v>
      </c>
      <c r="E7" s="404" t="s">
        <v>2971</v>
      </c>
      <c r="F7" s="404">
        <v>1</v>
      </c>
      <c r="G7" s="404" t="s">
        <v>2828</v>
      </c>
      <c r="H7" s="404" t="s">
        <v>3227</v>
      </c>
      <c r="I7" s="404" t="s">
        <v>3211</v>
      </c>
      <c r="J7" s="422">
        <v>42769</v>
      </c>
      <c r="K7" s="437"/>
      <c r="L7" s="437"/>
      <c r="M7" s="404" t="s">
        <v>2853</v>
      </c>
      <c r="N7" s="404" t="s">
        <v>2088</v>
      </c>
      <c r="O7" s="422">
        <v>42768</v>
      </c>
      <c r="P7" s="406" t="s">
        <v>4224</v>
      </c>
      <c r="Q7" s="404" t="s">
        <v>3677</v>
      </c>
      <c r="R7" s="423"/>
      <c r="S7" s="420">
        <f t="shared" si="0"/>
        <v>0</v>
      </c>
    </row>
    <row r="8" spans="1:19" ht="38.25" x14ac:dyDescent="0.2">
      <c r="A8" s="407" t="s">
        <v>3715</v>
      </c>
      <c r="B8" s="424">
        <v>42776</v>
      </c>
      <c r="C8" s="407" t="s">
        <v>3573</v>
      </c>
      <c r="D8" s="405" t="s">
        <v>3716</v>
      </c>
      <c r="E8" s="406" t="s">
        <v>2971</v>
      </c>
      <c r="F8" s="406">
        <v>1</v>
      </c>
      <c r="G8" s="406" t="s">
        <v>2838</v>
      </c>
      <c r="H8" s="406" t="s">
        <v>3423</v>
      </c>
      <c r="I8" s="406" t="s">
        <v>229</v>
      </c>
      <c r="J8" s="424">
        <v>42794</v>
      </c>
      <c r="K8" s="400"/>
      <c r="L8" s="400"/>
      <c r="M8" s="406" t="s">
        <v>2853</v>
      </c>
      <c r="N8" s="406" t="s">
        <v>3022</v>
      </c>
      <c r="O8" s="424">
        <v>42822</v>
      </c>
      <c r="P8" s="406" t="s">
        <v>4224</v>
      </c>
      <c r="Q8" s="406" t="s">
        <v>2832</v>
      </c>
      <c r="R8" s="412"/>
      <c r="S8" s="419">
        <f t="shared" si="0"/>
        <v>46</v>
      </c>
    </row>
    <row r="9" spans="1:19" ht="25.35" customHeight="1" x14ac:dyDescent="0.2">
      <c r="A9" s="408" t="s">
        <v>3717</v>
      </c>
      <c r="B9" s="422">
        <v>42779</v>
      </c>
      <c r="C9" s="423" t="s">
        <v>3718</v>
      </c>
      <c r="D9" s="403" t="s">
        <v>3719</v>
      </c>
      <c r="E9" s="404" t="s">
        <v>3764</v>
      </c>
      <c r="F9" s="404">
        <v>1</v>
      </c>
      <c r="G9" s="404" t="s">
        <v>2828</v>
      </c>
      <c r="H9" s="404" t="s">
        <v>3227</v>
      </c>
      <c r="I9" s="404" t="s">
        <v>3211</v>
      </c>
      <c r="J9" s="422">
        <v>42783</v>
      </c>
      <c r="K9" s="437"/>
      <c r="L9" s="437"/>
      <c r="M9" s="404" t="s">
        <v>2853</v>
      </c>
      <c r="N9" s="404" t="s">
        <v>2088</v>
      </c>
      <c r="O9" s="422">
        <v>42789</v>
      </c>
      <c r="P9" s="406" t="s">
        <v>2912</v>
      </c>
      <c r="Q9" s="404" t="s">
        <v>2829</v>
      </c>
      <c r="R9" s="423"/>
      <c r="S9" s="420">
        <f t="shared" si="0"/>
        <v>10</v>
      </c>
    </row>
    <row r="10" spans="1:19" ht="25.35" customHeight="1" x14ac:dyDescent="0.2">
      <c r="A10" s="407" t="s">
        <v>3720</v>
      </c>
      <c r="B10" s="424">
        <v>42779</v>
      </c>
      <c r="C10" s="407" t="s">
        <v>3721</v>
      </c>
      <c r="D10" s="405" t="s">
        <v>3722</v>
      </c>
      <c r="E10" s="406" t="s">
        <v>3335</v>
      </c>
      <c r="F10" s="406">
        <v>1</v>
      </c>
      <c r="G10" s="406" t="s">
        <v>2828</v>
      </c>
      <c r="H10" s="406" t="s">
        <v>3167</v>
      </c>
      <c r="I10" s="406" t="s">
        <v>3211</v>
      </c>
      <c r="J10" s="424">
        <v>42783</v>
      </c>
      <c r="K10" s="400"/>
      <c r="L10" s="400"/>
      <c r="M10" s="406" t="s">
        <v>2853</v>
      </c>
      <c r="N10" s="406" t="s">
        <v>2088</v>
      </c>
      <c r="O10" s="424">
        <v>42783</v>
      </c>
      <c r="P10" s="406" t="s">
        <v>4224</v>
      </c>
      <c r="Q10" s="406" t="s">
        <v>2829</v>
      </c>
      <c r="R10" s="412"/>
      <c r="S10" s="419">
        <f t="shared" si="0"/>
        <v>4</v>
      </c>
    </row>
    <row r="11" spans="1:19" ht="25.35" customHeight="1" x14ac:dyDescent="0.2">
      <c r="A11" s="408" t="s">
        <v>3723</v>
      </c>
      <c r="B11" s="422">
        <v>42782</v>
      </c>
      <c r="C11" s="408" t="s">
        <v>3724</v>
      </c>
      <c r="D11" s="403" t="s">
        <v>3725</v>
      </c>
      <c r="E11" s="404" t="s">
        <v>3617</v>
      </c>
      <c r="F11" s="404">
        <v>1</v>
      </c>
      <c r="G11" s="404" t="s">
        <v>2828</v>
      </c>
      <c r="H11" s="404" t="s">
        <v>2067</v>
      </c>
      <c r="I11" s="404" t="s">
        <v>3211</v>
      </c>
      <c r="J11" s="422">
        <v>42952</v>
      </c>
      <c r="K11" s="437"/>
      <c r="L11" s="437"/>
      <c r="M11" s="404" t="s">
        <v>2853</v>
      </c>
      <c r="N11" s="404" t="s">
        <v>2088</v>
      </c>
      <c r="O11" s="422">
        <v>42929</v>
      </c>
      <c r="P11" s="406" t="s">
        <v>4224</v>
      </c>
      <c r="Q11" s="404" t="s">
        <v>2835</v>
      </c>
      <c r="R11" s="423"/>
      <c r="S11" s="420">
        <f t="shared" si="0"/>
        <v>147</v>
      </c>
    </row>
    <row r="12" spans="1:19" ht="25.35" customHeight="1" x14ac:dyDescent="0.2">
      <c r="A12" s="407" t="s">
        <v>3726</v>
      </c>
      <c r="B12" s="424">
        <v>42800</v>
      </c>
      <c r="C12" s="405" t="s">
        <v>3727</v>
      </c>
      <c r="D12" s="405" t="s">
        <v>3728</v>
      </c>
      <c r="E12" s="406" t="s">
        <v>2971</v>
      </c>
      <c r="F12" s="406">
        <v>1</v>
      </c>
      <c r="G12" s="406" t="s">
        <v>2828</v>
      </c>
      <c r="H12" s="406" t="s">
        <v>3729</v>
      </c>
      <c r="I12" s="406" t="s">
        <v>3211</v>
      </c>
      <c r="J12" s="424">
        <v>42804</v>
      </c>
      <c r="K12" s="400"/>
      <c r="L12" s="400"/>
      <c r="M12" s="406" t="s">
        <v>2853</v>
      </c>
      <c r="N12" s="406" t="s">
        <v>2088</v>
      </c>
      <c r="O12" s="424">
        <v>42800</v>
      </c>
      <c r="P12" s="406" t="s">
        <v>4224</v>
      </c>
      <c r="Q12" s="406" t="s">
        <v>2829</v>
      </c>
      <c r="R12" s="412"/>
      <c r="S12" s="419">
        <f t="shared" si="0"/>
        <v>0</v>
      </c>
    </row>
    <row r="13" spans="1:19" ht="25.35" customHeight="1" x14ac:dyDescent="0.2">
      <c r="A13" s="408" t="s">
        <v>3730</v>
      </c>
      <c r="B13" s="422">
        <v>42800</v>
      </c>
      <c r="C13" s="403" t="s">
        <v>3734</v>
      </c>
      <c r="D13" s="403" t="s">
        <v>3306</v>
      </c>
      <c r="E13" s="404" t="s">
        <v>2971</v>
      </c>
      <c r="F13" s="404">
        <v>1</v>
      </c>
      <c r="G13" s="404" t="s">
        <v>2841</v>
      </c>
      <c r="H13" s="404" t="s">
        <v>229</v>
      </c>
      <c r="I13" s="404" t="s">
        <v>229</v>
      </c>
      <c r="J13" s="422">
        <v>42825</v>
      </c>
      <c r="K13" s="437"/>
      <c r="L13" s="437"/>
      <c r="M13" s="404" t="s">
        <v>2853</v>
      </c>
      <c r="N13" s="404" t="s">
        <v>2088</v>
      </c>
      <c r="O13" s="422">
        <v>42822</v>
      </c>
      <c r="P13" s="406" t="s">
        <v>4224</v>
      </c>
      <c r="Q13" s="404" t="s">
        <v>2829</v>
      </c>
      <c r="R13" s="423"/>
      <c r="S13" s="420">
        <f t="shared" si="0"/>
        <v>22</v>
      </c>
    </row>
    <row r="14" spans="1:19" ht="25.35" customHeight="1" x14ac:dyDescent="0.2">
      <c r="A14" s="407" t="s">
        <v>3731</v>
      </c>
      <c r="B14" s="424">
        <v>42800</v>
      </c>
      <c r="C14" s="405" t="s">
        <v>3735</v>
      </c>
      <c r="D14" s="405" t="s">
        <v>3306</v>
      </c>
      <c r="E14" s="406" t="s">
        <v>2971</v>
      </c>
      <c r="F14" s="406">
        <v>1</v>
      </c>
      <c r="G14" s="406" t="s">
        <v>2841</v>
      </c>
      <c r="H14" s="406" t="s">
        <v>229</v>
      </c>
      <c r="I14" s="406" t="s">
        <v>229</v>
      </c>
      <c r="J14" s="424">
        <v>42825</v>
      </c>
      <c r="K14" s="400"/>
      <c r="L14" s="400"/>
      <c r="M14" s="406" t="s">
        <v>2853</v>
      </c>
      <c r="N14" s="406" t="s">
        <v>2088</v>
      </c>
      <c r="O14" s="424">
        <v>42822</v>
      </c>
      <c r="P14" s="406" t="s">
        <v>4224</v>
      </c>
      <c r="Q14" s="406" t="s">
        <v>2829</v>
      </c>
      <c r="R14" s="412"/>
      <c r="S14" s="419">
        <f t="shared" si="0"/>
        <v>22</v>
      </c>
    </row>
    <row r="15" spans="1:19" ht="25.35" customHeight="1" x14ac:dyDescent="0.2">
      <c r="A15" s="408" t="s">
        <v>3732</v>
      </c>
      <c r="B15" s="422">
        <v>42800</v>
      </c>
      <c r="C15" s="403" t="s">
        <v>3736</v>
      </c>
      <c r="D15" s="403" t="s">
        <v>3306</v>
      </c>
      <c r="E15" s="404" t="s">
        <v>2971</v>
      </c>
      <c r="F15" s="404">
        <v>1</v>
      </c>
      <c r="G15" s="404" t="s">
        <v>2841</v>
      </c>
      <c r="H15" s="404" t="s">
        <v>229</v>
      </c>
      <c r="I15" s="404" t="s">
        <v>229</v>
      </c>
      <c r="J15" s="422">
        <v>42825</v>
      </c>
      <c r="K15" s="437"/>
      <c r="L15" s="437"/>
      <c r="M15" s="404" t="s">
        <v>2853</v>
      </c>
      <c r="N15" s="404" t="s">
        <v>2088</v>
      </c>
      <c r="O15" s="422">
        <v>42822</v>
      </c>
      <c r="P15" s="406" t="s">
        <v>4224</v>
      </c>
      <c r="Q15" s="404" t="s">
        <v>2829</v>
      </c>
      <c r="R15" s="423"/>
      <c r="S15" s="420">
        <f t="shared" si="0"/>
        <v>22</v>
      </c>
    </row>
    <row r="16" spans="1:19" ht="25.35" customHeight="1" x14ac:dyDescent="0.2">
      <c r="A16" s="407" t="s">
        <v>3733</v>
      </c>
      <c r="B16" s="424">
        <v>42800</v>
      </c>
      <c r="C16" s="405" t="s">
        <v>3737</v>
      </c>
      <c r="D16" s="405" t="s">
        <v>3306</v>
      </c>
      <c r="E16" s="406" t="s">
        <v>2971</v>
      </c>
      <c r="F16" s="406">
        <v>1</v>
      </c>
      <c r="G16" s="406" t="s">
        <v>2841</v>
      </c>
      <c r="H16" s="406" t="s">
        <v>229</v>
      </c>
      <c r="I16" s="406" t="s">
        <v>229</v>
      </c>
      <c r="J16" s="424">
        <v>42825</v>
      </c>
      <c r="K16" s="400"/>
      <c r="L16" s="400"/>
      <c r="M16" s="406" t="s">
        <v>2853</v>
      </c>
      <c r="N16" s="406" t="s">
        <v>2088</v>
      </c>
      <c r="O16" s="424">
        <v>42822</v>
      </c>
      <c r="P16" s="406" t="s">
        <v>4224</v>
      </c>
      <c r="Q16" s="406" t="s">
        <v>2829</v>
      </c>
      <c r="R16" s="412"/>
      <c r="S16" s="419">
        <f t="shared" si="0"/>
        <v>22</v>
      </c>
    </row>
    <row r="17" spans="1:19" ht="25.35" customHeight="1" x14ac:dyDescent="0.2">
      <c r="A17" s="408" t="s">
        <v>3738</v>
      </c>
      <c r="B17" s="422">
        <v>42800</v>
      </c>
      <c r="C17" s="403" t="s">
        <v>3739</v>
      </c>
      <c r="D17" s="403" t="s">
        <v>3740</v>
      </c>
      <c r="E17" s="404" t="s">
        <v>2971</v>
      </c>
      <c r="F17" s="404">
        <v>1</v>
      </c>
      <c r="G17" s="404" t="s">
        <v>2828</v>
      </c>
      <c r="H17" s="404" t="s">
        <v>3227</v>
      </c>
      <c r="I17" s="404" t="s">
        <v>3211</v>
      </c>
      <c r="J17" s="422">
        <v>42807</v>
      </c>
      <c r="K17" s="437"/>
      <c r="L17" s="437"/>
      <c r="M17" s="404" t="s">
        <v>2853</v>
      </c>
      <c r="N17" s="404" t="s">
        <v>2088</v>
      </c>
      <c r="O17" s="422">
        <v>42800</v>
      </c>
      <c r="P17" s="406" t="s">
        <v>4224</v>
      </c>
      <c r="Q17" s="404" t="s">
        <v>2829</v>
      </c>
      <c r="R17" s="423"/>
      <c r="S17" s="420">
        <f t="shared" si="0"/>
        <v>0</v>
      </c>
    </row>
    <row r="18" spans="1:19" ht="25.35" customHeight="1" x14ac:dyDescent="0.2">
      <c r="A18" s="407" t="s">
        <v>3741</v>
      </c>
      <c r="B18" s="424">
        <v>42800</v>
      </c>
      <c r="C18" s="405" t="s">
        <v>3933</v>
      </c>
      <c r="D18" s="405" t="s">
        <v>3743</v>
      </c>
      <c r="E18" s="406" t="s">
        <v>2971</v>
      </c>
      <c r="F18" s="406">
        <v>1</v>
      </c>
      <c r="G18" s="406" t="s">
        <v>2836</v>
      </c>
      <c r="H18" s="406" t="s">
        <v>3227</v>
      </c>
      <c r="I18" s="406" t="s">
        <v>3211</v>
      </c>
      <c r="J18" s="425" t="s">
        <v>3911</v>
      </c>
      <c r="K18" s="400"/>
      <c r="L18" s="400"/>
      <c r="M18" s="406" t="s">
        <v>2853</v>
      </c>
      <c r="N18" s="406" t="s">
        <v>3910</v>
      </c>
      <c r="O18" s="424">
        <v>42978</v>
      </c>
      <c r="P18" s="406" t="s">
        <v>4224</v>
      </c>
      <c r="Q18" s="406" t="s">
        <v>2835</v>
      </c>
      <c r="R18" s="412"/>
      <c r="S18" s="419">
        <f t="shared" si="0"/>
        <v>178</v>
      </c>
    </row>
    <row r="19" spans="1:19" ht="25.35" customHeight="1" x14ac:dyDescent="0.2">
      <c r="A19" s="408" t="s">
        <v>3742</v>
      </c>
      <c r="B19" s="422">
        <v>42800</v>
      </c>
      <c r="C19" s="403" t="s">
        <v>3932</v>
      </c>
      <c r="D19" s="403" t="s">
        <v>3744</v>
      </c>
      <c r="E19" s="404" t="s">
        <v>2971</v>
      </c>
      <c r="F19" s="404">
        <v>1</v>
      </c>
      <c r="G19" s="404" t="s">
        <v>2836</v>
      </c>
      <c r="H19" s="404" t="s">
        <v>3227</v>
      </c>
      <c r="I19" s="404" t="s">
        <v>3211</v>
      </c>
      <c r="J19" s="422">
        <v>42825</v>
      </c>
      <c r="K19" s="437"/>
      <c r="L19" s="437"/>
      <c r="M19" s="404" t="s">
        <v>2853</v>
      </c>
      <c r="N19" s="404" t="s">
        <v>3022</v>
      </c>
      <c r="O19" s="422">
        <v>42961</v>
      </c>
      <c r="P19" s="406" t="s">
        <v>2912</v>
      </c>
      <c r="Q19" s="404" t="s">
        <v>2837</v>
      </c>
      <c r="R19" s="423"/>
      <c r="S19" s="420">
        <f t="shared" si="0"/>
        <v>161</v>
      </c>
    </row>
    <row r="20" spans="1:19" ht="25.35" customHeight="1" x14ac:dyDescent="0.2">
      <c r="A20" s="407" t="s">
        <v>3745</v>
      </c>
      <c r="B20" s="424">
        <v>42801</v>
      </c>
      <c r="C20" s="405" t="s">
        <v>3748</v>
      </c>
      <c r="D20" s="405" t="s">
        <v>3746</v>
      </c>
      <c r="E20" s="406" t="s">
        <v>2971</v>
      </c>
      <c r="F20" s="406">
        <v>1</v>
      </c>
      <c r="G20" s="406" t="s">
        <v>2836</v>
      </c>
      <c r="H20" s="406" t="s">
        <v>3747</v>
      </c>
      <c r="I20" s="406" t="s">
        <v>3144</v>
      </c>
      <c r="J20" s="424">
        <v>42801</v>
      </c>
      <c r="K20" s="400"/>
      <c r="L20" s="400"/>
      <c r="M20" s="406" t="s">
        <v>2853</v>
      </c>
      <c r="N20" s="406" t="s">
        <v>2088</v>
      </c>
      <c r="O20" s="424">
        <v>42801</v>
      </c>
      <c r="P20" s="406" t="s">
        <v>4224</v>
      </c>
      <c r="Q20" s="406" t="s">
        <v>2829</v>
      </c>
      <c r="R20" s="412"/>
      <c r="S20" s="419">
        <f t="shared" si="0"/>
        <v>0</v>
      </c>
    </row>
    <row r="21" spans="1:19" ht="25.35" customHeight="1" x14ac:dyDescent="0.2">
      <c r="A21" s="408" t="s">
        <v>3749</v>
      </c>
      <c r="B21" s="422">
        <v>42809</v>
      </c>
      <c r="C21" s="403" t="s">
        <v>3750</v>
      </c>
      <c r="D21" s="403" t="s">
        <v>3751</v>
      </c>
      <c r="E21" s="404" t="s">
        <v>2971</v>
      </c>
      <c r="F21" s="404">
        <v>1</v>
      </c>
      <c r="G21" s="404" t="s">
        <v>2841</v>
      </c>
      <c r="H21" s="404" t="s">
        <v>516</v>
      </c>
      <c r="I21" s="404" t="s">
        <v>229</v>
      </c>
      <c r="J21" s="422">
        <v>42855</v>
      </c>
      <c r="K21" s="437"/>
      <c r="L21" s="437"/>
      <c r="M21" s="404" t="s">
        <v>2853</v>
      </c>
      <c r="N21" s="404" t="s">
        <v>2088</v>
      </c>
      <c r="O21" s="422">
        <v>42853</v>
      </c>
      <c r="P21" s="406" t="s">
        <v>4224</v>
      </c>
      <c r="Q21" s="404" t="s">
        <v>2832</v>
      </c>
      <c r="R21" s="423"/>
      <c r="S21" s="420">
        <f t="shared" si="0"/>
        <v>44</v>
      </c>
    </row>
    <row r="22" spans="1:19" ht="25.35" customHeight="1" x14ac:dyDescent="0.2">
      <c r="A22" s="407" t="s">
        <v>3752</v>
      </c>
      <c r="B22" s="424">
        <v>42810</v>
      </c>
      <c r="C22" s="405" t="s">
        <v>3753</v>
      </c>
      <c r="D22" s="405" t="s">
        <v>3757</v>
      </c>
      <c r="E22" s="406" t="s">
        <v>2971</v>
      </c>
      <c r="F22" s="406">
        <v>1</v>
      </c>
      <c r="G22" s="406" t="s">
        <v>2838</v>
      </c>
      <c r="H22" s="406" t="s">
        <v>516</v>
      </c>
      <c r="I22" s="406" t="s">
        <v>229</v>
      </c>
      <c r="J22" s="424">
        <v>43008</v>
      </c>
      <c r="K22" s="400"/>
      <c r="L22" s="400"/>
      <c r="M22" s="406" t="s">
        <v>2853</v>
      </c>
      <c r="N22" s="406" t="s">
        <v>2088</v>
      </c>
      <c r="O22" s="424">
        <v>42821</v>
      </c>
      <c r="P22" s="406" t="s">
        <v>4224</v>
      </c>
      <c r="Q22" s="406" t="s">
        <v>2829</v>
      </c>
      <c r="R22" s="412"/>
      <c r="S22" s="419">
        <f t="shared" si="0"/>
        <v>11</v>
      </c>
    </row>
    <row r="23" spans="1:19" ht="25.35" customHeight="1" x14ac:dyDescent="0.2">
      <c r="A23" s="408" t="s">
        <v>3754</v>
      </c>
      <c r="B23" s="422">
        <v>42816</v>
      </c>
      <c r="C23" s="403" t="s">
        <v>3755</v>
      </c>
      <c r="D23" s="403" t="s">
        <v>3756</v>
      </c>
      <c r="E23" s="404" t="s">
        <v>2971</v>
      </c>
      <c r="F23" s="404">
        <v>1</v>
      </c>
      <c r="G23" s="404" t="s">
        <v>2840</v>
      </c>
      <c r="H23" s="404" t="s">
        <v>229</v>
      </c>
      <c r="I23" s="404" t="s">
        <v>229</v>
      </c>
      <c r="J23" s="422">
        <v>42818</v>
      </c>
      <c r="K23" s="437"/>
      <c r="L23" s="437"/>
      <c r="M23" s="404" t="s">
        <v>2853</v>
      </c>
      <c r="N23" s="404" t="s">
        <v>2088</v>
      </c>
      <c r="O23" s="422">
        <v>42816</v>
      </c>
      <c r="P23" s="406" t="s">
        <v>4224</v>
      </c>
      <c r="Q23" s="404" t="s">
        <v>2829</v>
      </c>
      <c r="R23" s="423"/>
      <c r="S23" s="420">
        <f t="shared" si="0"/>
        <v>0</v>
      </c>
    </row>
    <row r="24" spans="1:19" ht="25.35" customHeight="1" x14ac:dyDescent="0.2">
      <c r="A24" s="407" t="s">
        <v>3758</v>
      </c>
      <c r="B24" s="424">
        <v>42815</v>
      </c>
      <c r="C24" s="405" t="s">
        <v>3760</v>
      </c>
      <c r="D24" s="405" t="s">
        <v>3759</v>
      </c>
      <c r="E24" s="406" t="s">
        <v>2971</v>
      </c>
      <c r="F24" s="406">
        <v>1</v>
      </c>
      <c r="G24" s="406" t="s">
        <v>2840</v>
      </c>
      <c r="H24" s="406" t="s">
        <v>1461</v>
      </c>
      <c r="I24" s="406" t="s">
        <v>229</v>
      </c>
      <c r="J24" s="424">
        <v>42825</v>
      </c>
      <c r="K24" s="400"/>
      <c r="L24" s="400"/>
      <c r="M24" s="406" t="s">
        <v>2853</v>
      </c>
      <c r="N24" s="406" t="s">
        <v>2088</v>
      </c>
      <c r="O24" s="424">
        <v>42809</v>
      </c>
      <c r="P24" s="406" t="s">
        <v>4224</v>
      </c>
      <c r="Q24" s="406" t="s">
        <v>2829</v>
      </c>
      <c r="R24" s="412"/>
      <c r="S24" s="419">
        <f t="shared" si="0"/>
        <v>-6</v>
      </c>
    </row>
    <row r="25" spans="1:19" ht="25.35" customHeight="1" x14ac:dyDescent="0.2">
      <c r="A25" s="408" t="s">
        <v>3761</v>
      </c>
      <c r="B25" s="422">
        <v>42821</v>
      </c>
      <c r="C25" s="403" t="s">
        <v>3762</v>
      </c>
      <c r="D25" s="403" t="s">
        <v>3763</v>
      </c>
      <c r="E25" s="404" t="s">
        <v>2971</v>
      </c>
      <c r="F25" s="404">
        <v>1</v>
      </c>
      <c r="G25" s="404" t="s">
        <v>2841</v>
      </c>
      <c r="H25" s="404" t="s">
        <v>229</v>
      </c>
      <c r="I25" s="404" t="s">
        <v>229</v>
      </c>
      <c r="J25" s="422">
        <v>42855</v>
      </c>
      <c r="K25" s="437"/>
      <c r="L25" s="437"/>
      <c r="M25" s="404" t="s">
        <v>2853</v>
      </c>
      <c r="N25" s="404" t="s">
        <v>2088</v>
      </c>
      <c r="O25" s="422">
        <v>42853</v>
      </c>
      <c r="P25" s="406" t="s">
        <v>4224</v>
      </c>
      <c r="Q25" s="404" t="s">
        <v>2829</v>
      </c>
      <c r="R25" s="423"/>
      <c r="S25" s="420">
        <f t="shared" si="0"/>
        <v>32</v>
      </c>
    </row>
    <row r="26" spans="1:19" ht="25.35" customHeight="1" x14ac:dyDescent="0.2">
      <c r="A26" s="407" t="s">
        <v>3765</v>
      </c>
      <c r="B26" s="424">
        <v>42824</v>
      </c>
      <c r="C26" s="405" t="s">
        <v>3769</v>
      </c>
      <c r="D26" s="405" t="s">
        <v>3770</v>
      </c>
      <c r="E26" s="406" t="s">
        <v>2971</v>
      </c>
      <c r="F26" s="406">
        <v>1</v>
      </c>
      <c r="G26" s="406" t="s">
        <v>2840</v>
      </c>
      <c r="H26" s="406" t="s">
        <v>3747</v>
      </c>
      <c r="I26" s="406" t="s">
        <v>3144</v>
      </c>
      <c r="J26" s="424">
        <v>42825</v>
      </c>
      <c r="K26" s="400"/>
      <c r="L26" s="400"/>
      <c r="M26" s="406" t="s">
        <v>2853</v>
      </c>
      <c r="N26" s="406" t="s">
        <v>2088</v>
      </c>
      <c r="O26" s="424">
        <v>42825</v>
      </c>
      <c r="P26" s="406" t="s">
        <v>4224</v>
      </c>
      <c r="Q26" s="406" t="s">
        <v>2829</v>
      </c>
      <c r="R26" s="412"/>
      <c r="S26" s="419">
        <f t="shared" si="0"/>
        <v>1</v>
      </c>
    </row>
    <row r="27" spans="1:19" ht="25.35" customHeight="1" x14ac:dyDescent="0.2">
      <c r="A27" s="408" t="s">
        <v>3766</v>
      </c>
      <c r="B27" s="422">
        <v>42825</v>
      </c>
      <c r="C27" s="403" t="s">
        <v>3767</v>
      </c>
      <c r="D27" s="403" t="s">
        <v>3768</v>
      </c>
      <c r="E27" s="404" t="s">
        <v>2971</v>
      </c>
      <c r="F27" s="404">
        <v>1</v>
      </c>
      <c r="G27" s="404" t="s">
        <v>2836</v>
      </c>
      <c r="H27" s="404" t="s">
        <v>516</v>
      </c>
      <c r="I27" s="404" t="s">
        <v>229</v>
      </c>
      <c r="J27" s="422">
        <v>42855</v>
      </c>
      <c r="K27" s="437"/>
      <c r="L27" s="437"/>
      <c r="M27" s="404" t="s">
        <v>2853</v>
      </c>
      <c r="N27" s="404" t="s">
        <v>2088</v>
      </c>
      <c r="O27" s="422">
        <v>42828</v>
      </c>
      <c r="P27" s="406" t="s">
        <v>4224</v>
      </c>
      <c r="Q27" s="404" t="s">
        <v>2829</v>
      </c>
      <c r="R27" s="423"/>
      <c r="S27" s="420">
        <f t="shared" si="0"/>
        <v>3</v>
      </c>
    </row>
    <row r="28" spans="1:19" ht="25.35" customHeight="1" x14ac:dyDescent="0.2">
      <c r="A28" s="407" t="s">
        <v>3771</v>
      </c>
      <c r="B28" s="424">
        <v>42831</v>
      </c>
      <c r="C28" s="405" t="s">
        <v>3772</v>
      </c>
      <c r="D28" s="405" t="s">
        <v>3773</v>
      </c>
      <c r="E28" s="406" t="s">
        <v>2971</v>
      </c>
      <c r="F28" s="406">
        <v>1</v>
      </c>
      <c r="G28" s="406" t="s">
        <v>2838</v>
      </c>
      <c r="H28" s="406" t="s">
        <v>516</v>
      </c>
      <c r="I28" s="406" t="s">
        <v>229</v>
      </c>
      <c r="J28" s="424">
        <v>42885</v>
      </c>
      <c r="K28" s="400"/>
      <c r="L28" s="400"/>
      <c r="M28" s="406" t="s">
        <v>2853</v>
      </c>
      <c r="N28" s="406" t="s">
        <v>2088</v>
      </c>
      <c r="O28" s="424">
        <v>42832</v>
      </c>
      <c r="P28" s="406" t="s">
        <v>4224</v>
      </c>
      <c r="Q28" s="406" t="s">
        <v>2829</v>
      </c>
      <c r="R28" s="412"/>
      <c r="S28" s="419">
        <f t="shared" si="0"/>
        <v>1</v>
      </c>
    </row>
    <row r="29" spans="1:19" ht="25.35" customHeight="1" x14ac:dyDescent="0.2">
      <c r="A29" s="408" t="s">
        <v>3774</v>
      </c>
      <c r="B29" s="422">
        <v>42837</v>
      </c>
      <c r="C29" s="403" t="s">
        <v>3775</v>
      </c>
      <c r="D29" s="403" t="s">
        <v>3776</v>
      </c>
      <c r="E29" s="404" t="s">
        <v>3777</v>
      </c>
      <c r="F29" s="404">
        <v>1</v>
      </c>
      <c r="G29" s="404" t="s">
        <v>2828</v>
      </c>
      <c r="H29" s="404" t="s">
        <v>2058</v>
      </c>
      <c r="I29" s="404" t="s">
        <v>3211</v>
      </c>
      <c r="J29" s="422">
        <v>42849</v>
      </c>
      <c r="K29" s="437"/>
      <c r="L29" s="437"/>
      <c r="M29" s="404" t="s">
        <v>2853</v>
      </c>
      <c r="N29" s="404" t="s">
        <v>2088</v>
      </c>
      <c r="O29" s="422">
        <v>42842</v>
      </c>
      <c r="P29" s="406" t="s">
        <v>4224</v>
      </c>
      <c r="Q29" s="404" t="s">
        <v>2829</v>
      </c>
      <c r="R29" s="423"/>
      <c r="S29" s="420">
        <f t="shared" si="0"/>
        <v>5</v>
      </c>
    </row>
    <row r="30" spans="1:19" ht="25.35" customHeight="1" x14ac:dyDescent="0.2">
      <c r="A30" s="407" t="s">
        <v>3779</v>
      </c>
      <c r="B30" s="424">
        <v>42842</v>
      </c>
      <c r="C30" s="405" t="s">
        <v>3780</v>
      </c>
      <c r="D30" s="405" t="s">
        <v>5926</v>
      </c>
      <c r="E30" s="406" t="s">
        <v>2971</v>
      </c>
      <c r="F30" s="406">
        <v>1</v>
      </c>
      <c r="G30" s="406" t="s">
        <v>2836</v>
      </c>
      <c r="H30" s="406" t="s">
        <v>441</v>
      </c>
      <c r="I30" s="406" t="s">
        <v>229</v>
      </c>
      <c r="J30" s="424">
        <v>42853</v>
      </c>
      <c r="K30" s="400"/>
      <c r="L30" s="400"/>
      <c r="M30" s="406" t="s">
        <v>2853</v>
      </c>
      <c r="N30" s="406" t="s">
        <v>2088</v>
      </c>
      <c r="O30" s="424">
        <v>42844</v>
      </c>
      <c r="P30" s="406" t="s">
        <v>4224</v>
      </c>
      <c r="Q30" s="406" t="s">
        <v>2829</v>
      </c>
      <c r="R30" s="412"/>
      <c r="S30" s="419">
        <f t="shared" si="0"/>
        <v>2</v>
      </c>
    </row>
    <row r="31" spans="1:19" ht="25.35" customHeight="1" x14ac:dyDescent="0.2">
      <c r="A31" s="408" t="s">
        <v>3781</v>
      </c>
      <c r="B31" s="422">
        <v>42843</v>
      </c>
      <c r="C31" s="403" t="s">
        <v>3782</v>
      </c>
      <c r="D31" s="403" t="s">
        <v>3783</v>
      </c>
      <c r="E31" s="404" t="s">
        <v>3777</v>
      </c>
      <c r="F31" s="404">
        <v>1</v>
      </c>
      <c r="G31" s="404" t="s">
        <v>2828</v>
      </c>
      <c r="H31" s="404" t="s">
        <v>2058</v>
      </c>
      <c r="I31" s="404" t="s">
        <v>3211</v>
      </c>
      <c r="J31" s="422">
        <v>42845</v>
      </c>
      <c r="K31" s="437"/>
      <c r="L31" s="437"/>
      <c r="M31" s="404" t="s">
        <v>2853</v>
      </c>
      <c r="N31" s="404" t="s">
        <v>2088</v>
      </c>
      <c r="O31" s="422">
        <v>42843</v>
      </c>
      <c r="P31" s="406" t="s">
        <v>4224</v>
      </c>
      <c r="Q31" s="404" t="s">
        <v>2829</v>
      </c>
      <c r="R31" s="423"/>
      <c r="S31" s="420">
        <f t="shared" si="0"/>
        <v>0</v>
      </c>
    </row>
    <row r="32" spans="1:19" ht="25.35" customHeight="1" x14ac:dyDescent="0.2">
      <c r="A32" s="407" t="s">
        <v>3784</v>
      </c>
      <c r="B32" s="424">
        <v>42845</v>
      </c>
      <c r="C32" s="405" t="s">
        <v>3785</v>
      </c>
      <c r="D32" s="405" t="s">
        <v>3786</v>
      </c>
      <c r="E32" s="406" t="s">
        <v>3586</v>
      </c>
      <c r="F32" s="406">
        <v>1</v>
      </c>
      <c r="G32" s="406" t="s">
        <v>2828</v>
      </c>
      <c r="H32" s="406" t="s">
        <v>3167</v>
      </c>
      <c r="I32" s="406" t="s">
        <v>3211</v>
      </c>
      <c r="J32" s="424">
        <v>42875</v>
      </c>
      <c r="K32" s="400"/>
      <c r="L32" s="400"/>
      <c r="M32" s="406" t="s">
        <v>2853</v>
      </c>
      <c r="N32" s="406" t="s">
        <v>2088</v>
      </c>
      <c r="O32" s="424">
        <v>42886</v>
      </c>
      <c r="P32" s="406" t="s">
        <v>2912</v>
      </c>
      <c r="Q32" s="406" t="s">
        <v>2829</v>
      </c>
      <c r="R32" s="412"/>
      <c r="S32" s="419">
        <f t="shared" si="0"/>
        <v>41</v>
      </c>
    </row>
    <row r="33" spans="1:19" ht="25.35" customHeight="1" x14ac:dyDescent="0.2">
      <c r="A33" s="408" t="s">
        <v>3787</v>
      </c>
      <c r="B33" s="422">
        <v>42849</v>
      </c>
      <c r="C33" s="403" t="s">
        <v>3788</v>
      </c>
      <c r="D33" s="403" t="s">
        <v>3789</v>
      </c>
      <c r="E33" s="404" t="s">
        <v>3323</v>
      </c>
      <c r="F33" s="404">
        <v>2</v>
      </c>
      <c r="G33" s="404" t="s">
        <v>2828</v>
      </c>
      <c r="H33" s="404" t="s">
        <v>3167</v>
      </c>
      <c r="I33" s="404" t="s">
        <v>3211</v>
      </c>
      <c r="J33" s="422">
        <v>42879</v>
      </c>
      <c r="K33" s="437"/>
      <c r="L33" s="437"/>
      <c r="M33" s="404" t="s">
        <v>2853</v>
      </c>
      <c r="N33" s="404" t="s">
        <v>2088</v>
      </c>
      <c r="O33" s="422">
        <v>42858</v>
      </c>
      <c r="P33" s="406" t="s">
        <v>4224</v>
      </c>
      <c r="Q33" s="404" t="s">
        <v>2829</v>
      </c>
      <c r="R33" s="423"/>
      <c r="S33" s="420">
        <f t="shared" si="0"/>
        <v>9</v>
      </c>
    </row>
    <row r="34" spans="1:19" ht="25.35" customHeight="1" x14ac:dyDescent="0.2">
      <c r="A34" s="407" t="s">
        <v>3790</v>
      </c>
      <c r="B34" s="424">
        <v>42850</v>
      </c>
      <c r="C34" s="405" t="s">
        <v>3791</v>
      </c>
      <c r="D34" s="405" t="s">
        <v>3225</v>
      </c>
      <c r="E34" s="406" t="s">
        <v>2971</v>
      </c>
      <c r="F34" s="406">
        <v>1</v>
      </c>
      <c r="G34" s="406" t="s">
        <v>2841</v>
      </c>
      <c r="H34" s="406" t="s">
        <v>685</v>
      </c>
      <c r="I34" s="406" t="s">
        <v>229</v>
      </c>
      <c r="J34" s="424">
        <v>42886</v>
      </c>
      <c r="K34" s="400"/>
      <c r="L34" s="400"/>
      <c r="M34" s="406" t="s">
        <v>2853</v>
      </c>
      <c r="N34" s="406" t="s">
        <v>2088</v>
      </c>
      <c r="O34" s="424">
        <v>42889</v>
      </c>
      <c r="P34" s="406" t="s">
        <v>4224</v>
      </c>
      <c r="Q34" s="406" t="s">
        <v>2832</v>
      </c>
      <c r="R34" s="412"/>
      <c r="S34" s="419">
        <f t="shared" si="0"/>
        <v>39</v>
      </c>
    </row>
    <row r="35" spans="1:19" ht="25.35" customHeight="1" x14ac:dyDescent="0.2">
      <c r="A35" s="408" t="s">
        <v>3792</v>
      </c>
      <c r="B35" s="422">
        <v>42850</v>
      </c>
      <c r="C35" s="403" t="s">
        <v>3793</v>
      </c>
      <c r="D35" s="403" t="s">
        <v>3225</v>
      </c>
      <c r="E35" s="404" t="s">
        <v>2971</v>
      </c>
      <c r="F35" s="404">
        <v>1</v>
      </c>
      <c r="G35" s="404" t="s">
        <v>2841</v>
      </c>
      <c r="H35" s="404" t="s">
        <v>685</v>
      </c>
      <c r="I35" s="404" t="s">
        <v>229</v>
      </c>
      <c r="J35" s="422">
        <v>42886</v>
      </c>
      <c r="K35" s="437"/>
      <c r="L35" s="437"/>
      <c r="M35" s="404" t="s">
        <v>2853</v>
      </c>
      <c r="N35" s="404" t="s">
        <v>2088</v>
      </c>
      <c r="O35" s="422">
        <v>42889</v>
      </c>
      <c r="P35" s="406" t="s">
        <v>4224</v>
      </c>
      <c r="Q35" s="404" t="s">
        <v>2832</v>
      </c>
      <c r="R35" s="423"/>
      <c r="S35" s="420">
        <f t="shared" si="0"/>
        <v>39</v>
      </c>
    </row>
    <row r="36" spans="1:19" ht="25.35" customHeight="1" x14ac:dyDescent="0.2">
      <c r="A36" s="407" t="s">
        <v>3794</v>
      </c>
      <c r="B36" s="424">
        <v>42852</v>
      </c>
      <c r="C36" s="405" t="s">
        <v>3796</v>
      </c>
      <c r="D36" s="405" t="s">
        <v>3225</v>
      </c>
      <c r="E36" s="406" t="s">
        <v>2971</v>
      </c>
      <c r="F36" s="406">
        <v>1</v>
      </c>
      <c r="G36" s="406" t="s">
        <v>2841</v>
      </c>
      <c r="H36" s="406" t="s">
        <v>3144</v>
      </c>
      <c r="I36" s="406" t="s">
        <v>229</v>
      </c>
      <c r="J36" s="424">
        <v>42886</v>
      </c>
      <c r="K36" s="400"/>
      <c r="L36" s="400"/>
      <c r="M36" s="406" t="s">
        <v>2853</v>
      </c>
      <c r="N36" s="406" t="s">
        <v>2088</v>
      </c>
      <c r="O36" s="424">
        <v>42867</v>
      </c>
      <c r="P36" s="406" t="s">
        <v>4224</v>
      </c>
      <c r="Q36" s="406" t="s">
        <v>2829</v>
      </c>
      <c r="R36" s="412"/>
      <c r="S36" s="419">
        <f t="shared" si="0"/>
        <v>15</v>
      </c>
    </row>
    <row r="37" spans="1:19" ht="25.35" customHeight="1" x14ac:dyDescent="0.2">
      <c r="A37" s="408" t="s">
        <v>3795</v>
      </c>
      <c r="B37" s="422">
        <v>42852</v>
      </c>
      <c r="C37" s="403" t="s">
        <v>3797</v>
      </c>
      <c r="D37" s="403" t="s">
        <v>3225</v>
      </c>
      <c r="E37" s="404" t="s">
        <v>2971</v>
      </c>
      <c r="F37" s="404">
        <v>1</v>
      </c>
      <c r="G37" s="404" t="s">
        <v>2841</v>
      </c>
      <c r="H37" s="404" t="s">
        <v>685</v>
      </c>
      <c r="I37" s="404" t="s">
        <v>229</v>
      </c>
      <c r="J37" s="422">
        <v>42886</v>
      </c>
      <c r="K37" s="437"/>
      <c r="L37" s="437"/>
      <c r="M37" s="404" t="s">
        <v>2853</v>
      </c>
      <c r="N37" s="404" t="s">
        <v>2088</v>
      </c>
      <c r="O37" s="422">
        <v>42889</v>
      </c>
      <c r="P37" s="406" t="s">
        <v>4224</v>
      </c>
      <c r="Q37" s="404" t="s">
        <v>2832</v>
      </c>
      <c r="R37" s="423"/>
      <c r="S37" s="420">
        <f t="shared" si="0"/>
        <v>37</v>
      </c>
    </row>
    <row r="38" spans="1:19" ht="25.35" customHeight="1" x14ac:dyDescent="0.2">
      <c r="A38" s="407" t="s">
        <v>3800</v>
      </c>
      <c r="B38" s="424">
        <v>42856</v>
      </c>
      <c r="C38" s="405" t="s">
        <v>3798</v>
      </c>
      <c r="D38" s="405" t="s">
        <v>3799</v>
      </c>
      <c r="E38" s="406" t="s">
        <v>3777</v>
      </c>
      <c r="F38" s="406">
        <v>1</v>
      </c>
      <c r="G38" s="406" t="s">
        <v>2828</v>
      </c>
      <c r="H38" s="406" t="s">
        <v>2058</v>
      </c>
      <c r="I38" s="406" t="s">
        <v>3211</v>
      </c>
      <c r="J38" s="424">
        <v>42888</v>
      </c>
      <c r="K38" s="400"/>
      <c r="L38" s="400"/>
      <c r="M38" s="406" t="s">
        <v>2853</v>
      </c>
      <c r="N38" s="406" t="s">
        <v>2088</v>
      </c>
      <c r="O38" s="424">
        <v>42857</v>
      </c>
      <c r="P38" s="406" t="s">
        <v>4224</v>
      </c>
      <c r="Q38" s="406" t="s">
        <v>2829</v>
      </c>
      <c r="R38" s="412"/>
      <c r="S38" s="419">
        <f t="shared" si="0"/>
        <v>1</v>
      </c>
    </row>
    <row r="39" spans="1:19" ht="25.35" customHeight="1" x14ac:dyDescent="0.2">
      <c r="A39" s="408" t="s">
        <v>3801</v>
      </c>
      <c r="B39" s="422">
        <v>42858</v>
      </c>
      <c r="C39" s="403" t="s">
        <v>3803</v>
      </c>
      <c r="D39" s="403" t="s">
        <v>3225</v>
      </c>
      <c r="E39" s="404" t="s">
        <v>2971</v>
      </c>
      <c r="F39" s="404">
        <v>1</v>
      </c>
      <c r="G39" s="404" t="s">
        <v>2841</v>
      </c>
      <c r="H39" s="404" t="s">
        <v>229</v>
      </c>
      <c r="I39" s="404" t="s">
        <v>229</v>
      </c>
      <c r="J39" s="422">
        <v>42916</v>
      </c>
      <c r="K39" s="437"/>
      <c r="L39" s="437"/>
      <c r="M39" s="404" t="s">
        <v>2853</v>
      </c>
      <c r="N39" s="404" t="s">
        <v>2088</v>
      </c>
      <c r="O39" s="422">
        <v>42889</v>
      </c>
      <c r="P39" s="406" t="s">
        <v>4224</v>
      </c>
      <c r="Q39" s="404" t="s">
        <v>2829</v>
      </c>
      <c r="R39" s="423"/>
      <c r="S39" s="420">
        <f t="shared" si="0"/>
        <v>31</v>
      </c>
    </row>
    <row r="40" spans="1:19" ht="25.35" customHeight="1" x14ac:dyDescent="0.2">
      <c r="A40" s="407" t="s">
        <v>3802</v>
      </c>
      <c r="B40" s="424">
        <v>42858</v>
      </c>
      <c r="C40" s="405" t="s">
        <v>3804</v>
      </c>
      <c r="D40" s="405" t="s">
        <v>3225</v>
      </c>
      <c r="E40" s="406" t="s">
        <v>2971</v>
      </c>
      <c r="F40" s="406">
        <v>1</v>
      </c>
      <c r="G40" s="406" t="s">
        <v>2841</v>
      </c>
      <c r="H40" s="406" t="s">
        <v>229</v>
      </c>
      <c r="I40" s="406" t="s">
        <v>229</v>
      </c>
      <c r="J40" s="424">
        <v>42916</v>
      </c>
      <c r="K40" s="400"/>
      <c r="L40" s="400"/>
      <c r="M40" s="406" t="s">
        <v>2853</v>
      </c>
      <c r="N40" s="406" t="s">
        <v>2088</v>
      </c>
      <c r="O40" s="424">
        <v>42889</v>
      </c>
      <c r="P40" s="406" t="s">
        <v>4224</v>
      </c>
      <c r="Q40" s="406" t="s">
        <v>2829</v>
      </c>
      <c r="R40" s="412"/>
      <c r="S40" s="419">
        <f t="shared" si="0"/>
        <v>31</v>
      </c>
    </row>
    <row r="41" spans="1:19" ht="25.35" customHeight="1" x14ac:dyDescent="0.2">
      <c r="A41" s="408" t="s">
        <v>3805</v>
      </c>
      <c r="B41" s="422">
        <v>42859</v>
      </c>
      <c r="C41" s="403" t="s">
        <v>3806</v>
      </c>
      <c r="D41" s="403" t="s">
        <v>3807</v>
      </c>
      <c r="E41" s="404" t="s">
        <v>2971</v>
      </c>
      <c r="F41" s="404">
        <v>1</v>
      </c>
      <c r="G41" s="404" t="s">
        <v>2841</v>
      </c>
      <c r="H41" s="404" t="s">
        <v>229</v>
      </c>
      <c r="I41" s="404" t="s">
        <v>229</v>
      </c>
      <c r="J41" s="422">
        <v>42860</v>
      </c>
      <c r="K41" s="437"/>
      <c r="L41" s="437"/>
      <c r="M41" s="404" t="s">
        <v>2853</v>
      </c>
      <c r="N41" s="404" t="s">
        <v>2088</v>
      </c>
      <c r="O41" s="422">
        <v>42859</v>
      </c>
      <c r="P41" s="406" t="s">
        <v>4224</v>
      </c>
      <c r="Q41" s="404" t="s">
        <v>2829</v>
      </c>
      <c r="R41" s="423"/>
      <c r="S41" s="420">
        <f t="shared" si="0"/>
        <v>0</v>
      </c>
    </row>
    <row r="42" spans="1:19" ht="25.35" customHeight="1" x14ac:dyDescent="0.2">
      <c r="A42" s="407" t="s">
        <v>3808</v>
      </c>
      <c r="B42" s="424">
        <v>42870</v>
      </c>
      <c r="C42" s="405" t="s">
        <v>3809</v>
      </c>
      <c r="D42" s="405" t="s">
        <v>3810</v>
      </c>
      <c r="E42" s="406" t="s">
        <v>3667</v>
      </c>
      <c r="F42" s="406">
        <v>1</v>
      </c>
      <c r="G42" s="406" t="s">
        <v>2828</v>
      </c>
      <c r="H42" s="406" t="s">
        <v>3729</v>
      </c>
      <c r="I42" s="406" t="s">
        <v>3211</v>
      </c>
      <c r="J42" s="424">
        <v>42881</v>
      </c>
      <c r="K42" s="400"/>
      <c r="L42" s="400"/>
      <c r="M42" s="406" t="s">
        <v>2853</v>
      </c>
      <c r="N42" s="406" t="s">
        <v>2088</v>
      </c>
      <c r="O42" s="424">
        <v>42874</v>
      </c>
      <c r="P42" s="406" t="s">
        <v>4224</v>
      </c>
      <c r="Q42" s="406" t="s">
        <v>2829</v>
      </c>
      <c r="R42" s="412"/>
      <c r="S42" s="419">
        <f t="shared" si="0"/>
        <v>4</v>
      </c>
    </row>
    <row r="43" spans="1:19" ht="25.35" customHeight="1" x14ac:dyDescent="0.2">
      <c r="A43" s="408" t="s">
        <v>3811</v>
      </c>
      <c r="B43" s="422">
        <v>42871</v>
      </c>
      <c r="C43" s="403" t="s">
        <v>3813</v>
      </c>
      <c r="D43" s="403" t="s">
        <v>3814</v>
      </c>
      <c r="E43" s="404" t="s">
        <v>3812</v>
      </c>
      <c r="F43" s="404">
        <v>1</v>
      </c>
      <c r="G43" s="404" t="s">
        <v>2838</v>
      </c>
      <c r="H43" s="404" t="s">
        <v>3423</v>
      </c>
      <c r="I43" s="404" t="s">
        <v>3211</v>
      </c>
      <c r="J43" s="422">
        <v>42902</v>
      </c>
      <c r="K43" s="437"/>
      <c r="L43" s="437"/>
      <c r="M43" s="404" t="s">
        <v>2853</v>
      </c>
      <c r="N43" s="404" t="s">
        <v>2088</v>
      </c>
      <c r="O43" s="422">
        <v>42872</v>
      </c>
      <c r="P43" s="406" t="s">
        <v>4224</v>
      </c>
      <c r="Q43" s="404" t="s">
        <v>2829</v>
      </c>
      <c r="R43" s="423"/>
      <c r="S43" s="420">
        <f t="shared" si="0"/>
        <v>1</v>
      </c>
    </row>
    <row r="44" spans="1:19" ht="25.35" customHeight="1" x14ac:dyDescent="0.2">
      <c r="A44" s="407" t="s">
        <v>3815</v>
      </c>
      <c r="B44" s="424">
        <v>42877</v>
      </c>
      <c r="C44" s="405" t="s">
        <v>3816</v>
      </c>
      <c r="D44" s="405" t="s">
        <v>3818</v>
      </c>
      <c r="E44" s="406" t="s">
        <v>3817</v>
      </c>
      <c r="F44" s="406">
        <v>1</v>
      </c>
      <c r="G44" s="406" t="s">
        <v>2836</v>
      </c>
      <c r="H44" s="406" t="s">
        <v>441</v>
      </c>
      <c r="I44" s="406" t="s">
        <v>229</v>
      </c>
      <c r="J44" s="424">
        <v>42879</v>
      </c>
      <c r="K44" s="400"/>
      <c r="L44" s="400"/>
      <c r="M44" s="406" t="s">
        <v>2853</v>
      </c>
      <c r="N44" s="406" t="s">
        <v>2088</v>
      </c>
      <c r="O44" s="424">
        <v>42877</v>
      </c>
      <c r="P44" s="406" t="s">
        <v>4224</v>
      </c>
      <c r="Q44" s="406" t="s">
        <v>2829</v>
      </c>
      <c r="R44" s="412"/>
      <c r="S44" s="419">
        <f t="shared" si="0"/>
        <v>0</v>
      </c>
    </row>
    <row r="45" spans="1:19" ht="25.35" customHeight="1" x14ac:dyDescent="0.2">
      <c r="A45" s="408" t="s">
        <v>3819</v>
      </c>
      <c r="B45" s="422">
        <v>42878</v>
      </c>
      <c r="C45" s="403" t="s">
        <v>3820</v>
      </c>
      <c r="D45" s="403" t="s">
        <v>3821</v>
      </c>
      <c r="E45" s="404" t="s">
        <v>3667</v>
      </c>
      <c r="F45" s="404">
        <v>1</v>
      </c>
      <c r="G45" s="404" t="s">
        <v>2828</v>
      </c>
      <c r="H45" s="404" t="s">
        <v>3729</v>
      </c>
      <c r="I45" s="404" t="s">
        <v>3211</v>
      </c>
      <c r="J45" s="422">
        <v>42880</v>
      </c>
      <c r="K45" s="437"/>
      <c r="L45" s="437"/>
      <c r="M45" s="404" t="s">
        <v>2853</v>
      </c>
      <c r="N45" s="404" t="s">
        <v>2088</v>
      </c>
      <c r="O45" s="422">
        <v>42878</v>
      </c>
      <c r="P45" s="406" t="s">
        <v>4224</v>
      </c>
      <c r="Q45" s="404" t="s">
        <v>2829</v>
      </c>
      <c r="R45" s="423"/>
      <c r="S45" s="420">
        <f t="shared" si="0"/>
        <v>0</v>
      </c>
    </row>
    <row r="46" spans="1:19" ht="25.35" customHeight="1" x14ac:dyDescent="0.2">
      <c r="A46" s="407" t="s">
        <v>3822</v>
      </c>
      <c r="B46" s="424">
        <v>42878</v>
      </c>
      <c r="C46" s="405" t="s">
        <v>3823</v>
      </c>
      <c r="D46" s="405" t="s">
        <v>3824</v>
      </c>
      <c r="E46" s="406" t="s">
        <v>3825</v>
      </c>
      <c r="F46" s="406">
        <v>1</v>
      </c>
      <c r="G46" s="406" t="s">
        <v>2828</v>
      </c>
      <c r="H46" s="406" t="s">
        <v>2058</v>
      </c>
      <c r="I46" s="406" t="s">
        <v>229</v>
      </c>
      <c r="J46" s="424">
        <v>42895</v>
      </c>
      <c r="K46" s="400"/>
      <c r="L46" s="400"/>
      <c r="M46" s="406" t="s">
        <v>2853</v>
      </c>
      <c r="N46" s="406" t="s">
        <v>2088</v>
      </c>
      <c r="O46" s="424">
        <v>42879</v>
      </c>
      <c r="P46" s="406" t="s">
        <v>4224</v>
      </c>
      <c r="Q46" s="406" t="s">
        <v>2829</v>
      </c>
      <c r="R46" s="412"/>
      <c r="S46" s="419">
        <f t="shared" si="0"/>
        <v>1</v>
      </c>
    </row>
    <row r="47" spans="1:19" ht="38.25" x14ac:dyDescent="0.2">
      <c r="A47" s="408" t="s">
        <v>3826</v>
      </c>
      <c r="B47" s="422">
        <v>42878</v>
      </c>
      <c r="C47" s="403" t="s">
        <v>3827</v>
      </c>
      <c r="D47" s="403" t="s">
        <v>3828</v>
      </c>
      <c r="E47" s="404" t="s">
        <v>2971</v>
      </c>
      <c r="F47" s="404">
        <v>1</v>
      </c>
      <c r="G47" s="404" t="s">
        <v>2838</v>
      </c>
      <c r="H47" s="404" t="s">
        <v>516</v>
      </c>
      <c r="I47" s="404" t="s">
        <v>229</v>
      </c>
      <c r="J47" s="422">
        <v>42916</v>
      </c>
      <c r="K47" s="437"/>
      <c r="L47" s="437"/>
      <c r="M47" s="404" t="s">
        <v>2853</v>
      </c>
      <c r="N47" s="404" t="s">
        <v>2088</v>
      </c>
      <c r="O47" s="422">
        <v>42879</v>
      </c>
      <c r="P47" s="406" t="s">
        <v>4224</v>
      </c>
      <c r="Q47" s="404" t="s">
        <v>2829</v>
      </c>
      <c r="R47" s="423"/>
      <c r="S47" s="420">
        <f t="shared" si="0"/>
        <v>1</v>
      </c>
    </row>
    <row r="48" spans="1:19" ht="25.35" customHeight="1" x14ac:dyDescent="0.2">
      <c r="A48" s="407" t="s">
        <v>3829</v>
      </c>
      <c r="B48" s="424">
        <v>42880</v>
      </c>
      <c r="C48" s="405" t="s">
        <v>3903</v>
      </c>
      <c r="D48" s="405" t="s">
        <v>3830</v>
      </c>
      <c r="E48" s="406" t="s">
        <v>3586</v>
      </c>
      <c r="F48" s="406">
        <v>1</v>
      </c>
      <c r="G48" s="406" t="s">
        <v>2828</v>
      </c>
      <c r="H48" s="406" t="s">
        <v>3167</v>
      </c>
      <c r="I48" s="406" t="s">
        <v>3211</v>
      </c>
      <c r="J48" s="424">
        <v>43008</v>
      </c>
      <c r="K48" s="400"/>
      <c r="L48" s="400"/>
      <c r="M48" s="406" t="s">
        <v>2853</v>
      </c>
      <c r="N48" s="406" t="s">
        <v>2088</v>
      </c>
      <c r="O48" s="424">
        <v>42975</v>
      </c>
      <c r="P48" s="406" t="s">
        <v>4224</v>
      </c>
      <c r="Q48" s="406" t="s">
        <v>2835</v>
      </c>
      <c r="R48" s="412"/>
      <c r="S48" s="419">
        <f t="shared" si="0"/>
        <v>95</v>
      </c>
    </row>
    <row r="49" spans="1:19" ht="25.35" customHeight="1" x14ac:dyDescent="0.2">
      <c r="A49" s="408" t="s">
        <v>3831</v>
      </c>
      <c r="B49" s="422">
        <v>42885</v>
      </c>
      <c r="C49" s="403" t="s">
        <v>3985</v>
      </c>
      <c r="D49" s="403" t="s">
        <v>3832</v>
      </c>
      <c r="E49" s="404" t="s">
        <v>3335</v>
      </c>
      <c r="F49" s="404">
        <v>1</v>
      </c>
      <c r="G49" s="404" t="s">
        <v>2828</v>
      </c>
      <c r="H49" s="404" t="s">
        <v>3167</v>
      </c>
      <c r="I49" s="404" t="s">
        <v>3211</v>
      </c>
      <c r="J49" s="422">
        <v>43028</v>
      </c>
      <c r="K49" s="437"/>
      <c r="L49" s="437"/>
      <c r="M49" s="404" t="s">
        <v>2853</v>
      </c>
      <c r="N49" s="404" t="s">
        <v>2088</v>
      </c>
      <c r="O49" s="422">
        <v>43005</v>
      </c>
      <c r="P49" s="406" t="s">
        <v>4224</v>
      </c>
      <c r="Q49" s="404" t="s">
        <v>2835</v>
      </c>
      <c r="R49" s="423"/>
      <c r="S49" s="420">
        <f t="shared" si="0"/>
        <v>120</v>
      </c>
    </row>
    <row r="50" spans="1:19" ht="25.35" customHeight="1" x14ac:dyDescent="0.2">
      <c r="A50" s="407" t="s">
        <v>3833</v>
      </c>
      <c r="B50" s="424">
        <v>42886</v>
      </c>
      <c r="C50" s="405" t="s">
        <v>3837</v>
      </c>
      <c r="D50" s="405" t="s">
        <v>3834</v>
      </c>
      <c r="E50" s="406" t="s">
        <v>2869</v>
      </c>
      <c r="F50" s="406">
        <v>2</v>
      </c>
      <c r="G50" s="406" t="s">
        <v>2828</v>
      </c>
      <c r="H50" s="406" t="s">
        <v>3227</v>
      </c>
      <c r="I50" s="406" t="s">
        <v>3211</v>
      </c>
      <c r="J50" s="424">
        <v>42916</v>
      </c>
      <c r="K50" s="400"/>
      <c r="L50" s="400"/>
      <c r="M50" s="406" t="s">
        <v>2853</v>
      </c>
      <c r="N50" s="406" t="s">
        <v>2088</v>
      </c>
      <c r="O50" s="424">
        <v>42888</v>
      </c>
      <c r="P50" s="406" t="s">
        <v>4224</v>
      </c>
      <c r="Q50" s="406" t="s">
        <v>2829</v>
      </c>
      <c r="R50" s="412"/>
      <c r="S50" s="419">
        <f t="shared" si="0"/>
        <v>2</v>
      </c>
    </row>
    <row r="51" spans="1:19" ht="25.35" customHeight="1" x14ac:dyDescent="0.2">
      <c r="A51" s="408" t="s">
        <v>3835</v>
      </c>
      <c r="B51" s="422">
        <v>42887</v>
      </c>
      <c r="C51" s="403" t="s">
        <v>3836</v>
      </c>
      <c r="D51" s="403" t="s">
        <v>3838</v>
      </c>
      <c r="E51" s="404" t="s">
        <v>3839</v>
      </c>
      <c r="F51" s="404">
        <v>1</v>
      </c>
      <c r="G51" s="404" t="s">
        <v>2828</v>
      </c>
      <c r="H51" s="404" t="s">
        <v>615</v>
      </c>
      <c r="I51" s="404" t="s">
        <v>3211</v>
      </c>
      <c r="J51" s="422">
        <v>42901</v>
      </c>
      <c r="K51" s="437"/>
      <c r="L51" s="437"/>
      <c r="M51" s="404" t="s">
        <v>2853</v>
      </c>
      <c r="N51" s="404" t="s">
        <v>2088</v>
      </c>
      <c r="O51" s="422">
        <v>42893</v>
      </c>
      <c r="P51" s="406" t="s">
        <v>4224</v>
      </c>
      <c r="Q51" s="404" t="s">
        <v>2829</v>
      </c>
      <c r="R51" s="423"/>
      <c r="S51" s="420">
        <f t="shared" si="0"/>
        <v>6</v>
      </c>
    </row>
    <row r="52" spans="1:19" ht="25.35" customHeight="1" x14ac:dyDescent="0.2">
      <c r="A52" s="407" t="s">
        <v>3840</v>
      </c>
      <c r="B52" s="424">
        <v>42900</v>
      </c>
      <c r="C52" s="405" t="s">
        <v>3841</v>
      </c>
      <c r="D52" s="405" t="s">
        <v>3843</v>
      </c>
      <c r="E52" s="406" t="s">
        <v>2971</v>
      </c>
      <c r="F52" s="406">
        <v>1</v>
      </c>
      <c r="G52" s="406" t="s">
        <v>2836</v>
      </c>
      <c r="H52" s="406" t="s">
        <v>3842</v>
      </c>
      <c r="I52" s="406" t="s">
        <v>229</v>
      </c>
      <c r="J52" s="424">
        <v>42902</v>
      </c>
      <c r="K52" s="400"/>
      <c r="L52" s="400"/>
      <c r="M52" s="464" t="s">
        <v>2853</v>
      </c>
      <c r="N52" s="406" t="s">
        <v>2088</v>
      </c>
      <c r="O52" s="424">
        <v>42906</v>
      </c>
      <c r="P52" s="406" t="s">
        <v>4224</v>
      </c>
      <c r="Q52" s="406" t="s">
        <v>2829</v>
      </c>
      <c r="R52" s="412"/>
      <c r="S52" s="419">
        <f t="shared" si="0"/>
        <v>6</v>
      </c>
    </row>
    <row r="53" spans="1:19" ht="25.35" customHeight="1" x14ac:dyDescent="0.2">
      <c r="A53" s="408" t="s">
        <v>3844</v>
      </c>
      <c r="B53" s="422">
        <v>42905</v>
      </c>
      <c r="C53" s="403" t="s">
        <v>3846</v>
      </c>
      <c r="D53" s="403" t="s">
        <v>3845</v>
      </c>
      <c r="E53" s="404" t="s">
        <v>3825</v>
      </c>
      <c r="F53" s="404">
        <v>1</v>
      </c>
      <c r="G53" s="404" t="s">
        <v>2828</v>
      </c>
      <c r="H53" s="404" t="s">
        <v>2058</v>
      </c>
      <c r="I53" s="404" t="s">
        <v>3211</v>
      </c>
      <c r="J53" s="422">
        <v>42935</v>
      </c>
      <c r="K53" s="437"/>
      <c r="L53" s="437"/>
      <c r="M53" s="404" t="s">
        <v>2853</v>
      </c>
      <c r="N53" s="404" t="s">
        <v>2088</v>
      </c>
      <c r="O53" s="422">
        <v>42905</v>
      </c>
      <c r="P53" s="406" t="s">
        <v>4224</v>
      </c>
      <c r="Q53" s="404" t="s">
        <v>2829</v>
      </c>
      <c r="R53" s="423"/>
      <c r="S53" s="420">
        <f t="shared" si="0"/>
        <v>0</v>
      </c>
    </row>
    <row r="54" spans="1:19" ht="25.35" customHeight="1" x14ac:dyDescent="0.2">
      <c r="A54" s="407" t="s">
        <v>3847</v>
      </c>
      <c r="B54" s="424">
        <v>42906</v>
      </c>
      <c r="C54" s="405" t="s">
        <v>3848</v>
      </c>
      <c r="D54" s="405" t="s">
        <v>3849</v>
      </c>
      <c r="E54" s="406" t="s">
        <v>2971</v>
      </c>
      <c r="F54" s="406">
        <v>1</v>
      </c>
      <c r="G54" s="406" t="s">
        <v>2836</v>
      </c>
      <c r="H54" s="406" t="s">
        <v>685</v>
      </c>
      <c r="I54" s="406" t="s">
        <v>229</v>
      </c>
      <c r="J54" s="424">
        <v>42947</v>
      </c>
      <c r="K54" s="400"/>
      <c r="L54" s="400"/>
      <c r="M54" s="406" t="s">
        <v>2853</v>
      </c>
      <c r="N54" s="406" t="s">
        <v>3022</v>
      </c>
      <c r="O54" s="424">
        <v>43096</v>
      </c>
      <c r="P54" s="406" t="s">
        <v>2912</v>
      </c>
      <c r="Q54" s="406" t="s">
        <v>2835</v>
      </c>
      <c r="R54" s="412"/>
      <c r="S54" s="419">
        <f t="shared" si="0"/>
        <v>190</v>
      </c>
    </row>
    <row r="55" spans="1:19" ht="25.35" customHeight="1" x14ac:dyDescent="0.2">
      <c r="A55" s="408" t="s">
        <v>3850</v>
      </c>
      <c r="B55" s="422">
        <v>42907</v>
      </c>
      <c r="C55" s="403" t="s">
        <v>4210</v>
      </c>
      <c r="D55" s="403" t="s">
        <v>3838</v>
      </c>
      <c r="E55" s="404" t="s">
        <v>3084</v>
      </c>
      <c r="F55" s="404">
        <v>1</v>
      </c>
      <c r="G55" s="404" t="s">
        <v>2828</v>
      </c>
      <c r="H55" s="404" t="s">
        <v>3975</v>
      </c>
      <c r="I55" s="404" t="s">
        <v>3211</v>
      </c>
      <c r="J55" s="422" t="s">
        <v>2088</v>
      </c>
      <c r="K55" s="437"/>
      <c r="L55" s="437"/>
      <c r="M55" s="404" t="s">
        <v>1056</v>
      </c>
      <c r="N55" s="404" t="s">
        <v>3022</v>
      </c>
      <c r="O55" s="422" t="s">
        <v>2088</v>
      </c>
      <c r="P55" s="404" t="s">
        <v>2088</v>
      </c>
      <c r="Q55" s="404" t="s">
        <v>2839</v>
      </c>
      <c r="R55" s="423"/>
      <c r="S55" s="420" t="e">
        <f t="shared" si="0"/>
        <v>#VALUE!</v>
      </c>
    </row>
    <row r="56" spans="1:19" ht="25.35" customHeight="1" x14ac:dyDescent="0.2">
      <c r="A56" s="407" t="s">
        <v>3853</v>
      </c>
      <c r="B56" s="424">
        <v>42909</v>
      </c>
      <c r="C56" s="405" t="s">
        <v>3854</v>
      </c>
      <c r="D56" s="405" t="s">
        <v>3855</v>
      </c>
      <c r="E56" s="406" t="s">
        <v>3323</v>
      </c>
      <c r="F56" s="406">
        <v>1</v>
      </c>
      <c r="G56" s="406" t="s">
        <v>2828</v>
      </c>
      <c r="H56" s="406" t="s">
        <v>3227</v>
      </c>
      <c r="I56" s="406" t="s">
        <v>3211</v>
      </c>
      <c r="J56" s="424">
        <v>42916</v>
      </c>
      <c r="K56" s="400"/>
      <c r="L56" s="400"/>
      <c r="M56" s="406" t="s">
        <v>2853</v>
      </c>
      <c r="N56" s="406" t="s">
        <v>2088</v>
      </c>
      <c r="O56" s="424">
        <v>42909</v>
      </c>
      <c r="P56" s="406" t="s">
        <v>4224</v>
      </c>
      <c r="Q56" s="406" t="s">
        <v>2829</v>
      </c>
      <c r="R56" s="412"/>
      <c r="S56" s="419">
        <f t="shared" si="0"/>
        <v>0</v>
      </c>
    </row>
    <row r="57" spans="1:19" ht="25.35" customHeight="1" x14ac:dyDescent="0.2">
      <c r="A57" s="408" t="s">
        <v>3856</v>
      </c>
      <c r="B57" s="422">
        <v>42909</v>
      </c>
      <c r="C57" s="403" t="s">
        <v>3857</v>
      </c>
      <c r="D57" s="403" t="s">
        <v>3858</v>
      </c>
      <c r="E57" s="404" t="s">
        <v>2971</v>
      </c>
      <c r="F57" s="404">
        <v>1</v>
      </c>
      <c r="G57" s="404" t="s">
        <v>2836</v>
      </c>
      <c r="H57" s="404" t="s">
        <v>3859</v>
      </c>
      <c r="I57" s="404" t="s">
        <v>229</v>
      </c>
      <c r="J57" s="422">
        <v>42947</v>
      </c>
      <c r="K57" s="437"/>
      <c r="L57" s="437"/>
      <c r="M57" s="404" t="s">
        <v>2853</v>
      </c>
      <c r="N57" s="404" t="s">
        <v>3022</v>
      </c>
      <c r="O57" s="422">
        <v>43032</v>
      </c>
      <c r="P57" s="404" t="s">
        <v>3022</v>
      </c>
      <c r="Q57" s="404" t="s">
        <v>2835</v>
      </c>
      <c r="R57" s="423"/>
      <c r="S57" s="420">
        <f t="shared" si="0"/>
        <v>123</v>
      </c>
    </row>
    <row r="58" spans="1:19" ht="25.35" customHeight="1" x14ac:dyDescent="0.2">
      <c r="A58" s="407" t="s">
        <v>3860</v>
      </c>
      <c r="B58" s="424">
        <v>42909</v>
      </c>
      <c r="C58" s="405" t="s">
        <v>3861</v>
      </c>
      <c r="D58" s="405" t="s">
        <v>3862</v>
      </c>
      <c r="E58" s="406" t="s">
        <v>2971</v>
      </c>
      <c r="F58" s="406">
        <v>1</v>
      </c>
      <c r="G58" s="406" t="s">
        <v>2838</v>
      </c>
      <c r="H58" s="406" t="s">
        <v>685</v>
      </c>
      <c r="I58" s="406" t="s">
        <v>229</v>
      </c>
      <c r="J58" s="424">
        <v>42916</v>
      </c>
      <c r="K58" s="438"/>
      <c r="L58" s="438"/>
      <c r="M58" s="406" t="s">
        <v>2853</v>
      </c>
      <c r="N58" s="406" t="s">
        <v>2088</v>
      </c>
      <c r="O58" s="424">
        <v>42909</v>
      </c>
      <c r="P58" s="406" t="s">
        <v>4224</v>
      </c>
      <c r="Q58" s="406" t="s">
        <v>2829</v>
      </c>
      <c r="R58" s="412"/>
      <c r="S58" s="419">
        <f t="shared" si="0"/>
        <v>0</v>
      </c>
    </row>
    <row r="59" spans="1:19" ht="25.35" customHeight="1" x14ac:dyDescent="0.2">
      <c r="A59" s="408" t="s">
        <v>3863</v>
      </c>
      <c r="B59" s="422">
        <v>42913</v>
      </c>
      <c r="C59" s="423" t="s">
        <v>3865</v>
      </c>
      <c r="D59" s="403" t="s">
        <v>3864</v>
      </c>
      <c r="E59" s="404" t="s">
        <v>3825</v>
      </c>
      <c r="F59" s="404">
        <v>1</v>
      </c>
      <c r="G59" s="404" t="s">
        <v>2828</v>
      </c>
      <c r="H59" s="404" t="s">
        <v>3859</v>
      </c>
      <c r="I59" s="404" t="s">
        <v>229</v>
      </c>
      <c r="J59" s="422">
        <v>42914</v>
      </c>
      <c r="K59" s="437"/>
      <c r="L59" s="437"/>
      <c r="M59" s="404" t="s">
        <v>2853</v>
      </c>
      <c r="N59" s="404" t="s">
        <v>3022</v>
      </c>
      <c r="O59" s="422">
        <v>42914</v>
      </c>
      <c r="P59" s="404" t="s">
        <v>3061</v>
      </c>
      <c r="Q59" s="404" t="s">
        <v>2829</v>
      </c>
      <c r="R59" s="423"/>
      <c r="S59" s="420">
        <f t="shared" si="0"/>
        <v>1</v>
      </c>
    </row>
    <row r="60" spans="1:19" ht="25.35" customHeight="1" x14ac:dyDescent="0.2">
      <c r="A60" s="407" t="s">
        <v>3866</v>
      </c>
      <c r="B60" s="424">
        <v>42923</v>
      </c>
      <c r="C60" s="412" t="s">
        <v>3867</v>
      </c>
      <c r="D60" s="405" t="s">
        <v>3868</v>
      </c>
      <c r="E60" s="406" t="s">
        <v>3825</v>
      </c>
      <c r="F60" s="406">
        <v>1</v>
      </c>
      <c r="G60" s="406" t="s">
        <v>2828</v>
      </c>
      <c r="H60" s="406" t="s">
        <v>2058</v>
      </c>
      <c r="I60" s="406" t="s">
        <v>3211</v>
      </c>
      <c r="J60" s="424">
        <v>42954</v>
      </c>
      <c r="K60" s="400"/>
      <c r="L60" s="400"/>
      <c r="M60" s="406" t="s">
        <v>2853</v>
      </c>
      <c r="N60" s="406" t="s">
        <v>2088</v>
      </c>
      <c r="O60" s="424">
        <v>42928</v>
      </c>
      <c r="P60" s="406" t="s">
        <v>4224</v>
      </c>
      <c r="Q60" s="406" t="s">
        <v>2829</v>
      </c>
      <c r="R60" s="412"/>
      <c r="S60" s="419">
        <f t="shared" si="0"/>
        <v>5</v>
      </c>
    </row>
    <row r="61" spans="1:19" ht="25.35" customHeight="1" x14ac:dyDescent="0.2">
      <c r="A61" s="408" t="s">
        <v>3869</v>
      </c>
      <c r="B61" s="422">
        <v>42923</v>
      </c>
      <c r="C61" s="423" t="s">
        <v>3870</v>
      </c>
      <c r="D61" s="403" t="s">
        <v>3225</v>
      </c>
      <c r="E61" s="404" t="s">
        <v>2971</v>
      </c>
      <c r="F61" s="404">
        <v>1</v>
      </c>
      <c r="G61" s="404" t="s">
        <v>2841</v>
      </c>
      <c r="H61" s="404" t="s">
        <v>516</v>
      </c>
      <c r="I61" s="404" t="s">
        <v>229</v>
      </c>
      <c r="J61" s="422">
        <v>43008</v>
      </c>
      <c r="K61" s="437"/>
      <c r="L61" s="437"/>
      <c r="M61" s="404" t="s">
        <v>2853</v>
      </c>
      <c r="N61" s="404" t="s">
        <v>2088</v>
      </c>
      <c r="O61" s="422">
        <v>42947</v>
      </c>
      <c r="P61" s="406" t="s">
        <v>4224</v>
      </c>
      <c r="Q61" s="404" t="s">
        <v>2829</v>
      </c>
      <c r="R61" s="423"/>
      <c r="S61" s="420">
        <f t="shared" si="0"/>
        <v>24</v>
      </c>
    </row>
    <row r="62" spans="1:19" ht="25.35" customHeight="1" x14ac:dyDescent="0.2">
      <c r="A62" s="407" t="s">
        <v>3871</v>
      </c>
      <c r="B62" s="424">
        <v>42926</v>
      </c>
      <c r="C62" s="412" t="s">
        <v>3872</v>
      </c>
      <c r="D62" s="405" t="s">
        <v>3873</v>
      </c>
      <c r="E62" s="406" t="s">
        <v>2971</v>
      </c>
      <c r="F62" s="406">
        <v>1</v>
      </c>
      <c r="G62" s="406" t="s">
        <v>2841</v>
      </c>
      <c r="H62" s="406" t="s">
        <v>229</v>
      </c>
      <c r="I62" s="406" t="s">
        <v>229</v>
      </c>
      <c r="J62" s="424">
        <v>42947</v>
      </c>
      <c r="K62" s="400"/>
      <c r="L62" s="400"/>
      <c r="M62" s="406" t="s">
        <v>2853</v>
      </c>
      <c r="N62" s="406" t="s">
        <v>2088</v>
      </c>
      <c r="O62" s="424">
        <v>42947</v>
      </c>
      <c r="P62" s="406" t="s">
        <v>4224</v>
      </c>
      <c r="Q62" s="406" t="s">
        <v>2829</v>
      </c>
      <c r="R62" s="412"/>
      <c r="S62" s="419">
        <f t="shared" si="0"/>
        <v>21</v>
      </c>
    </row>
    <row r="63" spans="1:19" ht="25.35" customHeight="1" x14ac:dyDescent="0.2">
      <c r="A63" s="408" t="s">
        <v>3874</v>
      </c>
      <c r="B63" s="422">
        <v>42926</v>
      </c>
      <c r="C63" s="423" t="s">
        <v>3875</v>
      </c>
      <c r="D63" s="403" t="s">
        <v>3873</v>
      </c>
      <c r="E63" s="404" t="s">
        <v>2971</v>
      </c>
      <c r="F63" s="404">
        <v>1</v>
      </c>
      <c r="G63" s="404" t="s">
        <v>2841</v>
      </c>
      <c r="H63" s="404" t="s">
        <v>441</v>
      </c>
      <c r="I63" s="404" t="s">
        <v>229</v>
      </c>
      <c r="J63" s="422">
        <v>42930</v>
      </c>
      <c r="K63" s="437"/>
      <c r="L63" s="437"/>
      <c r="M63" s="404" t="s">
        <v>2853</v>
      </c>
      <c r="N63" s="404" t="s">
        <v>2088</v>
      </c>
      <c r="O63" s="422">
        <v>42927</v>
      </c>
      <c r="P63" s="404" t="s">
        <v>3061</v>
      </c>
      <c r="Q63" s="404" t="s">
        <v>2829</v>
      </c>
      <c r="R63" s="423"/>
      <c r="S63" s="420">
        <f t="shared" si="0"/>
        <v>1</v>
      </c>
    </row>
    <row r="64" spans="1:19" ht="25.35" customHeight="1" x14ac:dyDescent="0.2">
      <c r="A64" s="407" t="s">
        <v>3876</v>
      </c>
      <c r="B64" s="424">
        <v>42927</v>
      </c>
      <c r="C64" s="409" t="s">
        <v>3877</v>
      </c>
      <c r="D64" s="405" t="s">
        <v>3878</v>
      </c>
      <c r="E64" s="406" t="s">
        <v>3825</v>
      </c>
      <c r="F64" s="406">
        <v>2</v>
      </c>
      <c r="G64" s="406" t="s">
        <v>2828</v>
      </c>
      <c r="H64" s="406" t="s">
        <v>2058</v>
      </c>
      <c r="I64" s="406" t="s">
        <v>3211</v>
      </c>
      <c r="J64" s="424">
        <v>42958</v>
      </c>
      <c r="K64" s="400"/>
      <c r="L64" s="400"/>
      <c r="M64" s="406" t="s">
        <v>2853</v>
      </c>
      <c r="N64" s="406" t="s">
        <v>2088</v>
      </c>
      <c r="O64" s="424">
        <v>42929</v>
      </c>
      <c r="P64" s="406" t="s">
        <v>3061</v>
      </c>
      <c r="Q64" s="406" t="s">
        <v>2829</v>
      </c>
      <c r="R64" s="412"/>
      <c r="S64" s="419">
        <f t="shared" si="0"/>
        <v>2</v>
      </c>
    </row>
    <row r="65" spans="1:19" ht="25.35" customHeight="1" x14ac:dyDescent="0.2">
      <c r="A65" s="408" t="s">
        <v>3879</v>
      </c>
      <c r="B65" s="422">
        <v>42927</v>
      </c>
      <c r="C65" s="410" t="s">
        <v>3880</v>
      </c>
      <c r="D65" s="403" t="s">
        <v>3881</v>
      </c>
      <c r="E65" s="404" t="s">
        <v>3617</v>
      </c>
      <c r="F65" s="404">
        <v>1</v>
      </c>
      <c r="G65" s="404" t="s">
        <v>2828</v>
      </c>
      <c r="H65" s="404" t="s">
        <v>3423</v>
      </c>
      <c r="I65" s="404" t="s">
        <v>3211</v>
      </c>
      <c r="J65" s="422">
        <v>42930</v>
      </c>
      <c r="K65" s="437"/>
      <c r="L65" s="437"/>
      <c r="M65" s="404" t="s">
        <v>2853</v>
      </c>
      <c r="N65" s="404" t="s">
        <v>2088</v>
      </c>
      <c r="O65" s="422">
        <v>42927</v>
      </c>
      <c r="P65" s="406" t="s">
        <v>4224</v>
      </c>
      <c r="Q65" s="404" t="s">
        <v>3677</v>
      </c>
      <c r="R65" s="423"/>
      <c r="S65" s="420">
        <f t="shared" si="0"/>
        <v>0</v>
      </c>
    </row>
    <row r="66" spans="1:19" ht="25.35" customHeight="1" x14ac:dyDescent="0.2">
      <c r="A66" s="407" t="s">
        <v>3882</v>
      </c>
      <c r="B66" s="424">
        <v>42928</v>
      </c>
      <c r="C66" s="409" t="s">
        <v>3883</v>
      </c>
      <c r="D66" s="405" t="s">
        <v>3225</v>
      </c>
      <c r="E66" s="406" t="s">
        <v>2971</v>
      </c>
      <c r="F66" s="406">
        <v>1</v>
      </c>
      <c r="G66" s="406" t="s">
        <v>2841</v>
      </c>
      <c r="H66" s="406" t="s">
        <v>229</v>
      </c>
      <c r="I66" s="406" t="s">
        <v>229</v>
      </c>
      <c r="J66" s="424">
        <v>42978</v>
      </c>
      <c r="K66" s="400"/>
      <c r="L66" s="400"/>
      <c r="M66" s="406" t="s">
        <v>2853</v>
      </c>
      <c r="N66" s="406" t="s">
        <v>2088</v>
      </c>
      <c r="O66" s="424">
        <v>42947</v>
      </c>
      <c r="P66" s="406" t="s">
        <v>3061</v>
      </c>
      <c r="Q66" s="406" t="s">
        <v>2829</v>
      </c>
      <c r="R66" s="412"/>
      <c r="S66" s="419">
        <f t="shared" si="0"/>
        <v>19</v>
      </c>
    </row>
    <row r="67" spans="1:19" ht="25.35" customHeight="1" x14ac:dyDescent="0.2">
      <c r="A67" s="408" t="s">
        <v>3884</v>
      </c>
      <c r="B67" s="422">
        <v>42933</v>
      </c>
      <c r="C67" s="410" t="s">
        <v>3885</v>
      </c>
      <c r="D67" s="403" t="s">
        <v>3873</v>
      </c>
      <c r="E67" s="404" t="s">
        <v>2971</v>
      </c>
      <c r="F67" s="404">
        <v>1</v>
      </c>
      <c r="G67" s="404" t="s">
        <v>2841</v>
      </c>
      <c r="H67" s="404" t="s">
        <v>3227</v>
      </c>
      <c r="I67" s="404" t="s">
        <v>3211</v>
      </c>
      <c r="J67" s="422">
        <v>43008</v>
      </c>
      <c r="K67" s="437"/>
      <c r="L67" s="437"/>
      <c r="M67" s="404" t="s">
        <v>2853</v>
      </c>
      <c r="N67" s="404" t="s">
        <v>3022</v>
      </c>
      <c r="O67" s="422">
        <v>43040</v>
      </c>
      <c r="P67" s="404" t="s">
        <v>3022</v>
      </c>
      <c r="Q67" s="404" t="s">
        <v>2835</v>
      </c>
      <c r="R67" s="423"/>
      <c r="S67" s="420">
        <f t="shared" ref="S67:S130" si="1">O67-B67</f>
        <v>107</v>
      </c>
    </row>
    <row r="68" spans="1:19" ht="25.35" customHeight="1" x14ac:dyDescent="0.2">
      <c r="A68" s="407" t="s">
        <v>3886</v>
      </c>
      <c r="B68" s="424">
        <v>42933</v>
      </c>
      <c r="C68" s="409" t="s">
        <v>3887</v>
      </c>
      <c r="D68" s="405" t="s">
        <v>3888</v>
      </c>
      <c r="E68" s="406" t="s">
        <v>3825</v>
      </c>
      <c r="F68" s="406">
        <v>1</v>
      </c>
      <c r="G68" s="406" t="s">
        <v>2828</v>
      </c>
      <c r="H68" s="406" t="s">
        <v>3167</v>
      </c>
      <c r="I68" s="406" t="s">
        <v>3211</v>
      </c>
      <c r="J68" s="424">
        <v>42942</v>
      </c>
      <c r="K68" s="400"/>
      <c r="L68" s="400"/>
      <c r="M68" s="406" t="s">
        <v>2853</v>
      </c>
      <c r="N68" s="406" t="s">
        <v>2088</v>
      </c>
      <c r="O68" s="424">
        <v>42934</v>
      </c>
      <c r="P68" s="406" t="s">
        <v>3061</v>
      </c>
      <c r="Q68" s="406" t="s">
        <v>2829</v>
      </c>
      <c r="R68" s="412"/>
      <c r="S68" s="419">
        <f t="shared" si="1"/>
        <v>1</v>
      </c>
    </row>
    <row r="69" spans="1:19" ht="25.35" customHeight="1" x14ac:dyDescent="0.2">
      <c r="A69" s="408" t="s">
        <v>3889</v>
      </c>
      <c r="B69" s="422">
        <v>42933</v>
      </c>
      <c r="C69" s="410" t="s">
        <v>3890</v>
      </c>
      <c r="D69" s="403" t="s">
        <v>3891</v>
      </c>
      <c r="E69" s="404" t="s">
        <v>2869</v>
      </c>
      <c r="F69" s="404">
        <v>2</v>
      </c>
      <c r="G69" s="404" t="s">
        <v>2828</v>
      </c>
      <c r="H69" s="404" t="s">
        <v>3227</v>
      </c>
      <c r="I69" s="404" t="s">
        <v>3211</v>
      </c>
      <c r="J69" s="422">
        <v>42978</v>
      </c>
      <c r="K69" s="437"/>
      <c r="L69" s="437"/>
      <c r="M69" s="404" t="s">
        <v>2853</v>
      </c>
      <c r="N69" s="404" t="s">
        <v>2088</v>
      </c>
      <c r="O69" s="422">
        <v>42933</v>
      </c>
      <c r="P69" s="404" t="s">
        <v>3061</v>
      </c>
      <c r="Q69" s="404" t="s">
        <v>2829</v>
      </c>
      <c r="R69" s="423"/>
      <c r="S69" s="420">
        <f t="shared" si="1"/>
        <v>0</v>
      </c>
    </row>
    <row r="70" spans="1:19" ht="25.35" customHeight="1" x14ac:dyDescent="0.2">
      <c r="A70" s="407" t="s">
        <v>3892</v>
      </c>
      <c r="B70" s="424">
        <v>42934</v>
      </c>
      <c r="C70" s="409" t="s">
        <v>3893</v>
      </c>
      <c r="D70" s="405" t="s">
        <v>3894</v>
      </c>
      <c r="E70" s="406" t="s">
        <v>3617</v>
      </c>
      <c r="F70" s="406">
        <v>1</v>
      </c>
      <c r="G70" s="406" t="s">
        <v>2828</v>
      </c>
      <c r="H70" s="406" t="s">
        <v>3423</v>
      </c>
      <c r="I70" s="406" t="s">
        <v>3211</v>
      </c>
      <c r="J70" s="424">
        <v>43325</v>
      </c>
      <c r="K70" s="400"/>
      <c r="L70" s="400"/>
      <c r="M70" s="406" t="s">
        <v>2853</v>
      </c>
      <c r="N70" s="406" t="s">
        <v>2088</v>
      </c>
      <c r="O70" s="424">
        <v>43300</v>
      </c>
      <c r="P70" s="406" t="s">
        <v>3061</v>
      </c>
      <c r="Q70" s="406" t="s">
        <v>2829</v>
      </c>
      <c r="R70" s="412"/>
      <c r="S70" s="419">
        <f t="shared" si="1"/>
        <v>366</v>
      </c>
    </row>
    <row r="71" spans="1:19" ht="25.35" customHeight="1" x14ac:dyDescent="0.2">
      <c r="A71" s="408" t="s">
        <v>3895</v>
      </c>
      <c r="B71" s="422">
        <v>42935</v>
      </c>
      <c r="C71" s="410" t="s">
        <v>3896</v>
      </c>
      <c r="D71" s="403" t="s">
        <v>3897</v>
      </c>
      <c r="E71" s="404" t="s">
        <v>3617</v>
      </c>
      <c r="F71" s="404">
        <v>2</v>
      </c>
      <c r="G71" s="404" t="s">
        <v>2828</v>
      </c>
      <c r="H71" s="404" t="s">
        <v>3423</v>
      </c>
      <c r="I71" s="404" t="s">
        <v>3211</v>
      </c>
      <c r="J71" s="422">
        <v>42944</v>
      </c>
      <c r="K71" s="437"/>
      <c r="L71" s="437"/>
      <c r="M71" s="404" t="s">
        <v>2853</v>
      </c>
      <c r="N71" s="404" t="s">
        <v>2088</v>
      </c>
      <c r="O71" s="422">
        <v>42937</v>
      </c>
      <c r="P71" s="404" t="s">
        <v>3061</v>
      </c>
      <c r="Q71" s="404" t="s">
        <v>2829</v>
      </c>
      <c r="R71" s="423"/>
      <c r="S71" s="420">
        <f t="shared" si="1"/>
        <v>2</v>
      </c>
    </row>
    <row r="72" spans="1:19" ht="25.35" customHeight="1" x14ac:dyDescent="0.2">
      <c r="A72" s="407" t="s">
        <v>3898</v>
      </c>
      <c r="B72" s="424">
        <v>42937</v>
      </c>
      <c r="C72" s="409" t="s">
        <v>3900</v>
      </c>
      <c r="D72" s="405" t="s">
        <v>3901</v>
      </c>
      <c r="E72" s="406" t="s">
        <v>2971</v>
      </c>
      <c r="F72" s="406">
        <v>1</v>
      </c>
      <c r="G72" s="406" t="s">
        <v>2841</v>
      </c>
      <c r="H72" s="406" t="s">
        <v>229</v>
      </c>
      <c r="I72" s="406" t="s">
        <v>229</v>
      </c>
      <c r="J72" s="424">
        <v>42978</v>
      </c>
      <c r="K72" s="400"/>
      <c r="L72" s="400"/>
      <c r="M72" s="406" t="s">
        <v>2853</v>
      </c>
      <c r="N72" s="406" t="s">
        <v>2088</v>
      </c>
      <c r="O72" s="424">
        <v>42961</v>
      </c>
      <c r="P72" s="406" t="s">
        <v>3061</v>
      </c>
      <c r="Q72" s="406" t="s">
        <v>2832</v>
      </c>
      <c r="R72" s="412"/>
      <c r="S72" s="419">
        <f t="shared" si="1"/>
        <v>24</v>
      </c>
    </row>
    <row r="73" spans="1:19" ht="25.35" customHeight="1" x14ac:dyDescent="0.2">
      <c r="A73" s="408" t="s">
        <v>3899</v>
      </c>
      <c r="B73" s="422">
        <v>42937</v>
      </c>
      <c r="C73" s="410" t="s">
        <v>3902</v>
      </c>
      <c r="D73" s="403" t="s">
        <v>3225</v>
      </c>
      <c r="E73" s="404" t="s">
        <v>2971</v>
      </c>
      <c r="F73" s="404">
        <v>1</v>
      </c>
      <c r="G73" s="404" t="s">
        <v>2841</v>
      </c>
      <c r="H73" s="404" t="s">
        <v>229</v>
      </c>
      <c r="I73" s="404" t="s">
        <v>229</v>
      </c>
      <c r="J73" s="422">
        <v>42978</v>
      </c>
      <c r="K73" s="437"/>
      <c r="L73" s="437"/>
      <c r="M73" s="404" t="s">
        <v>2853</v>
      </c>
      <c r="N73" s="404" t="s">
        <v>2088</v>
      </c>
      <c r="O73" s="422">
        <v>42978</v>
      </c>
      <c r="P73" s="404" t="s">
        <v>3061</v>
      </c>
      <c r="Q73" s="404" t="s">
        <v>2832</v>
      </c>
      <c r="R73" s="423"/>
      <c r="S73" s="420">
        <f t="shared" si="1"/>
        <v>41</v>
      </c>
    </row>
    <row r="74" spans="1:19" ht="25.35" customHeight="1" x14ac:dyDescent="0.2">
      <c r="A74" s="407" t="s">
        <v>3904</v>
      </c>
      <c r="B74" s="424">
        <v>42943</v>
      </c>
      <c r="C74" s="409" t="s">
        <v>3905</v>
      </c>
      <c r="D74" s="405" t="s">
        <v>3906</v>
      </c>
      <c r="E74" s="406" t="s">
        <v>2971</v>
      </c>
      <c r="F74" s="406">
        <v>1</v>
      </c>
      <c r="G74" s="406" t="s">
        <v>2838</v>
      </c>
      <c r="H74" s="406" t="s">
        <v>685</v>
      </c>
      <c r="I74" s="406" t="s">
        <v>229</v>
      </c>
      <c r="J74" s="424">
        <v>42947</v>
      </c>
      <c r="K74" s="400"/>
      <c r="L74" s="400"/>
      <c r="M74" s="406" t="s">
        <v>2853</v>
      </c>
      <c r="N74" s="406" t="s">
        <v>2088</v>
      </c>
      <c r="O74" s="424">
        <v>42943</v>
      </c>
      <c r="P74" s="406" t="s">
        <v>3061</v>
      </c>
      <c r="Q74" s="406" t="s">
        <v>2829</v>
      </c>
      <c r="R74" s="412"/>
      <c r="S74" s="419">
        <f t="shared" si="1"/>
        <v>0</v>
      </c>
    </row>
    <row r="75" spans="1:19" ht="25.35" customHeight="1" x14ac:dyDescent="0.2">
      <c r="A75" s="408" t="s">
        <v>3907</v>
      </c>
      <c r="B75" s="422">
        <v>42943</v>
      </c>
      <c r="C75" s="410" t="s">
        <v>3908</v>
      </c>
      <c r="D75" s="403" t="s">
        <v>3909</v>
      </c>
      <c r="E75" s="404" t="s">
        <v>2971</v>
      </c>
      <c r="F75" s="404">
        <v>1</v>
      </c>
      <c r="G75" s="404" t="s">
        <v>2828</v>
      </c>
      <c r="H75" s="404" t="s">
        <v>3842</v>
      </c>
      <c r="I75" s="404" t="s">
        <v>3211</v>
      </c>
      <c r="J75" s="422">
        <v>42954</v>
      </c>
      <c r="K75" s="437"/>
      <c r="L75" s="437"/>
      <c r="M75" s="404" t="s">
        <v>2853</v>
      </c>
      <c r="N75" s="404" t="s">
        <v>2088</v>
      </c>
      <c r="O75" s="422">
        <v>42950</v>
      </c>
      <c r="P75" s="404" t="s">
        <v>3061</v>
      </c>
      <c r="Q75" s="404" t="s">
        <v>2829</v>
      </c>
      <c r="R75" s="423"/>
      <c r="S75" s="420">
        <f t="shared" si="1"/>
        <v>7</v>
      </c>
    </row>
    <row r="76" spans="1:19" ht="25.35" customHeight="1" x14ac:dyDescent="0.2">
      <c r="A76" s="407" t="s">
        <v>3912</v>
      </c>
      <c r="B76" s="424">
        <v>42949</v>
      </c>
      <c r="C76" s="409" t="s">
        <v>3913</v>
      </c>
      <c r="D76" s="405" t="s">
        <v>3914</v>
      </c>
      <c r="E76" s="406" t="s">
        <v>3915</v>
      </c>
      <c r="F76" s="406">
        <v>2</v>
      </c>
      <c r="G76" s="406" t="s">
        <v>2828</v>
      </c>
      <c r="H76" s="406" t="s">
        <v>615</v>
      </c>
      <c r="I76" s="406" t="s">
        <v>3211</v>
      </c>
      <c r="J76" s="424" t="s">
        <v>2088</v>
      </c>
      <c r="K76" s="400"/>
      <c r="L76" s="400"/>
      <c r="M76" s="406" t="s">
        <v>1056</v>
      </c>
      <c r="N76" s="406" t="s">
        <v>2088</v>
      </c>
      <c r="O76" s="424">
        <v>42955</v>
      </c>
      <c r="P76" s="406" t="s">
        <v>2088</v>
      </c>
      <c r="Q76" s="406" t="s">
        <v>2829</v>
      </c>
      <c r="R76" s="409" t="s">
        <v>3922</v>
      </c>
      <c r="S76" s="419">
        <f t="shared" si="1"/>
        <v>6</v>
      </c>
    </row>
    <row r="77" spans="1:19" ht="25.35" customHeight="1" x14ac:dyDescent="0.2">
      <c r="A77" s="408" t="s">
        <v>3916</v>
      </c>
      <c r="B77" s="422">
        <v>42951</v>
      </c>
      <c r="C77" s="410" t="s">
        <v>3996</v>
      </c>
      <c r="D77" s="403" t="s">
        <v>3997</v>
      </c>
      <c r="E77" s="404" t="s">
        <v>2971</v>
      </c>
      <c r="F77" s="404">
        <v>1</v>
      </c>
      <c r="G77" s="404" t="s">
        <v>2836</v>
      </c>
      <c r="H77" s="404" t="s">
        <v>685</v>
      </c>
      <c r="I77" s="404" t="s">
        <v>229</v>
      </c>
      <c r="J77" s="422">
        <v>43007</v>
      </c>
      <c r="K77" s="437"/>
      <c r="L77" s="437"/>
      <c r="M77" s="404" t="s">
        <v>2853</v>
      </c>
      <c r="N77" s="404" t="s">
        <v>2088</v>
      </c>
      <c r="O77" s="422">
        <v>43018</v>
      </c>
      <c r="P77" s="404" t="s">
        <v>3061</v>
      </c>
      <c r="Q77" s="404" t="s">
        <v>2832</v>
      </c>
      <c r="R77" s="423"/>
      <c r="S77" s="420">
        <f t="shared" si="1"/>
        <v>67</v>
      </c>
    </row>
    <row r="78" spans="1:19" ht="25.35" customHeight="1" x14ac:dyDescent="0.2">
      <c r="A78" s="407" t="s">
        <v>3917</v>
      </c>
      <c r="B78" s="424">
        <v>42954</v>
      </c>
      <c r="C78" s="409" t="s">
        <v>3913</v>
      </c>
      <c r="D78" s="405" t="s">
        <v>3918</v>
      </c>
      <c r="E78" s="406" t="s">
        <v>3915</v>
      </c>
      <c r="F78" s="406">
        <v>2</v>
      </c>
      <c r="G78" s="406" t="s">
        <v>2828</v>
      </c>
      <c r="H78" s="406" t="s">
        <v>3167</v>
      </c>
      <c r="I78" s="406" t="s">
        <v>3211</v>
      </c>
      <c r="J78" s="424">
        <v>42965</v>
      </c>
      <c r="K78" s="400"/>
      <c r="L78" s="400"/>
      <c r="M78" s="406" t="s">
        <v>2853</v>
      </c>
      <c r="N78" s="406" t="s">
        <v>2088</v>
      </c>
      <c r="O78" s="424">
        <v>42956</v>
      </c>
      <c r="P78" s="406" t="s">
        <v>3061</v>
      </c>
      <c r="Q78" s="406" t="s">
        <v>2829</v>
      </c>
      <c r="R78" s="412"/>
      <c r="S78" s="419">
        <f t="shared" si="1"/>
        <v>2</v>
      </c>
    </row>
    <row r="79" spans="1:19" ht="25.35" customHeight="1" x14ac:dyDescent="0.2">
      <c r="A79" s="408" t="s">
        <v>3919</v>
      </c>
      <c r="B79" s="422">
        <v>42955</v>
      </c>
      <c r="C79" s="410" t="s">
        <v>3920</v>
      </c>
      <c r="D79" s="403" t="s">
        <v>3909</v>
      </c>
      <c r="E79" s="404" t="s">
        <v>3921</v>
      </c>
      <c r="F79" s="404">
        <v>1</v>
      </c>
      <c r="G79" s="404" t="s">
        <v>2828</v>
      </c>
      <c r="H79" s="404" t="s">
        <v>3842</v>
      </c>
      <c r="I79" s="404" t="s">
        <v>3211</v>
      </c>
      <c r="J79" s="422">
        <v>42958</v>
      </c>
      <c r="K79" s="437"/>
      <c r="L79" s="437"/>
      <c r="M79" s="404" t="s">
        <v>2853</v>
      </c>
      <c r="N79" s="404" t="s">
        <v>2088</v>
      </c>
      <c r="O79" s="422">
        <v>42956</v>
      </c>
      <c r="P79" s="404" t="s">
        <v>3061</v>
      </c>
      <c r="Q79" s="404" t="s">
        <v>3677</v>
      </c>
      <c r="R79" s="423"/>
      <c r="S79" s="420">
        <f t="shared" si="1"/>
        <v>1</v>
      </c>
    </row>
    <row r="80" spans="1:19" ht="25.35" customHeight="1" x14ac:dyDescent="0.2">
      <c r="A80" s="407" t="s">
        <v>3923</v>
      </c>
      <c r="B80" s="424">
        <v>42956</v>
      </c>
      <c r="C80" s="409" t="s">
        <v>4094</v>
      </c>
      <c r="D80" s="405" t="s">
        <v>4048</v>
      </c>
      <c r="E80" s="406" t="s">
        <v>3915</v>
      </c>
      <c r="F80" s="406">
        <v>1</v>
      </c>
      <c r="G80" s="406" t="s">
        <v>2828</v>
      </c>
      <c r="H80" s="406" t="s">
        <v>3851</v>
      </c>
      <c r="I80" s="406" t="s">
        <v>3211</v>
      </c>
      <c r="J80" s="424">
        <v>43066</v>
      </c>
      <c r="K80" s="400"/>
      <c r="L80" s="400"/>
      <c r="M80" s="406" t="s">
        <v>2853</v>
      </c>
      <c r="N80" s="406" t="s">
        <v>2088</v>
      </c>
      <c r="O80" s="424">
        <v>43067</v>
      </c>
      <c r="P80" s="406" t="s">
        <v>3022</v>
      </c>
      <c r="Q80" s="406" t="s">
        <v>2835</v>
      </c>
      <c r="R80" s="412"/>
      <c r="S80" s="419">
        <f t="shared" si="1"/>
        <v>111</v>
      </c>
    </row>
    <row r="81" spans="1:19" ht="25.35" customHeight="1" x14ac:dyDescent="0.2">
      <c r="A81" s="408" t="s">
        <v>3924</v>
      </c>
      <c r="B81" s="422">
        <v>42958</v>
      </c>
      <c r="C81" s="410" t="s">
        <v>3929</v>
      </c>
      <c r="D81" s="403" t="s">
        <v>3928</v>
      </c>
      <c r="E81" s="404" t="s">
        <v>3927</v>
      </c>
      <c r="F81" s="404">
        <v>1</v>
      </c>
      <c r="G81" s="404" t="s">
        <v>2828</v>
      </c>
      <c r="H81" s="404" t="s">
        <v>3167</v>
      </c>
      <c r="I81" s="404" t="s">
        <v>3926</v>
      </c>
      <c r="J81" s="422">
        <v>43008</v>
      </c>
      <c r="K81" s="437"/>
      <c r="L81" s="437"/>
      <c r="M81" s="404" t="s">
        <v>2853</v>
      </c>
      <c r="N81" s="404" t="s">
        <v>2088</v>
      </c>
      <c r="O81" s="422">
        <v>43031</v>
      </c>
      <c r="P81" s="404" t="s">
        <v>3022</v>
      </c>
      <c r="Q81" s="404" t="s">
        <v>2829</v>
      </c>
      <c r="R81" s="423"/>
      <c r="S81" s="420">
        <f t="shared" si="1"/>
        <v>73</v>
      </c>
    </row>
    <row r="82" spans="1:19" ht="25.35" customHeight="1" x14ac:dyDescent="0.2">
      <c r="A82" s="407" t="s">
        <v>3925</v>
      </c>
      <c r="B82" s="424">
        <v>42961</v>
      </c>
      <c r="C82" s="409" t="s">
        <v>3930</v>
      </c>
      <c r="D82" s="405" t="s">
        <v>3931</v>
      </c>
      <c r="E82" s="406" t="s">
        <v>3667</v>
      </c>
      <c r="F82" s="406">
        <v>1</v>
      </c>
      <c r="G82" s="406" t="s">
        <v>2828</v>
      </c>
      <c r="H82" s="406" t="s">
        <v>3167</v>
      </c>
      <c r="I82" s="406" t="s">
        <v>3926</v>
      </c>
      <c r="J82" s="424">
        <v>42993</v>
      </c>
      <c r="K82" s="400"/>
      <c r="L82" s="400"/>
      <c r="M82" s="406" t="s">
        <v>2853</v>
      </c>
      <c r="N82" s="406" t="s">
        <v>2088</v>
      </c>
      <c r="O82" s="424">
        <v>42964</v>
      </c>
      <c r="P82" s="406" t="s">
        <v>3061</v>
      </c>
      <c r="Q82" s="406" t="s">
        <v>2829</v>
      </c>
      <c r="R82" s="412"/>
      <c r="S82" s="419">
        <f t="shared" si="1"/>
        <v>3</v>
      </c>
    </row>
    <row r="83" spans="1:19" ht="25.35" customHeight="1" x14ac:dyDescent="0.2">
      <c r="A83" s="408" t="s">
        <v>3934</v>
      </c>
      <c r="B83" s="422">
        <v>42965</v>
      </c>
      <c r="C83" s="410" t="s">
        <v>3935</v>
      </c>
      <c r="D83" s="403" t="s">
        <v>3936</v>
      </c>
      <c r="E83" s="404" t="s">
        <v>3586</v>
      </c>
      <c r="F83" s="404">
        <v>1</v>
      </c>
      <c r="G83" s="404" t="s">
        <v>2828</v>
      </c>
      <c r="H83" s="404" t="s">
        <v>2058</v>
      </c>
      <c r="I83" s="404" t="s">
        <v>3211</v>
      </c>
      <c r="J83" s="422">
        <v>42972</v>
      </c>
      <c r="K83" s="437"/>
      <c r="L83" s="437"/>
      <c r="M83" s="404" t="s">
        <v>2853</v>
      </c>
      <c r="N83" s="404" t="s">
        <v>2088</v>
      </c>
      <c r="O83" s="422">
        <v>42970</v>
      </c>
      <c r="P83" s="404" t="s">
        <v>3061</v>
      </c>
      <c r="Q83" s="404" t="s">
        <v>2829</v>
      </c>
      <c r="R83" s="423"/>
      <c r="S83" s="420">
        <f t="shared" si="1"/>
        <v>5</v>
      </c>
    </row>
    <row r="84" spans="1:19" ht="25.35" customHeight="1" x14ac:dyDescent="0.2">
      <c r="A84" s="407" t="s">
        <v>3937</v>
      </c>
      <c r="B84" s="424">
        <v>42971</v>
      </c>
      <c r="C84" s="409" t="s">
        <v>3938</v>
      </c>
      <c r="D84" s="405" t="s">
        <v>3939</v>
      </c>
      <c r="E84" s="406" t="s">
        <v>3825</v>
      </c>
      <c r="F84" s="406">
        <v>1</v>
      </c>
      <c r="G84" s="406" t="s">
        <v>2828</v>
      </c>
      <c r="H84" s="406" t="s">
        <v>2058</v>
      </c>
      <c r="I84" s="406" t="s">
        <v>3211</v>
      </c>
      <c r="J84" s="424">
        <v>43003</v>
      </c>
      <c r="K84" s="400"/>
      <c r="L84" s="400"/>
      <c r="M84" s="406" t="s">
        <v>2853</v>
      </c>
      <c r="N84" s="406" t="s">
        <v>2088</v>
      </c>
      <c r="O84" s="424">
        <v>42972</v>
      </c>
      <c r="P84" s="406" t="s">
        <v>3061</v>
      </c>
      <c r="Q84" s="406" t="s">
        <v>2829</v>
      </c>
      <c r="R84" s="412"/>
      <c r="S84" s="419">
        <f t="shared" si="1"/>
        <v>1</v>
      </c>
    </row>
    <row r="85" spans="1:19" ht="25.35" customHeight="1" x14ac:dyDescent="0.2">
      <c r="A85" s="408" t="s">
        <v>3940</v>
      </c>
      <c r="B85" s="422">
        <v>42976</v>
      </c>
      <c r="C85" s="410" t="s">
        <v>3941</v>
      </c>
      <c r="D85" s="403" t="s">
        <v>3942</v>
      </c>
      <c r="E85" s="404" t="s">
        <v>3825</v>
      </c>
      <c r="F85" s="404">
        <v>1</v>
      </c>
      <c r="G85" s="404" t="s">
        <v>2828</v>
      </c>
      <c r="H85" s="404" t="s">
        <v>2058</v>
      </c>
      <c r="I85" s="404" t="s">
        <v>3211</v>
      </c>
      <c r="J85" s="422">
        <v>43007</v>
      </c>
      <c r="K85" s="437"/>
      <c r="L85" s="437"/>
      <c r="M85" s="404" t="s">
        <v>2853</v>
      </c>
      <c r="N85" s="404" t="s">
        <v>2088</v>
      </c>
      <c r="O85" s="422">
        <v>42977</v>
      </c>
      <c r="P85" s="404" t="s">
        <v>3061</v>
      </c>
      <c r="Q85" s="404" t="s">
        <v>2829</v>
      </c>
      <c r="R85" s="423"/>
      <c r="S85" s="420">
        <f t="shared" si="1"/>
        <v>1</v>
      </c>
    </row>
    <row r="86" spans="1:19" ht="25.35" customHeight="1" x14ac:dyDescent="0.2">
      <c r="A86" s="407" t="s">
        <v>3943</v>
      </c>
      <c r="B86" s="424">
        <v>42986</v>
      </c>
      <c r="C86" s="409" t="s">
        <v>3944</v>
      </c>
      <c r="D86" s="405" t="s">
        <v>3945</v>
      </c>
      <c r="E86" s="406" t="s">
        <v>3825</v>
      </c>
      <c r="F86" s="406">
        <v>1</v>
      </c>
      <c r="G86" s="406" t="s">
        <v>2828</v>
      </c>
      <c r="H86" s="406" t="s">
        <v>2058</v>
      </c>
      <c r="I86" s="406" t="s">
        <v>3211</v>
      </c>
      <c r="J86" s="424">
        <v>43016</v>
      </c>
      <c r="K86" s="400"/>
      <c r="L86" s="400"/>
      <c r="M86" s="406" t="s">
        <v>2853</v>
      </c>
      <c r="N86" s="406" t="s">
        <v>2088</v>
      </c>
      <c r="O86" s="424">
        <v>42989</v>
      </c>
      <c r="P86" s="406" t="s">
        <v>3061</v>
      </c>
      <c r="Q86" s="406" t="s">
        <v>2829</v>
      </c>
      <c r="R86" s="412"/>
      <c r="S86" s="419">
        <f t="shared" si="1"/>
        <v>3</v>
      </c>
    </row>
    <row r="87" spans="1:19" ht="25.35" customHeight="1" x14ac:dyDescent="0.2">
      <c r="A87" s="408" t="s">
        <v>3946</v>
      </c>
      <c r="B87" s="422">
        <v>42989</v>
      </c>
      <c r="C87" s="410" t="s">
        <v>3947</v>
      </c>
      <c r="D87" s="403" t="s">
        <v>3518</v>
      </c>
      <c r="E87" s="404" t="s">
        <v>3386</v>
      </c>
      <c r="F87" s="404">
        <v>1</v>
      </c>
      <c r="G87" s="404" t="s">
        <v>2828</v>
      </c>
      <c r="H87" s="404" t="s">
        <v>3227</v>
      </c>
      <c r="I87" s="404" t="s">
        <v>3211</v>
      </c>
      <c r="J87" s="422">
        <v>43019</v>
      </c>
      <c r="K87" s="437"/>
      <c r="L87" s="437"/>
      <c r="M87" s="404" t="s">
        <v>2853</v>
      </c>
      <c r="N87" s="404" t="s">
        <v>2088</v>
      </c>
      <c r="O87" s="422">
        <v>42990</v>
      </c>
      <c r="P87" s="404" t="s">
        <v>3061</v>
      </c>
      <c r="Q87" s="404" t="s">
        <v>2829</v>
      </c>
      <c r="R87" s="423"/>
      <c r="S87" s="420">
        <f t="shared" si="1"/>
        <v>1</v>
      </c>
    </row>
    <row r="88" spans="1:19" ht="25.35" customHeight="1" x14ac:dyDescent="0.2">
      <c r="A88" s="407" t="s">
        <v>3948</v>
      </c>
      <c r="B88" s="424">
        <v>42989</v>
      </c>
      <c r="C88" s="409" t="s">
        <v>3949</v>
      </c>
      <c r="D88" s="405" t="s">
        <v>3950</v>
      </c>
      <c r="E88" s="406" t="s">
        <v>2971</v>
      </c>
      <c r="F88" s="406">
        <v>1</v>
      </c>
      <c r="G88" s="406" t="s">
        <v>2828</v>
      </c>
      <c r="H88" s="406" t="s">
        <v>3842</v>
      </c>
      <c r="I88" s="406" t="s">
        <v>3211</v>
      </c>
      <c r="J88" s="424">
        <v>43100</v>
      </c>
      <c r="K88" s="400"/>
      <c r="L88" s="400"/>
      <c r="M88" s="406" t="s">
        <v>2853</v>
      </c>
      <c r="N88" s="406" t="s">
        <v>2088</v>
      </c>
      <c r="O88" s="424">
        <v>43083</v>
      </c>
      <c r="P88" s="406" t="s">
        <v>3061</v>
      </c>
      <c r="Q88" s="406" t="s">
        <v>2832</v>
      </c>
      <c r="R88" s="412"/>
      <c r="S88" s="419">
        <f t="shared" si="1"/>
        <v>94</v>
      </c>
    </row>
    <row r="89" spans="1:19" ht="25.35" customHeight="1" x14ac:dyDescent="0.2">
      <c r="A89" s="408" t="s">
        <v>3951</v>
      </c>
      <c r="B89" s="422">
        <v>42989</v>
      </c>
      <c r="C89" s="410" t="s">
        <v>3952</v>
      </c>
      <c r="D89" s="403" t="s">
        <v>3953</v>
      </c>
      <c r="E89" s="404" t="s">
        <v>2971</v>
      </c>
      <c r="F89" s="404">
        <v>1</v>
      </c>
      <c r="G89" s="404" t="s">
        <v>2838</v>
      </c>
      <c r="H89" s="404" t="s">
        <v>685</v>
      </c>
      <c r="I89" s="404" t="s">
        <v>229</v>
      </c>
      <c r="J89" s="422">
        <v>43007</v>
      </c>
      <c r="K89" s="437"/>
      <c r="L89" s="437"/>
      <c r="M89" s="404" t="s">
        <v>2853</v>
      </c>
      <c r="N89" s="404" t="s">
        <v>2088</v>
      </c>
      <c r="O89" s="422">
        <v>42993</v>
      </c>
      <c r="P89" s="404" t="s">
        <v>3061</v>
      </c>
      <c r="Q89" s="404" t="s">
        <v>2829</v>
      </c>
      <c r="R89" s="423" t="s">
        <v>5068</v>
      </c>
      <c r="S89" s="420">
        <f t="shared" si="1"/>
        <v>4</v>
      </c>
    </row>
    <row r="90" spans="1:19" ht="25.35" customHeight="1" x14ac:dyDescent="0.2">
      <c r="A90" s="407" t="s">
        <v>3954</v>
      </c>
      <c r="B90" s="424">
        <v>42990</v>
      </c>
      <c r="C90" s="409" t="s">
        <v>3955</v>
      </c>
      <c r="D90" s="405" t="s">
        <v>3956</v>
      </c>
      <c r="E90" s="406" t="s">
        <v>2971</v>
      </c>
      <c r="F90" s="406">
        <v>1</v>
      </c>
      <c r="G90" s="406" t="s">
        <v>2828</v>
      </c>
      <c r="H90" s="406" t="s">
        <v>2058</v>
      </c>
      <c r="I90" s="406" t="s">
        <v>3211</v>
      </c>
      <c r="J90" s="424">
        <v>43049</v>
      </c>
      <c r="K90" s="400"/>
      <c r="L90" s="400"/>
      <c r="M90" s="406" t="s">
        <v>2853</v>
      </c>
      <c r="N90" s="406" t="s">
        <v>2088</v>
      </c>
      <c r="O90" s="424">
        <v>43019</v>
      </c>
      <c r="P90" s="406" t="s">
        <v>3061</v>
      </c>
      <c r="Q90" s="406" t="s">
        <v>2829</v>
      </c>
      <c r="R90" s="412"/>
      <c r="S90" s="419">
        <f t="shared" si="1"/>
        <v>29</v>
      </c>
    </row>
    <row r="91" spans="1:19" ht="25.35" customHeight="1" x14ac:dyDescent="0.2">
      <c r="A91" s="408" t="s">
        <v>3957</v>
      </c>
      <c r="B91" s="422">
        <v>42990</v>
      </c>
      <c r="C91" s="410" t="s">
        <v>3958</v>
      </c>
      <c r="D91" s="403" t="s">
        <v>3959</v>
      </c>
      <c r="E91" s="404" t="s">
        <v>2971</v>
      </c>
      <c r="F91" s="404">
        <v>1</v>
      </c>
      <c r="G91" s="404" t="s">
        <v>2841</v>
      </c>
      <c r="H91" s="404" t="s">
        <v>3960</v>
      </c>
      <c r="I91" s="404" t="s">
        <v>229</v>
      </c>
      <c r="J91" s="422">
        <v>43189</v>
      </c>
      <c r="K91" s="437"/>
      <c r="L91" s="437"/>
      <c r="M91" s="404" t="s">
        <v>1056</v>
      </c>
      <c r="N91" s="404" t="s">
        <v>2088</v>
      </c>
      <c r="O91" s="422" t="s">
        <v>2088</v>
      </c>
      <c r="P91" s="404" t="s">
        <v>2088</v>
      </c>
      <c r="Q91" s="404" t="s">
        <v>2088</v>
      </c>
      <c r="R91" s="423" t="s">
        <v>5029</v>
      </c>
      <c r="S91" s="420" t="e">
        <f t="shared" si="1"/>
        <v>#VALUE!</v>
      </c>
    </row>
    <row r="92" spans="1:19" ht="25.35" customHeight="1" x14ac:dyDescent="0.2">
      <c r="A92" s="407" t="s">
        <v>3961</v>
      </c>
      <c r="B92" s="424">
        <v>42991</v>
      </c>
      <c r="C92" s="409" t="s">
        <v>3962</v>
      </c>
      <c r="D92" s="405" t="s">
        <v>3963</v>
      </c>
      <c r="E92" s="406" t="s">
        <v>2971</v>
      </c>
      <c r="F92" s="406">
        <v>1</v>
      </c>
      <c r="G92" s="406" t="s">
        <v>2838</v>
      </c>
      <c r="H92" s="406" t="s">
        <v>685</v>
      </c>
      <c r="I92" s="406" t="s">
        <v>229</v>
      </c>
      <c r="J92" s="424">
        <v>43007</v>
      </c>
      <c r="K92" s="400"/>
      <c r="L92" s="400"/>
      <c r="M92" s="406" t="s">
        <v>2853</v>
      </c>
      <c r="N92" s="406" t="s">
        <v>2088</v>
      </c>
      <c r="O92" s="424">
        <v>43000</v>
      </c>
      <c r="P92" s="406" t="s">
        <v>4224</v>
      </c>
      <c r="Q92" s="406" t="s">
        <v>2829</v>
      </c>
      <c r="R92" s="419"/>
      <c r="S92" s="419">
        <f t="shared" si="1"/>
        <v>9</v>
      </c>
    </row>
    <row r="93" spans="1:19" ht="25.35" customHeight="1" x14ac:dyDescent="0.2">
      <c r="A93" s="408" t="s">
        <v>3964</v>
      </c>
      <c r="B93" s="422">
        <v>42996</v>
      </c>
      <c r="C93" s="410" t="s">
        <v>3965</v>
      </c>
      <c r="D93" s="403" t="s">
        <v>3995</v>
      </c>
      <c r="E93" s="404" t="s">
        <v>3667</v>
      </c>
      <c r="F93" s="404">
        <v>1</v>
      </c>
      <c r="G93" s="404" t="s">
        <v>2828</v>
      </c>
      <c r="H93" s="404" t="s">
        <v>3167</v>
      </c>
      <c r="I93" s="404" t="s">
        <v>3926</v>
      </c>
      <c r="J93" s="422">
        <v>43033</v>
      </c>
      <c r="K93" s="437"/>
      <c r="L93" s="437"/>
      <c r="M93" s="404" t="s">
        <v>2853</v>
      </c>
      <c r="N93" s="404" t="s">
        <v>2088</v>
      </c>
      <c r="O93" s="422">
        <v>43006</v>
      </c>
      <c r="P93" s="404" t="s">
        <v>3061</v>
      </c>
      <c r="Q93" s="404" t="s">
        <v>2829</v>
      </c>
      <c r="R93" s="423"/>
      <c r="S93" s="420">
        <f t="shared" si="1"/>
        <v>10</v>
      </c>
    </row>
    <row r="94" spans="1:19" ht="25.35" customHeight="1" x14ac:dyDescent="0.2">
      <c r="A94" s="407" t="s">
        <v>3966</v>
      </c>
      <c r="B94" s="424">
        <v>42996</v>
      </c>
      <c r="C94" s="409" t="s">
        <v>3967</v>
      </c>
      <c r="D94" s="405" t="s">
        <v>3968</v>
      </c>
      <c r="E94" s="406" t="s">
        <v>3969</v>
      </c>
      <c r="F94" s="406">
        <v>1</v>
      </c>
      <c r="G94" s="406" t="s">
        <v>2828</v>
      </c>
      <c r="H94" s="406" t="s">
        <v>3975</v>
      </c>
      <c r="I94" s="406" t="s">
        <v>3211</v>
      </c>
      <c r="J94" s="424">
        <v>43026</v>
      </c>
      <c r="K94" s="400"/>
      <c r="L94" s="400"/>
      <c r="M94" s="406" t="s">
        <v>2853</v>
      </c>
      <c r="N94" s="406" t="s">
        <v>2088</v>
      </c>
      <c r="O94" s="424">
        <v>42997</v>
      </c>
      <c r="P94" s="406" t="s">
        <v>4224</v>
      </c>
      <c r="Q94" s="406" t="s">
        <v>2829</v>
      </c>
      <c r="R94" s="412"/>
      <c r="S94" s="419">
        <f t="shared" si="1"/>
        <v>1</v>
      </c>
    </row>
    <row r="95" spans="1:19" ht="25.35" customHeight="1" x14ac:dyDescent="0.2">
      <c r="A95" s="408" t="s">
        <v>3970</v>
      </c>
      <c r="B95" s="422">
        <v>42998</v>
      </c>
      <c r="C95" s="410" t="s">
        <v>3978</v>
      </c>
      <c r="D95" s="403" t="s">
        <v>3971</v>
      </c>
      <c r="E95" s="404" t="s">
        <v>3335</v>
      </c>
      <c r="F95" s="404">
        <v>1</v>
      </c>
      <c r="G95" s="404" t="s">
        <v>2828</v>
      </c>
      <c r="H95" s="404" t="s">
        <v>3167</v>
      </c>
      <c r="I95" s="404" t="s">
        <v>3211</v>
      </c>
      <c r="J95" s="422">
        <v>43028</v>
      </c>
      <c r="K95" s="437"/>
      <c r="L95" s="437"/>
      <c r="M95" s="404" t="s">
        <v>2853</v>
      </c>
      <c r="N95" s="404" t="s">
        <v>2088</v>
      </c>
      <c r="O95" s="422">
        <v>43000</v>
      </c>
      <c r="P95" s="406" t="s">
        <v>4224</v>
      </c>
      <c r="Q95" s="404" t="s">
        <v>2829</v>
      </c>
      <c r="R95" s="423"/>
      <c r="S95" s="420">
        <f t="shared" si="1"/>
        <v>2</v>
      </c>
    </row>
    <row r="96" spans="1:19" ht="25.35" customHeight="1" x14ac:dyDescent="0.2">
      <c r="A96" s="407" t="s">
        <v>3972</v>
      </c>
      <c r="B96" s="424">
        <v>42998</v>
      </c>
      <c r="C96" s="409" t="s">
        <v>3973</v>
      </c>
      <c r="D96" s="405" t="s">
        <v>3974</v>
      </c>
      <c r="E96" s="406" t="s">
        <v>3586</v>
      </c>
      <c r="F96" s="406">
        <v>1</v>
      </c>
      <c r="G96" s="406" t="s">
        <v>2828</v>
      </c>
      <c r="H96" s="406" t="s">
        <v>3423</v>
      </c>
      <c r="I96" s="406" t="s">
        <v>3211</v>
      </c>
      <c r="J96" s="424">
        <v>43033</v>
      </c>
      <c r="K96" s="400"/>
      <c r="L96" s="400"/>
      <c r="M96" s="406" t="s">
        <v>2853</v>
      </c>
      <c r="N96" s="406" t="s">
        <v>2088</v>
      </c>
      <c r="O96" s="424">
        <v>43012</v>
      </c>
      <c r="P96" s="406" t="s">
        <v>4224</v>
      </c>
      <c r="Q96" s="406" t="s">
        <v>2829</v>
      </c>
      <c r="R96" s="412"/>
      <c r="S96" s="419">
        <f t="shared" si="1"/>
        <v>14</v>
      </c>
    </row>
    <row r="97" spans="1:19" ht="25.35" customHeight="1" x14ac:dyDescent="0.2">
      <c r="A97" s="408" t="s">
        <v>3976</v>
      </c>
      <c r="B97" s="422">
        <v>43000</v>
      </c>
      <c r="C97" s="410" t="s">
        <v>3984</v>
      </c>
      <c r="D97" s="403" t="s">
        <v>3977</v>
      </c>
      <c r="E97" s="404" t="s">
        <v>3400</v>
      </c>
      <c r="F97" s="404">
        <v>1</v>
      </c>
      <c r="G97" s="404" t="s">
        <v>2828</v>
      </c>
      <c r="H97" s="404" t="s">
        <v>3167</v>
      </c>
      <c r="I97" s="404" t="s">
        <v>3926</v>
      </c>
      <c r="J97" s="422">
        <v>43048</v>
      </c>
      <c r="K97" s="437"/>
      <c r="L97" s="437"/>
      <c r="M97" s="404" t="s">
        <v>2853</v>
      </c>
      <c r="N97" s="404" t="s">
        <v>2912</v>
      </c>
      <c r="O97" s="422">
        <v>43019</v>
      </c>
      <c r="P97" s="406" t="s">
        <v>2912</v>
      </c>
      <c r="Q97" s="404" t="s">
        <v>2829</v>
      </c>
      <c r="R97" s="423"/>
      <c r="S97" s="420">
        <f t="shared" si="1"/>
        <v>19</v>
      </c>
    </row>
    <row r="98" spans="1:19" ht="25.35" customHeight="1" x14ac:dyDescent="0.2">
      <c r="A98" s="407" t="s">
        <v>3979</v>
      </c>
      <c r="B98" s="424">
        <v>43003</v>
      </c>
      <c r="C98" s="409" t="s">
        <v>3980</v>
      </c>
      <c r="D98" s="405" t="s">
        <v>3981</v>
      </c>
      <c r="E98" s="406" t="s">
        <v>3825</v>
      </c>
      <c r="F98" s="406">
        <v>1</v>
      </c>
      <c r="G98" s="406" t="s">
        <v>2828</v>
      </c>
      <c r="H98" s="406" t="s">
        <v>2058</v>
      </c>
      <c r="I98" s="406" t="s">
        <v>3211</v>
      </c>
      <c r="J98" s="424">
        <v>43033</v>
      </c>
      <c r="K98" s="400"/>
      <c r="L98" s="400"/>
      <c r="M98" s="406" t="s">
        <v>2853</v>
      </c>
      <c r="N98" s="406" t="s">
        <v>2088</v>
      </c>
      <c r="O98" s="424">
        <v>43004</v>
      </c>
      <c r="P98" s="406" t="s">
        <v>4224</v>
      </c>
      <c r="Q98" s="406" t="s">
        <v>2829</v>
      </c>
      <c r="R98" s="412"/>
      <c r="S98" s="419">
        <f t="shared" si="1"/>
        <v>1</v>
      </c>
    </row>
    <row r="99" spans="1:19" ht="25.35" customHeight="1" x14ac:dyDescent="0.2">
      <c r="A99" s="408" t="s">
        <v>3982</v>
      </c>
      <c r="B99" s="422">
        <v>43004</v>
      </c>
      <c r="C99" s="410" t="s">
        <v>3983</v>
      </c>
      <c r="D99" s="403" t="s">
        <v>3873</v>
      </c>
      <c r="E99" s="404" t="s">
        <v>3915</v>
      </c>
      <c r="F99" s="404">
        <v>1</v>
      </c>
      <c r="G99" s="404" t="s">
        <v>2836</v>
      </c>
      <c r="H99" s="404" t="s">
        <v>3975</v>
      </c>
      <c r="I99" s="404" t="s">
        <v>3211</v>
      </c>
      <c r="J99" s="422">
        <v>43034</v>
      </c>
      <c r="K99" s="437"/>
      <c r="L99" s="437"/>
      <c r="M99" s="404" t="s">
        <v>2853</v>
      </c>
      <c r="N99" s="404" t="s">
        <v>2088</v>
      </c>
      <c r="O99" s="422">
        <v>43025</v>
      </c>
      <c r="P99" s="406" t="s">
        <v>4224</v>
      </c>
      <c r="Q99" s="404" t="s">
        <v>2829</v>
      </c>
      <c r="R99" s="423"/>
      <c r="S99" s="420">
        <f t="shared" si="1"/>
        <v>21</v>
      </c>
    </row>
    <row r="100" spans="1:19" ht="25.35" customHeight="1" x14ac:dyDescent="0.2">
      <c r="A100" s="407" t="s">
        <v>3986</v>
      </c>
      <c r="B100" s="424">
        <v>43004</v>
      </c>
      <c r="C100" s="409" t="s">
        <v>3987</v>
      </c>
      <c r="D100" s="405" t="s">
        <v>3988</v>
      </c>
      <c r="E100" s="406" t="s">
        <v>3825</v>
      </c>
      <c r="F100" s="406">
        <v>1</v>
      </c>
      <c r="G100" s="406" t="s">
        <v>2841</v>
      </c>
      <c r="H100" s="406" t="s">
        <v>685</v>
      </c>
      <c r="I100" s="406" t="s">
        <v>229</v>
      </c>
      <c r="J100" s="424">
        <v>43098</v>
      </c>
      <c r="K100" s="400"/>
      <c r="L100" s="400"/>
      <c r="M100" s="406" t="s">
        <v>2853</v>
      </c>
      <c r="N100" s="406" t="s">
        <v>2088</v>
      </c>
      <c r="O100" s="424">
        <v>43020</v>
      </c>
      <c r="P100" s="406" t="s">
        <v>4224</v>
      </c>
      <c r="Q100" s="406" t="s">
        <v>2829</v>
      </c>
      <c r="R100" s="412"/>
      <c r="S100" s="419">
        <f t="shared" si="1"/>
        <v>16</v>
      </c>
    </row>
    <row r="101" spans="1:19" ht="25.35" customHeight="1" x14ac:dyDescent="0.2">
      <c r="A101" s="408" t="s">
        <v>3989</v>
      </c>
      <c r="B101" s="422">
        <v>43010</v>
      </c>
      <c r="C101" s="410" t="s">
        <v>3990</v>
      </c>
      <c r="D101" s="403" t="s">
        <v>3307</v>
      </c>
      <c r="E101" s="404" t="s">
        <v>2971</v>
      </c>
      <c r="F101" s="404">
        <v>1</v>
      </c>
      <c r="G101" s="404" t="s">
        <v>2841</v>
      </c>
      <c r="H101" s="404" t="s">
        <v>3991</v>
      </c>
      <c r="I101" s="404" t="s">
        <v>229</v>
      </c>
      <c r="J101" s="422">
        <v>43028</v>
      </c>
      <c r="K101" s="437"/>
      <c r="L101" s="437"/>
      <c r="M101" s="404" t="s">
        <v>2853</v>
      </c>
      <c r="N101" s="404" t="s">
        <v>3022</v>
      </c>
      <c r="O101" s="422">
        <v>43033</v>
      </c>
      <c r="P101" s="406" t="s">
        <v>2912</v>
      </c>
      <c r="Q101" s="404" t="s">
        <v>2829</v>
      </c>
      <c r="R101" s="423"/>
      <c r="S101" s="420">
        <f t="shared" si="1"/>
        <v>23</v>
      </c>
    </row>
    <row r="102" spans="1:19" ht="25.35" customHeight="1" x14ac:dyDescent="0.2">
      <c r="A102" s="407" t="s">
        <v>3992</v>
      </c>
      <c r="B102" s="424">
        <v>43012</v>
      </c>
      <c r="C102" s="409" t="s">
        <v>3993</v>
      </c>
      <c r="D102" s="405" t="s">
        <v>3994</v>
      </c>
      <c r="E102" s="406" t="s">
        <v>2971</v>
      </c>
      <c r="F102" s="406">
        <v>1</v>
      </c>
      <c r="G102" s="406" t="s">
        <v>2838</v>
      </c>
      <c r="H102" s="406" t="s">
        <v>685</v>
      </c>
      <c r="I102" s="406" t="s">
        <v>229</v>
      </c>
      <c r="J102" s="424">
        <v>43098</v>
      </c>
      <c r="K102" s="400"/>
      <c r="L102" s="400"/>
      <c r="M102" s="406" t="s">
        <v>2853</v>
      </c>
      <c r="N102" s="406" t="s">
        <v>2088</v>
      </c>
      <c r="O102" s="424">
        <v>43066</v>
      </c>
      <c r="P102" s="406" t="s">
        <v>3061</v>
      </c>
      <c r="Q102" s="406" t="s">
        <v>2832</v>
      </c>
      <c r="R102" s="412" t="s">
        <v>5068</v>
      </c>
      <c r="S102" s="419">
        <f t="shared" si="1"/>
        <v>54</v>
      </c>
    </row>
    <row r="103" spans="1:19" ht="25.35" customHeight="1" x14ac:dyDescent="0.2">
      <c r="A103" s="408" t="s">
        <v>3998</v>
      </c>
      <c r="B103" s="422">
        <v>43020</v>
      </c>
      <c r="C103" s="410" t="s">
        <v>3999</v>
      </c>
      <c r="D103" s="403" t="s">
        <v>3307</v>
      </c>
      <c r="E103" s="404" t="s">
        <v>2971</v>
      </c>
      <c r="F103" s="404">
        <v>1</v>
      </c>
      <c r="G103" s="404" t="s">
        <v>2841</v>
      </c>
      <c r="H103" s="404" t="s">
        <v>615</v>
      </c>
      <c r="I103" s="404" t="s">
        <v>229</v>
      </c>
      <c r="J103" s="422">
        <v>43098</v>
      </c>
      <c r="K103" s="437"/>
      <c r="L103" s="437"/>
      <c r="M103" s="404" t="s">
        <v>2853</v>
      </c>
      <c r="N103" s="404" t="s">
        <v>3022</v>
      </c>
      <c r="O103" s="422">
        <v>43391</v>
      </c>
      <c r="P103" s="404" t="s">
        <v>3022</v>
      </c>
      <c r="Q103" s="404" t="s">
        <v>2839</v>
      </c>
      <c r="R103" s="423"/>
      <c r="S103" s="420">
        <f t="shared" si="1"/>
        <v>371</v>
      </c>
    </row>
    <row r="104" spans="1:19" ht="25.35" customHeight="1" x14ac:dyDescent="0.2">
      <c r="A104" s="407" t="s">
        <v>4000</v>
      </c>
      <c r="B104" s="424">
        <v>43025</v>
      </c>
      <c r="C104" s="409" t="s">
        <v>4001</v>
      </c>
      <c r="D104" s="405" t="s">
        <v>3873</v>
      </c>
      <c r="E104" s="406" t="s">
        <v>2971</v>
      </c>
      <c r="F104" s="406">
        <v>1</v>
      </c>
      <c r="G104" s="406" t="s">
        <v>2841</v>
      </c>
      <c r="H104" s="406" t="s">
        <v>229</v>
      </c>
      <c r="I104" s="406" t="s">
        <v>229</v>
      </c>
      <c r="J104" s="424">
        <v>43039</v>
      </c>
      <c r="K104" s="400"/>
      <c r="L104" s="400"/>
      <c r="M104" s="406" t="s">
        <v>2853</v>
      </c>
      <c r="N104" s="406" t="s">
        <v>2088</v>
      </c>
      <c r="O104" s="424">
        <v>43041</v>
      </c>
      <c r="P104" s="406" t="s">
        <v>3061</v>
      </c>
      <c r="Q104" s="406" t="s">
        <v>2829</v>
      </c>
      <c r="R104" s="412"/>
      <c r="S104" s="419">
        <f t="shared" si="1"/>
        <v>16</v>
      </c>
    </row>
    <row r="105" spans="1:19" ht="25.35" customHeight="1" x14ac:dyDescent="0.2">
      <c r="A105" s="408" t="s">
        <v>4002</v>
      </c>
      <c r="B105" s="422">
        <v>43028</v>
      </c>
      <c r="C105" s="410" t="s">
        <v>4003</v>
      </c>
      <c r="D105" s="403" t="s">
        <v>3873</v>
      </c>
      <c r="E105" s="404" t="s">
        <v>2971</v>
      </c>
      <c r="F105" s="404">
        <v>1</v>
      </c>
      <c r="G105" s="404" t="s">
        <v>2841</v>
      </c>
      <c r="H105" s="404" t="s">
        <v>229</v>
      </c>
      <c r="I105" s="404" t="s">
        <v>229</v>
      </c>
      <c r="J105" s="422">
        <v>43049</v>
      </c>
      <c r="K105" s="437"/>
      <c r="L105" s="437"/>
      <c r="M105" s="404" t="s">
        <v>2853</v>
      </c>
      <c r="N105" s="404" t="s">
        <v>2088</v>
      </c>
      <c r="O105" s="422">
        <v>43049</v>
      </c>
      <c r="P105" s="404" t="s">
        <v>3061</v>
      </c>
      <c r="Q105" s="404" t="s">
        <v>2829</v>
      </c>
      <c r="R105" s="423"/>
      <c r="S105" s="420">
        <f t="shared" si="1"/>
        <v>21</v>
      </c>
    </row>
    <row r="106" spans="1:19" ht="25.35" customHeight="1" x14ac:dyDescent="0.2">
      <c r="A106" s="407" t="s">
        <v>4004</v>
      </c>
      <c r="B106" s="424">
        <v>43028</v>
      </c>
      <c r="C106" s="409" t="s">
        <v>4005</v>
      </c>
      <c r="D106" s="405" t="s">
        <v>4006</v>
      </c>
      <c r="E106" s="406" t="s">
        <v>3825</v>
      </c>
      <c r="F106" s="406">
        <v>1</v>
      </c>
      <c r="G106" s="406" t="s">
        <v>2828</v>
      </c>
      <c r="H106" s="406" t="s">
        <v>2058</v>
      </c>
      <c r="I106" s="406" t="s">
        <v>3211</v>
      </c>
      <c r="J106" s="424">
        <v>43059</v>
      </c>
      <c r="K106" s="400"/>
      <c r="L106" s="400"/>
      <c r="M106" s="406" t="s">
        <v>1056</v>
      </c>
      <c r="N106" s="406" t="s">
        <v>2088</v>
      </c>
      <c r="O106" s="424">
        <v>43033</v>
      </c>
      <c r="P106" s="406" t="s">
        <v>4224</v>
      </c>
      <c r="Q106" s="406" t="s">
        <v>2829</v>
      </c>
      <c r="R106" s="409" t="s">
        <v>4009</v>
      </c>
      <c r="S106" s="419">
        <f t="shared" si="1"/>
        <v>5</v>
      </c>
    </row>
    <row r="107" spans="1:19" ht="25.35" customHeight="1" x14ac:dyDescent="0.2">
      <c r="A107" s="408" t="s">
        <v>4007</v>
      </c>
      <c r="B107" s="422">
        <v>43031</v>
      </c>
      <c r="C107" s="410" t="s">
        <v>4008</v>
      </c>
      <c r="D107" s="403" t="s">
        <v>3873</v>
      </c>
      <c r="E107" s="404" t="s">
        <v>2971</v>
      </c>
      <c r="F107" s="404">
        <v>1</v>
      </c>
      <c r="G107" s="404" t="s">
        <v>2841</v>
      </c>
      <c r="H107" s="404" t="s">
        <v>229</v>
      </c>
      <c r="I107" s="404" t="s">
        <v>229</v>
      </c>
      <c r="J107" s="422">
        <v>43069</v>
      </c>
      <c r="K107" s="437"/>
      <c r="L107" s="437"/>
      <c r="M107" s="404" t="s">
        <v>2853</v>
      </c>
      <c r="N107" s="404" t="s">
        <v>2088</v>
      </c>
      <c r="O107" s="422">
        <v>43054</v>
      </c>
      <c r="P107" s="406" t="s">
        <v>4224</v>
      </c>
      <c r="Q107" s="404" t="s">
        <v>2832</v>
      </c>
      <c r="R107" s="423"/>
      <c r="S107" s="420">
        <f t="shared" si="1"/>
        <v>23</v>
      </c>
    </row>
    <row r="108" spans="1:19" ht="25.35" customHeight="1" x14ac:dyDescent="0.2">
      <c r="A108" s="407" t="s">
        <v>4010</v>
      </c>
      <c r="B108" s="424">
        <v>43033</v>
      </c>
      <c r="C108" s="409" t="s">
        <v>4011</v>
      </c>
      <c r="D108" s="405" t="s">
        <v>3873</v>
      </c>
      <c r="E108" s="406" t="s">
        <v>2971</v>
      </c>
      <c r="F108" s="406">
        <v>1</v>
      </c>
      <c r="G108" s="406" t="s">
        <v>2841</v>
      </c>
      <c r="H108" s="406" t="s">
        <v>229</v>
      </c>
      <c r="I108" s="406" t="s">
        <v>229</v>
      </c>
      <c r="J108" s="424">
        <v>43069</v>
      </c>
      <c r="K108" s="400"/>
      <c r="L108" s="400"/>
      <c r="M108" s="406" t="s">
        <v>2853</v>
      </c>
      <c r="N108" s="406" t="s">
        <v>2088</v>
      </c>
      <c r="O108" s="424">
        <v>43053</v>
      </c>
      <c r="P108" s="406" t="s">
        <v>4224</v>
      </c>
      <c r="Q108" s="406" t="s">
        <v>2829</v>
      </c>
      <c r="R108" s="412"/>
      <c r="S108" s="419">
        <f t="shared" si="1"/>
        <v>20</v>
      </c>
    </row>
    <row r="109" spans="1:19" ht="25.35" customHeight="1" x14ac:dyDescent="0.2">
      <c r="A109" s="408" t="s">
        <v>4012</v>
      </c>
      <c r="B109" s="422">
        <v>43033</v>
      </c>
      <c r="C109" s="410" t="s">
        <v>4013</v>
      </c>
      <c r="D109" s="403" t="s">
        <v>3873</v>
      </c>
      <c r="E109" s="404" t="s">
        <v>2971</v>
      </c>
      <c r="F109" s="404">
        <v>1</v>
      </c>
      <c r="G109" s="404" t="s">
        <v>2841</v>
      </c>
      <c r="H109" s="404" t="s">
        <v>229</v>
      </c>
      <c r="I109" s="404" t="s">
        <v>229</v>
      </c>
      <c r="J109" s="422">
        <v>43069</v>
      </c>
      <c r="K109" s="437"/>
      <c r="L109" s="437"/>
      <c r="M109" s="404" t="s">
        <v>2853</v>
      </c>
      <c r="N109" s="404" t="s">
        <v>2088</v>
      </c>
      <c r="O109" s="422">
        <v>43054</v>
      </c>
      <c r="P109" s="406" t="s">
        <v>4224</v>
      </c>
      <c r="Q109" s="404" t="s">
        <v>2829</v>
      </c>
      <c r="R109" s="423"/>
      <c r="S109" s="420">
        <f t="shared" si="1"/>
        <v>21</v>
      </c>
    </row>
    <row r="110" spans="1:19" ht="25.35" customHeight="1" x14ac:dyDescent="0.2">
      <c r="A110" s="407" t="s">
        <v>4014</v>
      </c>
      <c r="B110" s="424">
        <v>43034</v>
      </c>
      <c r="C110" s="409" t="s">
        <v>4015</v>
      </c>
      <c r="D110" s="405" t="s">
        <v>4016</v>
      </c>
      <c r="E110" s="406" t="s">
        <v>2971</v>
      </c>
      <c r="F110" s="406">
        <v>1</v>
      </c>
      <c r="G110" s="406" t="s">
        <v>2841</v>
      </c>
      <c r="H110" s="406" t="s">
        <v>229</v>
      </c>
      <c r="I110" s="406" t="s">
        <v>229</v>
      </c>
      <c r="J110" s="424">
        <v>43069</v>
      </c>
      <c r="K110" s="400"/>
      <c r="L110" s="400"/>
      <c r="M110" s="406" t="s">
        <v>2853</v>
      </c>
      <c r="N110" s="406" t="s">
        <v>2088</v>
      </c>
      <c r="O110" s="424">
        <v>43048</v>
      </c>
      <c r="P110" s="406" t="s">
        <v>4224</v>
      </c>
      <c r="Q110" s="406" t="s">
        <v>2829</v>
      </c>
      <c r="R110" s="412"/>
      <c r="S110" s="419">
        <f t="shared" si="1"/>
        <v>14</v>
      </c>
    </row>
    <row r="111" spans="1:19" ht="22.5" x14ac:dyDescent="0.2">
      <c r="A111" s="408" t="s">
        <v>4017</v>
      </c>
      <c r="B111" s="422">
        <v>43034</v>
      </c>
      <c r="C111" s="411" t="s">
        <v>4018</v>
      </c>
      <c r="D111" s="403" t="s">
        <v>4019</v>
      </c>
      <c r="E111" s="404" t="s">
        <v>3667</v>
      </c>
      <c r="F111" s="404">
        <v>1</v>
      </c>
      <c r="G111" s="404" t="s">
        <v>2828</v>
      </c>
      <c r="H111" s="404" t="s">
        <v>3167</v>
      </c>
      <c r="I111" s="404" t="s">
        <v>3211</v>
      </c>
      <c r="J111" s="422">
        <v>43065</v>
      </c>
      <c r="K111" s="437"/>
      <c r="L111" s="437"/>
      <c r="M111" s="404" t="s">
        <v>2853</v>
      </c>
      <c r="N111" s="404" t="s">
        <v>2088</v>
      </c>
      <c r="O111" s="422">
        <v>43061</v>
      </c>
      <c r="P111" s="406" t="s">
        <v>4224</v>
      </c>
      <c r="Q111" s="404" t="s">
        <v>2829</v>
      </c>
      <c r="R111" s="423"/>
      <c r="S111" s="420">
        <f t="shared" si="1"/>
        <v>27</v>
      </c>
    </row>
    <row r="112" spans="1:19" ht="25.35" customHeight="1" x14ac:dyDescent="0.2">
      <c r="A112" s="407" t="s">
        <v>4020</v>
      </c>
      <c r="B112" s="424">
        <v>43034</v>
      </c>
      <c r="C112" s="409" t="s">
        <v>4022</v>
      </c>
      <c r="D112" s="405" t="s">
        <v>4016</v>
      </c>
      <c r="E112" s="406" t="s">
        <v>2971</v>
      </c>
      <c r="F112" s="406">
        <v>1</v>
      </c>
      <c r="G112" s="406" t="s">
        <v>2841</v>
      </c>
      <c r="H112" s="406" t="s">
        <v>4021</v>
      </c>
      <c r="I112" s="406" t="s">
        <v>229</v>
      </c>
      <c r="J112" s="424">
        <v>43098</v>
      </c>
      <c r="K112" s="400"/>
      <c r="L112" s="400"/>
      <c r="M112" s="406" t="s">
        <v>2853</v>
      </c>
      <c r="N112" s="406" t="s">
        <v>2088</v>
      </c>
      <c r="O112" s="424">
        <v>43039</v>
      </c>
      <c r="P112" s="406" t="s">
        <v>3061</v>
      </c>
      <c r="Q112" s="406" t="s">
        <v>2829</v>
      </c>
      <c r="R112" s="412"/>
      <c r="S112" s="419">
        <f t="shared" si="1"/>
        <v>5</v>
      </c>
    </row>
    <row r="113" spans="1:19" ht="25.35" customHeight="1" x14ac:dyDescent="0.2">
      <c r="A113" s="408" t="s">
        <v>4023</v>
      </c>
      <c r="B113" s="422">
        <v>43034</v>
      </c>
      <c r="C113" s="423" t="s">
        <v>4024</v>
      </c>
      <c r="D113" s="410" t="s">
        <v>4025</v>
      </c>
      <c r="E113" s="404" t="s">
        <v>2971</v>
      </c>
      <c r="F113" s="404">
        <v>1</v>
      </c>
      <c r="G113" s="404" t="s">
        <v>2841</v>
      </c>
      <c r="H113" s="404" t="s">
        <v>229</v>
      </c>
      <c r="I113" s="404" t="s">
        <v>229</v>
      </c>
      <c r="J113" s="422">
        <v>43131</v>
      </c>
      <c r="K113" s="437"/>
      <c r="L113" s="437"/>
      <c r="M113" s="404" t="s">
        <v>2853</v>
      </c>
      <c r="N113" s="404" t="s">
        <v>3022</v>
      </c>
      <c r="O113" s="422">
        <v>43195</v>
      </c>
      <c r="P113" s="404" t="s">
        <v>3022</v>
      </c>
      <c r="Q113" s="404" t="s">
        <v>2835</v>
      </c>
      <c r="R113" s="423"/>
      <c r="S113" s="420">
        <f t="shared" si="1"/>
        <v>161</v>
      </c>
    </row>
    <row r="114" spans="1:19" ht="25.35" customHeight="1" x14ac:dyDescent="0.2">
      <c r="A114" s="407" t="s">
        <v>4026</v>
      </c>
      <c r="B114" s="424">
        <v>43035</v>
      </c>
      <c r="C114" s="412" t="s">
        <v>4027</v>
      </c>
      <c r="D114" s="409" t="s">
        <v>4028</v>
      </c>
      <c r="E114" s="406" t="s">
        <v>3586</v>
      </c>
      <c r="F114" s="406">
        <v>1</v>
      </c>
      <c r="G114" s="406" t="s">
        <v>2828</v>
      </c>
      <c r="H114" s="406" t="s">
        <v>3167</v>
      </c>
      <c r="I114" s="406" t="s">
        <v>441</v>
      </c>
      <c r="J114" s="424">
        <v>43066</v>
      </c>
      <c r="K114" s="400"/>
      <c r="L114" s="400"/>
      <c r="M114" s="406" t="s">
        <v>2853</v>
      </c>
      <c r="N114" s="406" t="s">
        <v>2088</v>
      </c>
      <c r="O114" s="424">
        <v>43038</v>
      </c>
      <c r="P114" s="406" t="s">
        <v>4224</v>
      </c>
      <c r="Q114" s="406" t="s">
        <v>2829</v>
      </c>
      <c r="R114" s="412"/>
      <c r="S114" s="419">
        <f t="shared" si="1"/>
        <v>3</v>
      </c>
    </row>
    <row r="115" spans="1:19" ht="25.35" customHeight="1" x14ac:dyDescent="0.2">
      <c r="A115" s="408" t="s">
        <v>4029</v>
      </c>
      <c r="B115" s="422">
        <v>43038</v>
      </c>
      <c r="C115" s="410" t="s">
        <v>4031</v>
      </c>
      <c r="D115" s="410" t="s">
        <v>4030</v>
      </c>
      <c r="E115" s="404" t="s">
        <v>3969</v>
      </c>
      <c r="F115" s="404">
        <v>1</v>
      </c>
      <c r="G115" s="404" t="s">
        <v>2828</v>
      </c>
      <c r="H115" s="404" t="s">
        <v>3423</v>
      </c>
      <c r="I115" s="404" t="s">
        <v>3211</v>
      </c>
      <c r="J115" s="422">
        <v>43069</v>
      </c>
      <c r="K115" s="437"/>
      <c r="L115" s="437"/>
      <c r="M115" s="404" t="s">
        <v>2853</v>
      </c>
      <c r="N115" s="404" t="s">
        <v>2088</v>
      </c>
      <c r="O115" s="422">
        <v>43046</v>
      </c>
      <c r="P115" s="406" t="s">
        <v>4224</v>
      </c>
      <c r="Q115" s="404" t="s">
        <v>2829</v>
      </c>
      <c r="R115" s="423"/>
      <c r="S115" s="420">
        <f t="shared" si="1"/>
        <v>8</v>
      </c>
    </row>
    <row r="116" spans="1:19" ht="25.35" customHeight="1" x14ac:dyDescent="0.2">
      <c r="A116" s="407" t="s">
        <v>4032</v>
      </c>
      <c r="B116" s="424">
        <v>43039</v>
      </c>
      <c r="C116" s="409" t="s">
        <v>4034</v>
      </c>
      <c r="D116" s="409" t="s">
        <v>4035</v>
      </c>
      <c r="E116" s="406" t="s">
        <v>4033</v>
      </c>
      <c r="F116" s="406">
        <v>1</v>
      </c>
      <c r="G116" s="406" t="s">
        <v>2828</v>
      </c>
      <c r="H116" s="406" t="s">
        <v>3423</v>
      </c>
      <c r="I116" s="406" t="s">
        <v>3211</v>
      </c>
      <c r="J116" s="424">
        <v>43053</v>
      </c>
      <c r="K116" s="400"/>
      <c r="L116" s="400"/>
      <c r="M116" s="406" t="s">
        <v>2853</v>
      </c>
      <c r="N116" s="406" t="s">
        <v>2088</v>
      </c>
      <c r="O116" s="424">
        <v>43040</v>
      </c>
      <c r="P116" s="406" t="s">
        <v>4224</v>
      </c>
      <c r="Q116" s="406" t="s">
        <v>2829</v>
      </c>
      <c r="R116" s="412"/>
      <c r="S116" s="419">
        <f t="shared" si="1"/>
        <v>1</v>
      </c>
    </row>
    <row r="117" spans="1:19" ht="25.35" customHeight="1" x14ac:dyDescent="0.2">
      <c r="A117" s="408" t="s">
        <v>4036</v>
      </c>
      <c r="B117" s="422">
        <v>43041</v>
      </c>
      <c r="C117" s="410" t="s">
        <v>4037</v>
      </c>
      <c r="D117" s="410" t="s">
        <v>4038</v>
      </c>
      <c r="E117" s="404" t="s">
        <v>3825</v>
      </c>
      <c r="F117" s="404">
        <v>2</v>
      </c>
      <c r="G117" s="404" t="s">
        <v>2828</v>
      </c>
      <c r="H117" s="404" t="s">
        <v>2058</v>
      </c>
      <c r="I117" s="404" t="s">
        <v>3211</v>
      </c>
      <c r="J117" s="422">
        <v>43071</v>
      </c>
      <c r="K117" s="437"/>
      <c r="L117" s="437"/>
      <c r="M117" s="404" t="s">
        <v>2853</v>
      </c>
      <c r="N117" s="404" t="s">
        <v>2088</v>
      </c>
      <c r="O117" s="422">
        <v>43041</v>
      </c>
      <c r="P117" s="406" t="s">
        <v>4224</v>
      </c>
      <c r="Q117" s="404" t="s">
        <v>2829</v>
      </c>
      <c r="R117" s="423"/>
      <c r="S117" s="420">
        <f t="shared" si="1"/>
        <v>0</v>
      </c>
    </row>
    <row r="118" spans="1:19" ht="25.35" customHeight="1" x14ac:dyDescent="0.2">
      <c r="A118" s="407" t="s">
        <v>4039</v>
      </c>
      <c r="B118" s="424">
        <v>43041</v>
      </c>
      <c r="C118" s="409" t="s">
        <v>4040</v>
      </c>
      <c r="D118" s="409" t="s">
        <v>4041</v>
      </c>
      <c r="E118" s="406" t="s">
        <v>2971</v>
      </c>
      <c r="F118" s="406">
        <v>1</v>
      </c>
      <c r="G118" s="406" t="s">
        <v>2841</v>
      </c>
      <c r="H118" s="406" t="s">
        <v>516</v>
      </c>
      <c r="I118" s="406" t="s">
        <v>229</v>
      </c>
      <c r="J118" s="424">
        <v>43098</v>
      </c>
      <c r="K118" s="400"/>
      <c r="L118" s="400"/>
      <c r="M118" s="406" t="s">
        <v>2853</v>
      </c>
      <c r="N118" s="406" t="s">
        <v>2088</v>
      </c>
      <c r="O118" s="424">
        <v>43070</v>
      </c>
      <c r="P118" s="406" t="s">
        <v>4224</v>
      </c>
      <c r="Q118" s="406" t="s">
        <v>2829</v>
      </c>
      <c r="R118" s="412"/>
      <c r="S118" s="419">
        <f t="shared" si="1"/>
        <v>29</v>
      </c>
    </row>
    <row r="119" spans="1:19" ht="25.35" customHeight="1" x14ac:dyDescent="0.2">
      <c r="A119" s="408" t="s">
        <v>4042</v>
      </c>
      <c r="B119" s="422">
        <v>43045</v>
      </c>
      <c r="C119" s="410" t="s">
        <v>4043</v>
      </c>
      <c r="D119" s="410" t="s">
        <v>4044</v>
      </c>
      <c r="E119" s="404" t="s">
        <v>3825</v>
      </c>
      <c r="F119" s="404">
        <v>1</v>
      </c>
      <c r="G119" s="404" t="s">
        <v>2828</v>
      </c>
      <c r="H119" s="404" t="s">
        <v>2058</v>
      </c>
      <c r="I119" s="404" t="s">
        <v>3926</v>
      </c>
      <c r="J119" s="422">
        <v>43075</v>
      </c>
      <c r="K119" s="437"/>
      <c r="L119" s="437"/>
      <c r="M119" s="404" t="s">
        <v>2853</v>
      </c>
      <c r="N119" s="404" t="s">
        <v>2088</v>
      </c>
      <c r="O119" s="422">
        <v>43045</v>
      </c>
      <c r="P119" s="406" t="s">
        <v>4224</v>
      </c>
      <c r="Q119" s="404" t="s">
        <v>2829</v>
      </c>
      <c r="R119" s="423"/>
      <c r="S119" s="420">
        <f t="shared" si="1"/>
        <v>0</v>
      </c>
    </row>
    <row r="120" spans="1:19" ht="25.35" customHeight="1" x14ac:dyDescent="0.2">
      <c r="A120" s="407" t="s">
        <v>4045</v>
      </c>
      <c r="B120" s="424">
        <v>43045</v>
      </c>
      <c r="C120" s="409" t="s">
        <v>4143</v>
      </c>
      <c r="D120" s="409" t="s">
        <v>4144</v>
      </c>
      <c r="E120" s="406" t="s">
        <v>3586</v>
      </c>
      <c r="F120" s="406">
        <v>1</v>
      </c>
      <c r="G120" s="406" t="s">
        <v>2828</v>
      </c>
      <c r="H120" s="406" t="s">
        <v>3167</v>
      </c>
      <c r="I120" s="406" t="s">
        <v>3211</v>
      </c>
      <c r="J120" s="424">
        <v>43131</v>
      </c>
      <c r="K120" s="400"/>
      <c r="L120" s="400"/>
      <c r="M120" s="406" t="s">
        <v>2853</v>
      </c>
      <c r="N120" s="406" t="s">
        <v>2088</v>
      </c>
      <c r="O120" s="424">
        <v>43124</v>
      </c>
      <c r="P120" s="406" t="s">
        <v>4224</v>
      </c>
      <c r="Q120" s="406" t="s">
        <v>2832</v>
      </c>
      <c r="R120" s="412"/>
      <c r="S120" s="419">
        <f t="shared" si="1"/>
        <v>79</v>
      </c>
    </row>
    <row r="121" spans="1:19" ht="25.35" customHeight="1" x14ac:dyDescent="0.2">
      <c r="A121" s="408" t="s">
        <v>4046</v>
      </c>
      <c r="B121" s="422">
        <v>43046</v>
      </c>
      <c r="C121" s="410" t="s">
        <v>4047</v>
      </c>
      <c r="D121" s="410" t="s">
        <v>4048</v>
      </c>
      <c r="E121" s="404" t="s">
        <v>2971</v>
      </c>
      <c r="F121" s="404">
        <v>1</v>
      </c>
      <c r="G121" s="404" t="s">
        <v>2828</v>
      </c>
      <c r="H121" s="404" t="s">
        <v>3211</v>
      </c>
      <c r="I121" s="404" t="s">
        <v>441</v>
      </c>
      <c r="J121" s="422">
        <v>43098</v>
      </c>
      <c r="K121" s="437"/>
      <c r="L121" s="437"/>
      <c r="M121" s="404" t="s">
        <v>2853</v>
      </c>
      <c r="N121" s="404" t="s">
        <v>2088</v>
      </c>
      <c r="O121" s="422">
        <v>43048</v>
      </c>
      <c r="P121" s="406" t="s">
        <v>4224</v>
      </c>
      <c r="Q121" s="404" t="s">
        <v>2829</v>
      </c>
      <c r="R121" s="423"/>
      <c r="S121" s="420">
        <f t="shared" si="1"/>
        <v>2</v>
      </c>
    </row>
    <row r="122" spans="1:19" ht="25.35" customHeight="1" x14ac:dyDescent="0.2">
      <c r="A122" s="407" t="s">
        <v>4049</v>
      </c>
      <c r="B122" s="424">
        <v>43047</v>
      </c>
      <c r="C122" s="409" t="s">
        <v>4052</v>
      </c>
      <c r="D122" s="409" t="s">
        <v>4053</v>
      </c>
      <c r="E122" s="406" t="s">
        <v>2971</v>
      </c>
      <c r="F122" s="406">
        <v>1</v>
      </c>
      <c r="G122" s="406" t="s">
        <v>2841</v>
      </c>
      <c r="H122" s="406" t="s">
        <v>2067</v>
      </c>
      <c r="I122" s="406" t="s">
        <v>229</v>
      </c>
      <c r="J122" s="424">
        <v>43098</v>
      </c>
      <c r="K122" s="400"/>
      <c r="L122" s="400"/>
      <c r="M122" s="406" t="s">
        <v>2853</v>
      </c>
      <c r="N122" s="406" t="s">
        <v>3022</v>
      </c>
      <c r="O122" s="424">
        <v>43209</v>
      </c>
      <c r="P122" s="406" t="s">
        <v>2912</v>
      </c>
      <c r="Q122" s="406" t="s">
        <v>2835</v>
      </c>
      <c r="R122" s="412"/>
      <c r="S122" s="419">
        <f t="shared" si="1"/>
        <v>162</v>
      </c>
    </row>
    <row r="123" spans="1:19" ht="25.35" customHeight="1" x14ac:dyDescent="0.2">
      <c r="A123" s="408" t="s">
        <v>4050</v>
      </c>
      <c r="B123" s="422">
        <v>43047</v>
      </c>
      <c r="C123" s="410" t="s">
        <v>4054</v>
      </c>
      <c r="D123" s="410" t="s">
        <v>3177</v>
      </c>
      <c r="E123" s="404" t="s">
        <v>2971</v>
      </c>
      <c r="F123" s="404">
        <v>1</v>
      </c>
      <c r="G123" s="404" t="s">
        <v>2841</v>
      </c>
      <c r="H123" s="404" t="s">
        <v>3211</v>
      </c>
      <c r="I123" s="404" t="s">
        <v>229</v>
      </c>
      <c r="J123" s="422">
        <v>43098</v>
      </c>
      <c r="K123" s="437"/>
      <c r="L123" s="437"/>
      <c r="M123" s="404" t="s">
        <v>2853</v>
      </c>
      <c r="N123" s="404" t="s">
        <v>2088</v>
      </c>
      <c r="O123" s="422">
        <v>43067</v>
      </c>
      <c r="P123" s="406" t="s">
        <v>4224</v>
      </c>
      <c r="Q123" s="404" t="s">
        <v>2829</v>
      </c>
      <c r="R123" s="423"/>
      <c r="S123" s="420">
        <f t="shared" si="1"/>
        <v>20</v>
      </c>
    </row>
    <row r="124" spans="1:19" ht="25.35" customHeight="1" x14ac:dyDescent="0.2">
      <c r="A124" s="407" t="s">
        <v>4051</v>
      </c>
      <c r="B124" s="424">
        <v>43047</v>
      </c>
      <c r="C124" s="409" t="s">
        <v>4055</v>
      </c>
      <c r="D124" s="409" t="s">
        <v>3873</v>
      </c>
      <c r="E124" s="406" t="s">
        <v>2971</v>
      </c>
      <c r="F124" s="406">
        <v>1</v>
      </c>
      <c r="G124" s="406" t="s">
        <v>2841</v>
      </c>
      <c r="H124" s="406" t="s">
        <v>229</v>
      </c>
      <c r="I124" s="406" t="s">
        <v>229</v>
      </c>
      <c r="J124" s="424">
        <v>43098</v>
      </c>
      <c r="K124" s="400"/>
      <c r="L124" s="400"/>
      <c r="M124" s="406" t="s">
        <v>2853</v>
      </c>
      <c r="N124" s="406" t="s">
        <v>2088</v>
      </c>
      <c r="O124" s="424">
        <v>43070</v>
      </c>
      <c r="P124" s="406" t="s">
        <v>4224</v>
      </c>
      <c r="Q124" s="406" t="s">
        <v>2829</v>
      </c>
      <c r="R124" s="412"/>
      <c r="S124" s="419">
        <f t="shared" si="1"/>
        <v>23</v>
      </c>
    </row>
    <row r="125" spans="1:19" ht="25.35" customHeight="1" x14ac:dyDescent="0.2">
      <c r="A125" s="408" t="s">
        <v>4056</v>
      </c>
      <c r="B125" s="422">
        <v>43047</v>
      </c>
      <c r="C125" s="410" t="s">
        <v>4057</v>
      </c>
      <c r="D125" s="410" t="s">
        <v>4058</v>
      </c>
      <c r="E125" s="404" t="s">
        <v>2971</v>
      </c>
      <c r="F125" s="404">
        <v>1</v>
      </c>
      <c r="G125" s="404" t="s">
        <v>2841</v>
      </c>
      <c r="H125" s="404" t="s">
        <v>229</v>
      </c>
      <c r="I125" s="404" t="s">
        <v>229</v>
      </c>
      <c r="J125" s="422">
        <v>43098</v>
      </c>
      <c r="K125" s="437"/>
      <c r="L125" s="437"/>
      <c r="M125" s="404" t="s">
        <v>2853</v>
      </c>
      <c r="N125" s="404" t="s">
        <v>2912</v>
      </c>
      <c r="O125" s="422">
        <v>43677</v>
      </c>
      <c r="P125" s="404" t="s">
        <v>3022</v>
      </c>
      <c r="Q125" s="404" t="s">
        <v>2839</v>
      </c>
      <c r="R125" s="423"/>
      <c r="S125" s="420">
        <f t="shared" si="1"/>
        <v>630</v>
      </c>
    </row>
    <row r="126" spans="1:19" ht="25.35" customHeight="1" x14ac:dyDescent="0.2">
      <c r="A126" s="407" t="s">
        <v>4059</v>
      </c>
      <c r="B126" s="424">
        <v>43047</v>
      </c>
      <c r="C126" s="409" t="s">
        <v>4060</v>
      </c>
      <c r="D126" s="409" t="s">
        <v>4061</v>
      </c>
      <c r="E126" s="406" t="s">
        <v>2971</v>
      </c>
      <c r="F126" s="406">
        <v>1</v>
      </c>
      <c r="G126" s="406" t="s">
        <v>2841</v>
      </c>
      <c r="H126" s="406" t="s">
        <v>3227</v>
      </c>
      <c r="I126" s="406" t="s">
        <v>229</v>
      </c>
      <c r="J126" s="424">
        <v>43098</v>
      </c>
      <c r="K126" s="400"/>
      <c r="L126" s="400"/>
      <c r="M126" s="406" t="s">
        <v>2853</v>
      </c>
      <c r="N126" s="406" t="s">
        <v>2088</v>
      </c>
      <c r="O126" s="424">
        <v>43055</v>
      </c>
      <c r="P126" s="406" t="s">
        <v>3061</v>
      </c>
      <c r="Q126" s="406" t="s">
        <v>2829</v>
      </c>
      <c r="R126" s="412"/>
      <c r="S126" s="419">
        <f t="shared" si="1"/>
        <v>8</v>
      </c>
    </row>
    <row r="127" spans="1:19" ht="25.35" customHeight="1" x14ac:dyDescent="0.2">
      <c r="A127" s="408" t="s">
        <v>4062</v>
      </c>
      <c r="B127" s="422">
        <v>43052</v>
      </c>
      <c r="C127" s="410" t="s">
        <v>4063</v>
      </c>
      <c r="D127" s="410" t="s">
        <v>4048</v>
      </c>
      <c r="E127" s="404" t="s">
        <v>2971</v>
      </c>
      <c r="F127" s="404">
        <v>1</v>
      </c>
      <c r="G127" s="404" t="s">
        <v>2841</v>
      </c>
      <c r="H127" s="404" t="s">
        <v>3167</v>
      </c>
      <c r="I127" s="404" t="s">
        <v>3211</v>
      </c>
      <c r="J127" s="422">
        <v>43098</v>
      </c>
      <c r="K127" s="437"/>
      <c r="L127" s="437"/>
      <c r="M127" s="404" t="s">
        <v>2853</v>
      </c>
      <c r="N127" s="404" t="s">
        <v>2088</v>
      </c>
      <c r="O127" s="422">
        <v>43280</v>
      </c>
      <c r="P127" s="404" t="s">
        <v>3022</v>
      </c>
      <c r="Q127" s="404" t="s">
        <v>2837</v>
      </c>
      <c r="R127" s="423"/>
      <c r="S127" s="420">
        <f t="shared" si="1"/>
        <v>228</v>
      </c>
    </row>
    <row r="128" spans="1:19" ht="25.35" customHeight="1" x14ac:dyDescent="0.2">
      <c r="A128" s="407" t="s">
        <v>4064</v>
      </c>
      <c r="B128" s="424">
        <v>43054</v>
      </c>
      <c r="C128" s="409" t="s">
        <v>4065</v>
      </c>
      <c r="D128" s="409" t="s">
        <v>4066</v>
      </c>
      <c r="E128" s="406" t="s">
        <v>3519</v>
      </c>
      <c r="F128" s="406">
        <v>1</v>
      </c>
      <c r="G128" s="406" t="s">
        <v>2828</v>
      </c>
      <c r="H128" s="406" t="s">
        <v>3842</v>
      </c>
      <c r="I128" s="406" t="s">
        <v>3211</v>
      </c>
      <c r="J128" s="424">
        <v>43069</v>
      </c>
      <c r="K128" s="400"/>
      <c r="L128" s="400"/>
      <c r="M128" s="406" t="s">
        <v>2853</v>
      </c>
      <c r="N128" s="406" t="s">
        <v>2088</v>
      </c>
      <c r="O128" s="424">
        <v>43056</v>
      </c>
      <c r="P128" s="406" t="s">
        <v>3061</v>
      </c>
      <c r="Q128" s="406" t="s">
        <v>2829</v>
      </c>
      <c r="R128" s="412"/>
      <c r="S128" s="419">
        <f t="shared" si="1"/>
        <v>2</v>
      </c>
    </row>
    <row r="129" spans="1:19" ht="25.35" customHeight="1" x14ac:dyDescent="0.2">
      <c r="A129" s="408" t="s">
        <v>4067</v>
      </c>
      <c r="B129" s="422">
        <v>43054</v>
      </c>
      <c r="C129" s="410" t="s">
        <v>4068</v>
      </c>
      <c r="D129" s="410" t="s">
        <v>4069</v>
      </c>
      <c r="E129" s="404" t="s">
        <v>3825</v>
      </c>
      <c r="F129" s="404">
        <v>1</v>
      </c>
      <c r="G129" s="404" t="s">
        <v>2828</v>
      </c>
      <c r="H129" s="404" t="s">
        <v>2058</v>
      </c>
      <c r="I129" s="404" t="s">
        <v>3211</v>
      </c>
      <c r="J129" s="422">
        <v>43084</v>
      </c>
      <c r="K129" s="437"/>
      <c r="L129" s="437"/>
      <c r="M129" s="404" t="s">
        <v>2853</v>
      </c>
      <c r="N129" s="404" t="s">
        <v>2088</v>
      </c>
      <c r="O129" s="422">
        <v>43056</v>
      </c>
      <c r="P129" s="404" t="s">
        <v>3061</v>
      </c>
      <c r="Q129" s="404" t="s">
        <v>2829</v>
      </c>
      <c r="R129" s="423"/>
      <c r="S129" s="420">
        <f t="shared" si="1"/>
        <v>2</v>
      </c>
    </row>
    <row r="130" spans="1:19" ht="25.35" customHeight="1" x14ac:dyDescent="0.2">
      <c r="A130" s="407" t="s">
        <v>4070</v>
      </c>
      <c r="B130" s="424">
        <v>43054</v>
      </c>
      <c r="C130" s="409" t="s">
        <v>4071</v>
      </c>
      <c r="D130" s="409" t="s">
        <v>3873</v>
      </c>
      <c r="E130" s="406" t="s">
        <v>2971</v>
      </c>
      <c r="F130" s="406">
        <v>1</v>
      </c>
      <c r="G130" s="406" t="s">
        <v>2841</v>
      </c>
      <c r="H130" s="406" t="s">
        <v>229</v>
      </c>
      <c r="I130" s="406" t="s">
        <v>229</v>
      </c>
      <c r="J130" s="424">
        <v>43098</v>
      </c>
      <c r="K130" s="400"/>
      <c r="L130" s="400"/>
      <c r="M130" s="406" t="s">
        <v>2853</v>
      </c>
      <c r="N130" s="406" t="s">
        <v>2088</v>
      </c>
      <c r="O130" s="424">
        <v>43061</v>
      </c>
      <c r="P130" s="406" t="s">
        <v>3061</v>
      </c>
      <c r="Q130" s="406" t="s">
        <v>2829</v>
      </c>
      <c r="R130" s="412"/>
      <c r="S130" s="419">
        <f t="shared" si="1"/>
        <v>7</v>
      </c>
    </row>
    <row r="131" spans="1:19" ht="38.25" x14ac:dyDescent="0.2">
      <c r="A131" s="408" t="s">
        <v>4072</v>
      </c>
      <c r="B131" s="422">
        <v>43055</v>
      </c>
      <c r="C131" s="410" t="s">
        <v>4073</v>
      </c>
      <c r="D131" s="410" t="s">
        <v>3873</v>
      </c>
      <c r="E131" s="404" t="s">
        <v>3825</v>
      </c>
      <c r="F131" s="404">
        <v>1</v>
      </c>
      <c r="G131" s="404" t="s">
        <v>2838</v>
      </c>
      <c r="H131" s="404" t="s">
        <v>685</v>
      </c>
      <c r="I131" s="404" t="s">
        <v>229</v>
      </c>
      <c r="J131" s="422">
        <v>43056</v>
      </c>
      <c r="K131" s="437"/>
      <c r="L131" s="437"/>
      <c r="M131" s="404" t="s">
        <v>2853</v>
      </c>
      <c r="N131" s="404" t="s">
        <v>2088</v>
      </c>
      <c r="O131" s="422">
        <v>43056</v>
      </c>
      <c r="P131" s="404" t="s">
        <v>3061</v>
      </c>
      <c r="Q131" s="404" t="s">
        <v>2829</v>
      </c>
      <c r="R131" s="423"/>
      <c r="S131" s="420">
        <f t="shared" ref="S131:S148" si="2">O131-B131</f>
        <v>1</v>
      </c>
    </row>
    <row r="132" spans="1:19" ht="25.5" x14ac:dyDescent="0.2">
      <c r="A132" s="407" t="s">
        <v>4074</v>
      </c>
      <c r="B132" s="424">
        <v>43056</v>
      </c>
      <c r="C132" s="409" t="s">
        <v>4075</v>
      </c>
      <c r="D132" s="409" t="s">
        <v>3873</v>
      </c>
      <c r="E132" s="406" t="s">
        <v>2971</v>
      </c>
      <c r="F132" s="406">
        <v>1</v>
      </c>
      <c r="G132" s="406" t="s">
        <v>2836</v>
      </c>
      <c r="H132" s="406" t="s">
        <v>2106</v>
      </c>
      <c r="I132" s="406" t="s">
        <v>3211</v>
      </c>
      <c r="J132" s="425" t="s">
        <v>4564</v>
      </c>
      <c r="K132" s="400"/>
      <c r="L132" s="400"/>
      <c r="M132" s="406" t="s">
        <v>5056</v>
      </c>
      <c r="N132" s="406" t="s">
        <v>4224</v>
      </c>
      <c r="O132" s="424">
        <v>43656</v>
      </c>
      <c r="P132" s="406" t="s">
        <v>3022</v>
      </c>
      <c r="Q132" s="406" t="s">
        <v>2839</v>
      </c>
      <c r="R132" s="412"/>
      <c r="S132" s="419">
        <f t="shared" si="2"/>
        <v>600</v>
      </c>
    </row>
    <row r="133" spans="1:19" ht="12.75" x14ac:dyDescent="0.2">
      <c r="A133" s="408" t="s">
        <v>4076</v>
      </c>
      <c r="B133" s="422">
        <v>43059</v>
      </c>
      <c r="C133" s="410" t="s">
        <v>4077</v>
      </c>
      <c r="D133" s="410" t="s">
        <v>3307</v>
      </c>
      <c r="E133" s="404" t="s">
        <v>2971</v>
      </c>
      <c r="F133" s="404">
        <v>1</v>
      </c>
      <c r="G133" s="404" t="s">
        <v>2841</v>
      </c>
      <c r="H133" s="404" t="s">
        <v>4021</v>
      </c>
      <c r="I133" s="404" t="s">
        <v>229</v>
      </c>
      <c r="J133" s="422">
        <v>43098</v>
      </c>
      <c r="K133" s="437"/>
      <c r="L133" s="437"/>
      <c r="M133" s="404" t="s">
        <v>2853</v>
      </c>
      <c r="N133" s="404" t="s">
        <v>2088</v>
      </c>
      <c r="O133" s="422">
        <v>43087</v>
      </c>
      <c r="P133" s="404" t="s">
        <v>3061</v>
      </c>
      <c r="Q133" s="404" t="s">
        <v>2829</v>
      </c>
      <c r="R133" s="423"/>
      <c r="S133" s="420">
        <f t="shared" si="2"/>
        <v>28</v>
      </c>
    </row>
    <row r="134" spans="1:19" s="106" customFormat="1" ht="25.5" x14ac:dyDescent="0.2">
      <c r="A134" s="407" t="s">
        <v>4078</v>
      </c>
      <c r="B134" s="424">
        <v>43060</v>
      </c>
      <c r="C134" s="409" t="s">
        <v>4080</v>
      </c>
      <c r="D134" s="409" t="s">
        <v>4081</v>
      </c>
      <c r="E134" s="406" t="s">
        <v>3084</v>
      </c>
      <c r="F134" s="406">
        <v>1</v>
      </c>
      <c r="G134" s="406" t="s">
        <v>2828</v>
      </c>
      <c r="H134" s="406" t="s">
        <v>4079</v>
      </c>
      <c r="I134" s="406" t="s">
        <v>3926</v>
      </c>
      <c r="J134" s="424">
        <v>43098</v>
      </c>
      <c r="K134" s="400"/>
      <c r="L134" s="400"/>
      <c r="M134" s="406" t="s">
        <v>2853</v>
      </c>
      <c r="N134" s="406" t="s">
        <v>2088</v>
      </c>
      <c r="O134" s="424">
        <v>43112</v>
      </c>
      <c r="P134" s="406" t="s">
        <v>3022</v>
      </c>
      <c r="Q134" s="406" t="s">
        <v>2829</v>
      </c>
      <c r="R134" s="412" t="s">
        <v>4225</v>
      </c>
      <c r="S134" s="419">
        <f t="shared" si="2"/>
        <v>52</v>
      </c>
    </row>
    <row r="135" spans="1:19" ht="25.5" x14ac:dyDescent="0.2">
      <c r="A135" s="408" t="s">
        <v>4082</v>
      </c>
      <c r="B135" s="422">
        <v>43060</v>
      </c>
      <c r="C135" s="410" t="s">
        <v>4084</v>
      </c>
      <c r="D135" s="410" t="s">
        <v>4083</v>
      </c>
      <c r="E135" s="404" t="s">
        <v>2971</v>
      </c>
      <c r="F135" s="404">
        <v>1</v>
      </c>
      <c r="G135" s="404" t="s">
        <v>2841</v>
      </c>
      <c r="H135" s="404" t="s">
        <v>229</v>
      </c>
      <c r="I135" s="404" t="s">
        <v>229</v>
      </c>
      <c r="J135" s="422">
        <v>43098</v>
      </c>
      <c r="K135" s="437"/>
      <c r="L135" s="437"/>
      <c r="M135" s="404" t="s">
        <v>2853</v>
      </c>
      <c r="N135" s="404" t="s">
        <v>2088</v>
      </c>
      <c r="O135" s="422">
        <v>43081</v>
      </c>
      <c r="P135" s="404" t="s">
        <v>3061</v>
      </c>
      <c r="Q135" s="404" t="s">
        <v>2829</v>
      </c>
      <c r="R135" s="423"/>
      <c r="S135" s="420">
        <f t="shared" si="2"/>
        <v>21</v>
      </c>
    </row>
    <row r="136" spans="1:19" ht="38.25" x14ac:dyDescent="0.2">
      <c r="A136" s="407" t="s">
        <v>4085</v>
      </c>
      <c r="B136" s="424">
        <v>43061</v>
      </c>
      <c r="C136" s="409" t="s">
        <v>4087</v>
      </c>
      <c r="D136" s="409" t="s">
        <v>4086</v>
      </c>
      <c r="E136" s="406" t="s">
        <v>3764</v>
      </c>
      <c r="F136" s="406">
        <v>1</v>
      </c>
      <c r="G136" s="406" t="s">
        <v>2828</v>
      </c>
      <c r="H136" s="406" t="s">
        <v>4079</v>
      </c>
      <c r="I136" s="406" t="s">
        <v>3926</v>
      </c>
      <c r="J136" s="424">
        <v>43091</v>
      </c>
      <c r="K136" s="400"/>
      <c r="L136" s="400"/>
      <c r="M136" s="406" t="s">
        <v>2853</v>
      </c>
      <c r="N136" s="406" t="s">
        <v>2088</v>
      </c>
      <c r="O136" s="424">
        <v>43076</v>
      </c>
      <c r="P136" s="406" t="s">
        <v>3061</v>
      </c>
      <c r="Q136" s="406" t="s">
        <v>2829</v>
      </c>
      <c r="R136" s="412"/>
      <c r="S136" s="419">
        <f t="shared" si="2"/>
        <v>15</v>
      </c>
    </row>
    <row r="137" spans="1:19" ht="12.75" x14ac:dyDescent="0.2">
      <c r="A137" s="408" t="s">
        <v>4088</v>
      </c>
      <c r="B137" s="422">
        <v>43067</v>
      </c>
      <c r="C137" s="410" t="s">
        <v>4089</v>
      </c>
      <c r="D137" s="410" t="s">
        <v>4083</v>
      </c>
      <c r="E137" s="404" t="s">
        <v>2971</v>
      </c>
      <c r="F137" s="404">
        <v>1</v>
      </c>
      <c r="G137" s="404" t="s">
        <v>2841</v>
      </c>
      <c r="H137" s="404" t="s">
        <v>229</v>
      </c>
      <c r="I137" s="404" t="s">
        <v>229</v>
      </c>
      <c r="J137" s="422">
        <v>43098</v>
      </c>
      <c r="K137" s="437"/>
      <c r="L137" s="437"/>
      <c r="M137" s="404" t="s">
        <v>2853</v>
      </c>
      <c r="N137" s="404" t="s">
        <v>3022</v>
      </c>
      <c r="O137" s="422">
        <v>43209</v>
      </c>
      <c r="P137" s="404" t="s">
        <v>3022</v>
      </c>
      <c r="Q137" s="404" t="s">
        <v>2835</v>
      </c>
      <c r="R137" s="423"/>
      <c r="S137" s="420">
        <f t="shared" si="2"/>
        <v>142</v>
      </c>
    </row>
    <row r="138" spans="1:19" ht="38.25" x14ac:dyDescent="0.2">
      <c r="A138" s="407" t="s">
        <v>4090</v>
      </c>
      <c r="B138" s="424">
        <v>43073</v>
      </c>
      <c r="C138" s="409" t="s">
        <v>4091</v>
      </c>
      <c r="D138" s="409" t="s">
        <v>4048</v>
      </c>
      <c r="E138" s="406" t="s">
        <v>2971</v>
      </c>
      <c r="F138" s="406">
        <v>1</v>
      </c>
      <c r="G138" s="406" t="s">
        <v>2831</v>
      </c>
      <c r="H138" s="406" t="s">
        <v>685</v>
      </c>
      <c r="I138" s="406" t="s">
        <v>3645</v>
      </c>
      <c r="J138" s="424">
        <v>43098</v>
      </c>
      <c r="K138" s="400"/>
      <c r="L138" s="400"/>
      <c r="M138" s="406" t="s">
        <v>2853</v>
      </c>
      <c r="N138" s="406" t="s">
        <v>2088</v>
      </c>
      <c r="O138" s="424">
        <v>43117</v>
      </c>
      <c r="P138" s="406" t="s">
        <v>2912</v>
      </c>
      <c r="Q138" s="406" t="s">
        <v>2835</v>
      </c>
      <c r="R138" s="412"/>
      <c r="S138" s="419">
        <f t="shared" si="2"/>
        <v>44</v>
      </c>
    </row>
    <row r="139" spans="1:19" ht="12.75" x14ac:dyDescent="0.2">
      <c r="A139" s="408" t="s">
        <v>4092</v>
      </c>
      <c r="B139" s="422">
        <v>43073</v>
      </c>
      <c r="C139" s="410" t="s">
        <v>4093</v>
      </c>
      <c r="D139" s="410" t="s">
        <v>4048</v>
      </c>
      <c r="E139" s="404" t="s">
        <v>2971</v>
      </c>
      <c r="F139" s="404">
        <v>1</v>
      </c>
      <c r="G139" s="404" t="s">
        <v>2841</v>
      </c>
      <c r="H139" s="404" t="s">
        <v>3211</v>
      </c>
      <c r="I139" s="404" t="s">
        <v>229</v>
      </c>
      <c r="J139" s="422">
        <v>43098</v>
      </c>
      <c r="K139" s="437"/>
      <c r="L139" s="437"/>
      <c r="M139" s="404" t="s">
        <v>2853</v>
      </c>
      <c r="N139" s="404" t="s">
        <v>2088</v>
      </c>
      <c r="O139" s="422">
        <v>43096</v>
      </c>
      <c r="P139" s="404" t="s">
        <v>3061</v>
      </c>
      <c r="Q139" s="404" t="s">
        <v>2829</v>
      </c>
      <c r="R139" s="423"/>
      <c r="S139" s="420">
        <f t="shared" si="2"/>
        <v>23</v>
      </c>
    </row>
    <row r="140" spans="1:19" ht="25.5" x14ac:dyDescent="0.2">
      <c r="A140" s="407" t="s">
        <v>4095</v>
      </c>
      <c r="B140" s="424">
        <v>43075</v>
      </c>
      <c r="C140" s="409" t="s">
        <v>4096</v>
      </c>
      <c r="D140" s="409" t="s">
        <v>4097</v>
      </c>
      <c r="E140" s="406" t="s">
        <v>3617</v>
      </c>
      <c r="F140" s="406">
        <v>2</v>
      </c>
      <c r="G140" s="406" t="s">
        <v>2828</v>
      </c>
      <c r="H140" s="406" t="s">
        <v>3423</v>
      </c>
      <c r="I140" s="406" t="s">
        <v>3211</v>
      </c>
      <c r="J140" s="424">
        <v>43075</v>
      </c>
      <c r="K140" s="400"/>
      <c r="L140" s="400"/>
      <c r="M140" s="406" t="s">
        <v>2853</v>
      </c>
      <c r="N140" s="406" t="s">
        <v>2088</v>
      </c>
      <c r="O140" s="424">
        <v>43075</v>
      </c>
      <c r="P140" s="406" t="s">
        <v>4224</v>
      </c>
      <c r="Q140" s="406" t="s">
        <v>2829</v>
      </c>
      <c r="R140" s="412"/>
      <c r="S140" s="419">
        <f t="shared" si="2"/>
        <v>0</v>
      </c>
    </row>
    <row r="141" spans="1:19" ht="12.75" x14ac:dyDescent="0.2">
      <c r="A141" s="408" t="s">
        <v>4098</v>
      </c>
      <c r="B141" s="422">
        <v>43075</v>
      </c>
      <c r="C141" s="410" t="s">
        <v>4100</v>
      </c>
      <c r="D141" s="410" t="s">
        <v>3873</v>
      </c>
      <c r="E141" s="404" t="s">
        <v>2971</v>
      </c>
      <c r="F141" s="404">
        <v>1</v>
      </c>
      <c r="G141" s="404" t="s">
        <v>2841</v>
      </c>
      <c r="H141" s="404" t="s">
        <v>3211</v>
      </c>
      <c r="I141" s="404" t="s">
        <v>3211</v>
      </c>
      <c r="J141" s="422">
        <v>43098</v>
      </c>
      <c r="K141" s="437"/>
      <c r="L141" s="437"/>
      <c r="M141" s="404" t="s">
        <v>2853</v>
      </c>
      <c r="N141" s="404" t="s">
        <v>3022</v>
      </c>
      <c r="O141" s="422">
        <v>43209</v>
      </c>
      <c r="P141" s="406" t="s">
        <v>2912</v>
      </c>
      <c r="Q141" s="404" t="s">
        <v>2835</v>
      </c>
      <c r="R141" s="423"/>
      <c r="S141" s="420">
        <f t="shared" si="2"/>
        <v>134</v>
      </c>
    </row>
    <row r="142" spans="1:19" ht="12.75" x14ac:dyDescent="0.2">
      <c r="A142" s="407" t="s">
        <v>4099</v>
      </c>
      <c r="B142" s="424">
        <v>43075</v>
      </c>
      <c r="C142" s="409" t="s">
        <v>4101</v>
      </c>
      <c r="D142" s="409" t="s">
        <v>4102</v>
      </c>
      <c r="E142" s="406" t="s">
        <v>2971</v>
      </c>
      <c r="F142" s="406">
        <v>1</v>
      </c>
      <c r="G142" s="406" t="s">
        <v>2841</v>
      </c>
      <c r="H142" s="406" t="s">
        <v>4021</v>
      </c>
      <c r="I142" s="406" t="s">
        <v>3211</v>
      </c>
      <c r="J142" s="424">
        <v>43098</v>
      </c>
      <c r="K142" s="400"/>
      <c r="L142" s="400"/>
      <c r="M142" s="406" t="s">
        <v>2853</v>
      </c>
      <c r="N142" s="406" t="s">
        <v>3022</v>
      </c>
      <c r="O142" s="424">
        <v>43257</v>
      </c>
      <c r="P142" s="406" t="s">
        <v>2912</v>
      </c>
      <c r="Q142" s="406" t="s">
        <v>2835</v>
      </c>
      <c r="R142" s="412"/>
      <c r="S142" s="419">
        <f t="shared" si="2"/>
        <v>182</v>
      </c>
    </row>
    <row r="143" spans="1:19" ht="25.5" x14ac:dyDescent="0.2">
      <c r="A143" s="408" t="s">
        <v>4103</v>
      </c>
      <c r="B143" s="422">
        <v>43076</v>
      </c>
      <c r="C143" s="410" t="s">
        <v>4104</v>
      </c>
      <c r="D143" s="410" t="s">
        <v>4105</v>
      </c>
      <c r="E143" s="404" t="s">
        <v>2971</v>
      </c>
      <c r="F143" s="404">
        <v>1</v>
      </c>
      <c r="G143" s="404" t="s">
        <v>2841</v>
      </c>
      <c r="H143" s="404" t="s">
        <v>3227</v>
      </c>
      <c r="I143" s="404" t="s">
        <v>3211</v>
      </c>
      <c r="J143" s="422">
        <v>43098</v>
      </c>
      <c r="K143" s="437"/>
      <c r="L143" s="437"/>
      <c r="M143" s="404" t="s">
        <v>2853</v>
      </c>
      <c r="N143" s="404" t="s">
        <v>4304</v>
      </c>
      <c r="O143" s="422">
        <v>43221</v>
      </c>
      <c r="P143" s="406" t="s">
        <v>2912</v>
      </c>
      <c r="Q143" s="404" t="s">
        <v>2835</v>
      </c>
      <c r="R143" s="423"/>
      <c r="S143" s="420">
        <f t="shared" si="2"/>
        <v>145</v>
      </c>
    </row>
    <row r="144" spans="1:19" ht="12.75" x14ac:dyDescent="0.2">
      <c r="A144" s="407" t="s">
        <v>4106</v>
      </c>
      <c r="B144" s="424">
        <v>43080</v>
      </c>
      <c r="C144" s="409" t="s">
        <v>4107</v>
      </c>
      <c r="D144" s="409" t="s">
        <v>4108</v>
      </c>
      <c r="E144" s="406" t="s">
        <v>2971</v>
      </c>
      <c r="F144" s="406">
        <v>1</v>
      </c>
      <c r="G144" s="406" t="s">
        <v>2838</v>
      </c>
      <c r="H144" s="406" t="s">
        <v>229</v>
      </c>
      <c r="I144" s="406" t="s">
        <v>229</v>
      </c>
      <c r="J144" s="424">
        <v>43098</v>
      </c>
      <c r="K144" s="400"/>
      <c r="L144" s="400"/>
      <c r="M144" s="406" t="s">
        <v>2853</v>
      </c>
      <c r="N144" s="406" t="s">
        <v>2088</v>
      </c>
      <c r="O144" s="424">
        <v>43081</v>
      </c>
      <c r="P144" s="406" t="s">
        <v>3061</v>
      </c>
      <c r="Q144" s="406" t="s">
        <v>2829</v>
      </c>
      <c r="R144" s="412"/>
      <c r="S144" s="419">
        <f t="shared" si="2"/>
        <v>1</v>
      </c>
    </row>
    <row r="145" spans="1:21" ht="25.5" x14ac:dyDescent="0.2">
      <c r="A145" s="408" t="s">
        <v>4109</v>
      </c>
      <c r="B145" s="422">
        <v>43081</v>
      </c>
      <c r="C145" s="410" t="s">
        <v>4112</v>
      </c>
      <c r="D145" s="410" t="s">
        <v>4110</v>
      </c>
      <c r="E145" s="404" t="s">
        <v>4111</v>
      </c>
      <c r="F145" s="404">
        <v>1</v>
      </c>
      <c r="G145" s="404" t="s">
        <v>2828</v>
      </c>
      <c r="H145" s="404" t="s">
        <v>3975</v>
      </c>
      <c r="I145" s="404" t="s">
        <v>3926</v>
      </c>
      <c r="J145" s="422">
        <v>42747</v>
      </c>
      <c r="K145" s="437"/>
      <c r="L145" s="437"/>
      <c r="M145" s="404" t="s">
        <v>2853</v>
      </c>
      <c r="N145" s="404" t="s">
        <v>2088</v>
      </c>
      <c r="O145" s="422">
        <v>43081</v>
      </c>
      <c r="P145" s="404" t="s">
        <v>3061</v>
      </c>
      <c r="Q145" s="404" t="s">
        <v>2829</v>
      </c>
      <c r="R145" s="423"/>
      <c r="S145" s="420">
        <f t="shared" si="2"/>
        <v>0</v>
      </c>
    </row>
    <row r="146" spans="1:21" ht="76.5" x14ac:dyDescent="0.2">
      <c r="A146" s="407" t="s">
        <v>4113</v>
      </c>
      <c r="B146" s="424">
        <v>43089</v>
      </c>
      <c r="C146" s="409" t="s">
        <v>4114</v>
      </c>
      <c r="D146" s="413" t="s">
        <v>4115</v>
      </c>
      <c r="E146" s="406" t="s">
        <v>2971</v>
      </c>
      <c r="F146" s="406">
        <v>1</v>
      </c>
      <c r="G146" s="406" t="s">
        <v>2838</v>
      </c>
      <c r="H146" s="406" t="s">
        <v>516</v>
      </c>
      <c r="I146" s="406" t="s">
        <v>229</v>
      </c>
      <c r="J146" s="424">
        <v>43131</v>
      </c>
      <c r="K146" s="400"/>
      <c r="L146" s="400"/>
      <c r="M146" s="406" t="s">
        <v>2853</v>
      </c>
      <c r="N146" s="406" t="s">
        <v>2088</v>
      </c>
      <c r="O146" s="424">
        <v>43096</v>
      </c>
      <c r="P146" s="406" t="s">
        <v>3061</v>
      </c>
      <c r="Q146" s="406" t="s">
        <v>2829</v>
      </c>
      <c r="R146" s="412" t="s">
        <v>5068</v>
      </c>
      <c r="S146" s="419">
        <f t="shared" si="2"/>
        <v>7</v>
      </c>
    </row>
    <row r="147" spans="1:21" ht="25.5" x14ac:dyDescent="0.2">
      <c r="A147" s="408" t="s">
        <v>4116</v>
      </c>
      <c r="B147" s="422">
        <v>43091</v>
      </c>
      <c r="C147" s="410" t="s">
        <v>4117</v>
      </c>
      <c r="D147" s="414" t="s">
        <v>4118</v>
      </c>
      <c r="E147" s="404" t="s">
        <v>2971</v>
      </c>
      <c r="F147" s="404">
        <v>1</v>
      </c>
      <c r="G147" s="404" t="s">
        <v>2838</v>
      </c>
      <c r="H147" s="404" t="s">
        <v>4119</v>
      </c>
      <c r="I147" s="404" t="s">
        <v>3211</v>
      </c>
      <c r="J147" s="422">
        <v>43112</v>
      </c>
      <c r="K147" s="437"/>
      <c r="L147" s="437"/>
      <c r="M147" s="404" t="s">
        <v>2853</v>
      </c>
      <c r="N147" s="404" t="s">
        <v>2088</v>
      </c>
      <c r="O147" s="422">
        <v>43091</v>
      </c>
      <c r="P147" s="404" t="s">
        <v>3061</v>
      </c>
      <c r="Q147" s="404" t="s">
        <v>2829</v>
      </c>
      <c r="R147" s="423"/>
      <c r="S147" s="420">
        <f t="shared" si="2"/>
        <v>0</v>
      </c>
    </row>
    <row r="148" spans="1:21" ht="38.25" x14ac:dyDescent="0.2">
      <c r="A148" s="415" t="s">
        <v>4120</v>
      </c>
      <c r="B148" s="426">
        <v>43096</v>
      </c>
      <c r="C148" s="416" t="s">
        <v>4121</v>
      </c>
      <c r="D148" s="417" t="s">
        <v>4122</v>
      </c>
      <c r="E148" s="418" t="s">
        <v>3825</v>
      </c>
      <c r="F148" s="418">
        <v>1</v>
      </c>
      <c r="G148" s="418" t="s">
        <v>2828</v>
      </c>
      <c r="H148" s="418" t="s">
        <v>2058</v>
      </c>
      <c r="I148" s="418" t="s">
        <v>3926</v>
      </c>
      <c r="J148" s="426">
        <v>43127</v>
      </c>
      <c r="K148" s="339"/>
      <c r="L148" s="339"/>
      <c r="M148" s="418" t="s">
        <v>2853</v>
      </c>
      <c r="N148" s="418" t="s">
        <v>2088</v>
      </c>
      <c r="O148" s="426">
        <v>43097</v>
      </c>
      <c r="P148" s="418" t="s">
        <v>3061</v>
      </c>
      <c r="Q148" s="418" t="s">
        <v>2829</v>
      </c>
      <c r="R148" s="427"/>
      <c r="S148" s="421">
        <f t="shared" si="2"/>
        <v>1</v>
      </c>
    </row>
    <row r="149" spans="1:21" ht="14.25" customHeight="1" x14ac:dyDescent="0.2">
      <c r="A149" s="315"/>
      <c r="B149" s="315"/>
      <c r="C149" s="315"/>
      <c r="D149" s="315"/>
      <c r="E149" s="315"/>
      <c r="F149" s="293" t="s">
        <v>2825</v>
      </c>
      <c r="G149" s="293" t="s">
        <v>2826</v>
      </c>
      <c r="H149" s="294"/>
      <c r="I149" s="294"/>
      <c r="J149" s="297"/>
      <c r="K149" s="345"/>
      <c r="L149" s="345"/>
      <c r="M149" s="294"/>
      <c r="N149" s="294"/>
      <c r="O149" s="297"/>
      <c r="P149" s="294"/>
      <c r="Q149" s="266" t="s">
        <v>2825</v>
      </c>
      <c r="R149" s="316"/>
    </row>
    <row r="150" spans="1:21" ht="13.5" x14ac:dyDescent="0.2">
      <c r="A150" s="282"/>
      <c r="B150" s="285"/>
      <c r="C150" s="248"/>
      <c r="D150" s="248"/>
      <c r="E150" s="249"/>
      <c r="F150" s="295" t="s">
        <v>3220</v>
      </c>
      <c r="G150" s="295" t="s">
        <v>2828</v>
      </c>
      <c r="H150" s="312"/>
      <c r="I150" s="249"/>
      <c r="J150" s="285"/>
      <c r="K150" s="339"/>
      <c r="L150" s="339"/>
      <c r="M150" s="249"/>
      <c r="N150" s="249"/>
      <c r="O150" s="285"/>
      <c r="P150" s="249">
        <f>COUNTIF($Q$2:$Q$2,Q150)</f>
        <v>0</v>
      </c>
      <c r="Q150" s="253" t="s">
        <v>2829</v>
      </c>
      <c r="R150" s="251"/>
    </row>
    <row r="151" spans="1:21" ht="13.5" x14ac:dyDescent="0.2">
      <c r="A151" s="282"/>
      <c r="B151" s="285"/>
      <c r="C151" s="248"/>
      <c r="D151" s="248"/>
      <c r="E151" s="249"/>
      <c r="F151" s="295" t="s">
        <v>3226</v>
      </c>
      <c r="G151" s="295" t="s">
        <v>2831</v>
      </c>
      <c r="H151" s="249"/>
      <c r="I151" s="249"/>
      <c r="J151" s="285"/>
      <c r="K151" s="345"/>
      <c r="L151" s="345"/>
      <c r="M151" s="249"/>
      <c r="N151" s="249"/>
      <c r="O151" s="285"/>
      <c r="P151" s="249">
        <f>COUNTIF($Q$2:$Q$2,Q151)</f>
        <v>0</v>
      </c>
      <c r="Q151" s="253" t="s">
        <v>2832</v>
      </c>
      <c r="R151" s="251"/>
    </row>
    <row r="152" spans="1:21" ht="13.5" x14ac:dyDescent="0.2">
      <c r="A152" s="282"/>
      <c r="B152" s="285"/>
      <c r="C152" s="248"/>
      <c r="D152" s="248"/>
      <c r="E152" s="249"/>
      <c r="F152" s="313"/>
      <c r="G152" s="295" t="s">
        <v>2834</v>
      </c>
      <c r="H152" s="249"/>
      <c r="I152" s="249"/>
      <c r="J152" s="285"/>
      <c r="K152" s="339"/>
      <c r="L152" s="339"/>
      <c r="M152" s="249"/>
      <c r="N152" s="249"/>
      <c r="O152" s="285"/>
      <c r="P152" s="249">
        <f>COUNTIF($Q$2:$Q$2,Q152)</f>
        <v>1</v>
      </c>
      <c r="Q152" s="253" t="s">
        <v>2835</v>
      </c>
      <c r="R152" s="251"/>
    </row>
    <row r="153" spans="1:21" ht="13.5" x14ac:dyDescent="0.2">
      <c r="A153" s="282"/>
      <c r="B153" s="285"/>
      <c r="C153" s="248"/>
      <c r="D153" s="248"/>
      <c r="E153" s="249"/>
      <c r="G153" s="295" t="s">
        <v>2836</v>
      </c>
      <c r="H153" s="249"/>
      <c r="I153" s="249"/>
      <c r="J153" s="285"/>
      <c r="K153" s="345"/>
      <c r="L153" s="345"/>
      <c r="M153" s="249"/>
      <c r="N153" s="249"/>
      <c r="O153" s="285"/>
      <c r="P153" s="249">
        <f>COUNTIF($Q$2:$Q$2,Q153)</f>
        <v>0</v>
      </c>
      <c r="Q153" s="253" t="s">
        <v>2837</v>
      </c>
      <c r="R153" s="251"/>
    </row>
    <row r="154" spans="1:21" ht="13.5" x14ac:dyDescent="0.2">
      <c r="A154" s="282"/>
      <c r="B154" s="285"/>
      <c r="C154" s="248"/>
      <c r="D154" s="248"/>
      <c r="E154" s="249"/>
      <c r="G154" s="295" t="s">
        <v>2838</v>
      </c>
      <c r="H154" s="249"/>
      <c r="I154" s="249"/>
      <c r="J154" s="285"/>
      <c r="K154" s="339"/>
      <c r="L154" s="339"/>
      <c r="M154" s="249"/>
      <c r="N154" s="249"/>
      <c r="O154" s="285"/>
      <c r="P154" s="249">
        <f>COUNTIF($Q$2:$Q$2,Q154)</f>
        <v>0</v>
      </c>
      <c r="Q154" s="253" t="s">
        <v>2839</v>
      </c>
      <c r="R154" s="251"/>
    </row>
    <row r="155" spans="1:21" ht="13.5" x14ac:dyDescent="0.2">
      <c r="A155" s="282"/>
      <c r="B155" s="285"/>
      <c r="C155" s="248"/>
      <c r="D155" s="248"/>
      <c r="E155" s="249"/>
      <c r="F155" s="314"/>
      <c r="G155" s="295" t="s">
        <v>2840</v>
      </c>
      <c r="H155" s="249"/>
      <c r="I155" s="249"/>
      <c r="J155" s="285"/>
      <c r="K155" s="345"/>
      <c r="L155" s="345"/>
      <c r="M155" s="249"/>
      <c r="N155" s="249"/>
      <c r="O155" s="285"/>
      <c r="P155" s="249"/>
      <c r="Q155" s="249"/>
      <c r="R155" s="251"/>
    </row>
    <row r="156" spans="1:21" ht="13.5" x14ac:dyDescent="0.2">
      <c r="A156" s="282"/>
      <c r="B156" s="285"/>
      <c r="C156" s="248"/>
      <c r="D156" s="248"/>
      <c r="E156" s="249"/>
      <c r="F156" s="314"/>
      <c r="G156" s="295" t="s">
        <v>2841</v>
      </c>
      <c r="H156" s="249"/>
      <c r="I156" s="249"/>
      <c r="J156" s="285"/>
      <c r="K156" s="339"/>
      <c r="L156" s="339"/>
      <c r="M156" s="249"/>
      <c r="N156" s="249"/>
      <c r="O156" s="285"/>
      <c r="P156" s="249"/>
      <c r="Q156" s="249"/>
      <c r="R156" s="251"/>
    </row>
    <row r="157" spans="1:21" ht="25.35" customHeight="1" x14ac:dyDescent="0.2">
      <c r="A157" s="283"/>
      <c r="B157" s="13"/>
      <c r="C157" s="290"/>
      <c r="D157" s="290"/>
      <c r="E157" s="312"/>
      <c r="F157" s="312"/>
      <c r="G157" s="312"/>
      <c r="H157" s="312"/>
      <c r="I157" s="312"/>
      <c r="J157" s="13"/>
      <c r="K157" s="345"/>
      <c r="L157" s="345"/>
      <c r="M157" s="312"/>
      <c r="N157" s="312"/>
      <c r="P157" s="312"/>
      <c r="Q157" s="312"/>
      <c r="R157" s="283"/>
    </row>
    <row r="158" spans="1:21" ht="25.35" customHeight="1" x14ac:dyDescent="0.2">
      <c r="A158" s="283"/>
      <c r="B158" s="13"/>
      <c r="C158" s="290"/>
      <c r="D158" s="290"/>
      <c r="E158" s="290"/>
      <c r="F158" s="290"/>
      <c r="G158" s="290"/>
      <c r="H158" s="290"/>
      <c r="I158" s="312"/>
      <c r="J158" s="312"/>
      <c r="K158" s="339"/>
      <c r="L158" s="339"/>
      <c r="M158" s="312" t="s">
        <v>2852</v>
      </c>
      <c r="N158" s="312">
        <f t="shared" ref="N158:N164" si="3">COUNTIF($G$2:$G$3,M158)</f>
        <v>0</v>
      </c>
      <c r="O158" s="312"/>
      <c r="P158" s="13"/>
      <c r="Q158" s="312"/>
      <c r="R158" s="312"/>
      <c r="S158" s="13"/>
      <c r="T158" s="312"/>
      <c r="U158" s="283"/>
    </row>
    <row r="159" spans="1:21" ht="25.35" customHeight="1" x14ac:dyDescent="0.2">
      <c r="A159" s="283"/>
      <c r="B159" s="13"/>
      <c r="C159" s="290"/>
      <c r="D159" s="290"/>
      <c r="E159" s="290"/>
      <c r="F159" s="290"/>
      <c r="G159" s="290"/>
      <c r="H159" s="290"/>
      <c r="I159" s="312"/>
      <c r="J159" s="312"/>
      <c r="K159" s="345"/>
      <c r="L159" s="345"/>
      <c r="M159" s="312" t="s">
        <v>3080</v>
      </c>
      <c r="N159" s="312">
        <f t="shared" si="3"/>
        <v>0</v>
      </c>
      <c r="O159" s="312"/>
      <c r="P159" s="13"/>
      <c r="Q159" s="312"/>
      <c r="R159" s="312"/>
      <c r="S159" s="13"/>
      <c r="T159" s="312"/>
      <c r="U159" s="283"/>
    </row>
    <row r="160" spans="1:21" ht="25.35" customHeight="1" x14ac:dyDescent="0.2">
      <c r="A160" s="283"/>
      <c r="B160" s="13"/>
      <c r="C160" s="290"/>
      <c r="D160" s="290"/>
      <c r="E160" s="290"/>
      <c r="F160" s="290"/>
      <c r="G160" s="290"/>
      <c r="H160" s="290"/>
      <c r="I160" s="312"/>
      <c r="J160" s="312"/>
      <c r="K160" s="339"/>
      <c r="L160" s="339"/>
      <c r="M160" s="312" t="s">
        <v>2922</v>
      </c>
      <c r="N160" s="312">
        <f t="shared" si="3"/>
        <v>0</v>
      </c>
      <c r="O160" s="312"/>
      <c r="P160" s="13"/>
      <c r="Q160" s="312"/>
      <c r="R160" s="312"/>
      <c r="S160" s="13"/>
      <c r="T160" s="312"/>
      <c r="U160" s="283"/>
    </row>
    <row r="161" spans="1:21" ht="25.35" customHeight="1" x14ac:dyDescent="0.2">
      <c r="A161" s="283"/>
      <c r="B161" s="13"/>
      <c r="C161" s="290"/>
      <c r="D161" s="290"/>
      <c r="E161" s="290"/>
      <c r="F161" s="290"/>
      <c r="G161" s="290"/>
      <c r="H161" s="290"/>
      <c r="I161" s="312" t="s">
        <v>3220</v>
      </c>
      <c r="J161" s="312">
        <f>COUNTIF($F$2:$F$3,1)</f>
        <v>2</v>
      </c>
      <c r="K161" s="345"/>
      <c r="L161" s="345"/>
      <c r="M161" s="312" t="s">
        <v>2972</v>
      </c>
      <c r="N161" s="312">
        <f t="shared" si="3"/>
        <v>0</v>
      </c>
      <c r="O161" s="312"/>
      <c r="P161" s="13"/>
      <c r="Q161" s="312"/>
      <c r="R161" s="312"/>
      <c r="S161" s="13"/>
      <c r="T161" s="312"/>
      <c r="U161" s="283"/>
    </row>
    <row r="162" spans="1:21" ht="25.35" customHeight="1" x14ac:dyDescent="0.2">
      <c r="A162" s="283"/>
      <c r="B162" s="13"/>
      <c r="C162" s="290"/>
      <c r="D162" s="290"/>
      <c r="E162" s="290"/>
      <c r="F162" s="290"/>
      <c r="G162" s="290"/>
      <c r="H162" s="290"/>
      <c r="I162" s="312" t="s">
        <v>3226</v>
      </c>
      <c r="J162" s="312">
        <f>COUNTIF($F$2:$F$3,2)</f>
        <v>0</v>
      </c>
      <c r="K162" s="339"/>
      <c r="L162" s="339"/>
      <c r="M162" s="312" t="s">
        <v>2880</v>
      </c>
      <c r="N162" s="312">
        <f t="shared" si="3"/>
        <v>0</v>
      </c>
      <c r="O162" s="312"/>
      <c r="P162" s="13"/>
      <c r="Q162" s="312"/>
      <c r="R162" s="312"/>
      <c r="S162" s="13"/>
      <c r="T162" s="312"/>
      <c r="U162" s="283"/>
    </row>
    <row r="163" spans="1:21" ht="25.35" customHeight="1" x14ac:dyDescent="0.2">
      <c r="A163" s="283"/>
      <c r="B163" s="13"/>
      <c r="C163" s="290"/>
      <c r="D163" s="290"/>
      <c r="E163" s="290"/>
      <c r="F163" s="290"/>
      <c r="G163" s="290"/>
      <c r="H163" s="290"/>
      <c r="I163" s="312"/>
      <c r="J163" s="312"/>
      <c r="K163" s="345"/>
      <c r="L163" s="345"/>
      <c r="M163" s="312" t="s">
        <v>2927</v>
      </c>
      <c r="N163" s="312">
        <f t="shared" si="3"/>
        <v>0</v>
      </c>
      <c r="O163" s="312"/>
      <c r="P163" s="13"/>
      <c r="Q163" s="312"/>
      <c r="R163" s="312"/>
      <c r="S163" s="13"/>
      <c r="T163" s="312"/>
      <c r="U163" s="283"/>
    </row>
    <row r="164" spans="1:21" ht="25.35" customHeight="1" x14ac:dyDescent="0.2">
      <c r="A164" s="283"/>
      <c r="B164" s="13"/>
      <c r="C164" s="290"/>
      <c r="D164" s="290"/>
      <c r="E164" s="290"/>
      <c r="F164" s="290"/>
      <c r="G164" s="290"/>
      <c r="H164" s="290"/>
      <c r="I164" s="312"/>
      <c r="J164" s="312"/>
      <c r="K164" s="339"/>
      <c r="L164" s="339"/>
      <c r="M164" s="312" t="s">
        <v>2846</v>
      </c>
      <c r="N164" s="312">
        <f t="shared" si="3"/>
        <v>0</v>
      </c>
      <c r="O164" s="312"/>
      <c r="P164" s="13"/>
      <c r="Q164" s="312"/>
      <c r="R164" s="312"/>
      <c r="S164" s="13"/>
      <c r="T164" s="312"/>
      <c r="U164" s="283"/>
    </row>
    <row r="165" spans="1:21" ht="25.35" customHeight="1" x14ac:dyDescent="0.2">
      <c r="A165" s="283"/>
      <c r="B165" s="13"/>
      <c r="C165" s="290"/>
      <c r="D165" s="290"/>
      <c r="E165" s="290"/>
      <c r="F165" s="290"/>
      <c r="G165" s="290"/>
      <c r="H165" s="290"/>
      <c r="I165" s="312"/>
      <c r="J165" s="312"/>
      <c r="K165" s="345"/>
      <c r="L165" s="345"/>
      <c r="M165" s="312"/>
      <c r="N165" s="312"/>
      <c r="O165" s="312"/>
      <c r="P165" s="13"/>
      <c r="Q165" s="312"/>
      <c r="R165" s="312"/>
      <c r="S165" s="13"/>
      <c r="T165" s="312"/>
      <c r="U165" s="283"/>
    </row>
    <row r="166" spans="1:21" ht="25.35" customHeight="1" x14ac:dyDescent="0.2">
      <c r="A166" s="283"/>
      <c r="B166" s="13"/>
      <c r="C166" s="290"/>
      <c r="D166" s="290"/>
      <c r="E166" s="290"/>
      <c r="F166" s="290"/>
      <c r="G166" s="290"/>
      <c r="H166" s="290"/>
      <c r="I166" s="312"/>
      <c r="J166" s="312">
        <f>SUM(J158:J164)</f>
        <v>2</v>
      </c>
      <c r="K166" s="339"/>
      <c r="L166" s="339"/>
      <c r="M166" s="312"/>
      <c r="N166" s="312">
        <f>SUM(N158:N164)</f>
        <v>0</v>
      </c>
      <c r="O166" s="312"/>
      <c r="P166" s="13"/>
      <c r="Q166" s="312"/>
      <c r="R166" s="312"/>
      <c r="S166" s="13"/>
      <c r="T166" s="312"/>
      <c r="U166" s="283" t="s">
        <v>3410</v>
      </c>
    </row>
    <row r="167" spans="1:21" ht="25.35" customHeight="1" x14ac:dyDescent="0.2">
      <c r="D167" s="290"/>
      <c r="K167" s="345"/>
      <c r="L167" s="345"/>
    </row>
    <row r="168" spans="1:21" ht="25.35" customHeight="1" x14ac:dyDescent="0.2">
      <c r="D168" s="290"/>
      <c r="K168" s="339"/>
      <c r="L168" s="339"/>
    </row>
    <row r="169" spans="1:21" ht="25.35" customHeight="1" x14ac:dyDescent="0.2">
      <c r="D169" s="290"/>
      <c r="K169" s="345"/>
      <c r="L169" s="345"/>
    </row>
    <row r="170" spans="1:21" ht="25.35" customHeight="1" x14ac:dyDescent="0.2">
      <c r="D170" s="290"/>
      <c r="K170" s="339"/>
      <c r="L170" s="339"/>
    </row>
    <row r="171" spans="1:21" ht="25.35" customHeight="1" x14ac:dyDescent="0.2">
      <c r="D171" s="290"/>
      <c r="K171" s="345"/>
      <c r="L171" s="345"/>
    </row>
    <row r="172" spans="1:21" ht="25.35" customHeight="1" x14ac:dyDescent="0.2">
      <c r="D172" s="290"/>
      <c r="K172" s="339"/>
      <c r="L172" s="339"/>
    </row>
    <row r="173" spans="1:21" ht="25.35" customHeight="1" x14ac:dyDescent="0.2">
      <c r="D173" s="290"/>
      <c r="K173" s="345"/>
      <c r="L173" s="345"/>
    </row>
    <row r="174" spans="1:21" ht="25.35" customHeight="1" x14ac:dyDescent="0.2">
      <c r="D174" s="290"/>
      <c r="K174" s="339"/>
      <c r="L174" s="339"/>
    </row>
    <row r="175" spans="1:21" ht="25.35" customHeight="1" x14ac:dyDescent="0.2">
      <c r="D175" s="290"/>
      <c r="K175" s="345"/>
      <c r="L175" s="345"/>
    </row>
    <row r="176" spans="1:21" ht="25.35" customHeight="1" x14ac:dyDescent="0.2">
      <c r="K176" s="339"/>
      <c r="L176" s="339"/>
    </row>
    <row r="177" spans="11:12" ht="25.35" customHeight="1" x14ac:dyDescent="0.2">
      <c r="K177" s="345"/>
      <c r="L177" s="345"/>
    </row>
    <row r="178" spans="11:12" ht="25.35" customHeight="1" x14ac:dyDescent="0.2">
      <c r="K178" s="339"/>
      <c r="L178" s="339"/>
    </row>
    <row r="179" spans="11:12" ht="25.35" customHeight="1" x14ac:dyDescent="0.2">
      <c r="K179" s="345"/>
      <c r="L179" s="345"/>
    </row>
    <row r="180" spans="11:12" ht="25.35" customHeight="1" x14ac:dyDescent="0.2">
      <c r="K180" s="339"/>
      <c r="L180" s="339"/>
    </row>
    <row r="181" spans="11:12" ht="25.35" customHeight="1" x14ac:dyDescent="0.2">
      <c r="K181" s="345"/>
      <c r="L181" s="345"/>
    </row>
    <row r="182" spans="11:12" ht="25.35" customHeight="1" x14ac:dyDescent="0.2">
      <c r="K182" s="339"/>
      <c r="L182" s="339"/>
    </row>
    <row r="183" spans="11:12" ht="25.35" customHeight="1" x14ac:dyDescent="0.2">
      <c r="K183" s="345"/>
      <c r="L183" s="345"/>
    </row>
    <row r="184" spans="11:12" ht="25.35" customHeight="1" x14ac:dyDescent="0.2">
      <c r="K184" s="339"/>
      <c r="L184" s="339"/>
    </row>
    <row r="185" spans="11:12" ht="25.35" customHeight="1" x14ac:dyDescent="0.2">
      <c r="K185" s="345"/>
      <c r="L185" s="345"/>
    </row>
    <row r="186" spans="11:12" ht="25.35" customHeight="1" x14ac:dyDescent="0.2">
      <c r="K186" s="339"/>
      <c r="L186" s="339"/>
    </row>
    <row r="187" spans="11:12" ht="25.35" customHeight="1" x14ac:dyDescent="0.2">
      <c r="K187" s="345"/>
      <c r="L187" s="345"/>
    </row>
    <row r="188" spans="11:12" ht="25.35" customHeight="1" x14ac:dyDescent="0.2">
      <c r="K188" s="339"/>
      <c r="L188" s="339"/>
    </row>
    <row r="189" spans="11:12" ht="25.35" customHeight="1" x14ac:dyDescent="0.2">
      <c r="K189" s="345"/>
      <c r="L189" s="345"/>
    </row>
    <row r="190" spans="11:12" ht="25.35" customHeight="1" x14ac:dyDescent="0.2">
      <c r="K190" s="339"/>
      <c r="L190" s="339"/>
    </row>
    <row r="191" spans="11:12" ht="25.35" customHeight="1" x14ac:dyDescent="0.2">
      <c r="K191" s="345"/>
      <c r="L191" s="345"/>
    </row>
    <row r="192" spans="11:12" ht="25.35" customHeight="1" x14ac:dyDescent="0.2">
      <c r="K192" s="339"/>
      <c r="L192" s="339"/>
    </row>
    <row r="193" spans="11:12" ht="25.35" customHeight="1" x14ac:dyDescent="0.2">
      <c r="K193" s="345"/>
      <c r="L193" s="345"/>
    </row>
    <row r="194" spans="11:12" ht="25.35" customHeight="1" x14ac:dyDescent="0.2">
      <c r="K194" s="339"/>
      <c r="L194" s="339"/>
    </row>
    <row r="195" spans="11:12" ht="25.35" customHeight="1" x14ac:dyDescent="0.2">
      <c r="K195" s="345"/>
      <c r="L195" s="345"/>
    </row>
    <row r="196" spans="11:12" ht="25.35" customHeight="1" x14ac:dyDescent="0.2">
      <c r="K196" s="339"/>
      <c r="L196" s="339"/>
    </row>
    <row r="197" spans="11:12" ht="25.35" customHeight="1" x14ac:dyDescent="0.2">
      <c r="K197" s="345"/>
      <c r="L197" s="345"/>
    </row>
    <row r="198" spans="11:12" ht="25.35" customHeight="1" x14ac:dyDescent="0.2">
      <c r="K198" s="339"/>
      <c r="L198" s="339"/>
    </row>
    <row r="199" spans="11:12" ht="25.35" customHeight="1" x14ac:dyDescent="0.2">
      <c r="K199" s="345"/>
      <c r="L199" s="345"/>
    </row>
    <row r="200" spans="11:12" ht="25.35" customHeight="1" x14ac:dyDescent="0.2">
      <c r="K200" s="339"/>
      <c r="L200" s="339"/>
    </row>
    <row r="201" spans="11:12" ht="25.35" customHeight="1" x14ac:dyDescent="0.2">
      <c r="K201" s="345"/>
      <c r="L201" s="345"/>
    </row>
    <row r="202" spans="11:12" ht="25.35" customHeight="1" x14ac:dyDescent="0.2">
      <c r="K202" s="339"/>
      <c r="L202" s="339"/>
    </row>
  </sheetData>
  <pageMargins left="0.7" right="0.7" top="0.75" bottom="0.75" header="0.3" footer="0.3"/>
  <pageSetup scale="44"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pageSetUpPr fitToPage="1"/>
  </sheetPr>
  <dimension ref="A1:S131"/>
  <sheetViews>
    <sheetView workbookViewId="0">
      <pane ySplit="1" topLeftCell="A2" activePane="bottomLeft" state="frozen"/>
      <selection pane="bottomLeft" activeCell="A2" sqref="A2:S100"/>
    </sheetView>
  </sheetViews>
  <sheetFormatPr defaultRowHeight="25.35" customHeight="1" x14ac:dyDescent="0.2"/>
  <cols>
    <col min="1" max="1" width="13" style="283" customWidth="1"/>
    <col min="2" max="2" width="18.42578125" style="13" customWidth="1"/>
    <col min="3" max="3" width="35.5703125" style="290" customWidth="1"/>
    <col min="4" max="4" width="43.42578125" style="290" customWidth="1"/>
    <col min="5" max="5" width="21.42578125" style="310" customWidth="1"/>
    <col min="6" max="6" width="14.5703125" style="310" customWidth="1"/>
    <col min="7" max="7" width="22.5703125" style="310" customWidth="1"/>
    <col min="8" max="8" width="23.5703125" style="310" customWidth="1"/>
    <col min="9" max="9" width="16" style="310" customWidth="1"/>
    <col min="10" max="12" width="15.42578125" style="13" customWidth="1"/>
    <col min="13" max="13" width="18.5703125" style="310" customWidth="1"/>
    <col min="14" max="14" width="17.42578125" style="310" customWidth="1"/>
    <col min="15" max="15" width="16.42578125" style="13" customWidth="1"/>
    <col min="16" max="16" width="20.5703125" style="310" customWidth="1"/>
    <col min="17" max="17" width="24" style="310" customWidth="1"/>
    <col min="18" max="18" width="22.5703125" style="283" customWidth="1"/>
  </cols>
  <sheetData>
    <row r="1" spans="1:19" ht="25.5" x14ac:dyDescent="0.2">
      <c r="A1" t="s">
        <v>2808</v>
      </c>
      <c r="B1" s="15" t="s">
        <v>2809</v>
      </c>
      <c r="C1" t="s">
        <v>2810</v>
      </c>
      <c r="D1" t="s">
        <v>2811</v>
      </c>
      <c r="E1" t="s">
        <v>2812</v>
      </c>
      <c r="F1" t="s">
        <v>3408</v>
      </c>
      <c r="G1" t="s">
        <v>2814</v>
      </c>
      <c r="H1" t="s">
        <v>2815</v>
      </c>
      <c r="I1" t="s">
        <v>2816</v>
      </c>
      <c r="J1" t="s">
        <v>2817</v>
      </c>
      <c r="K1" s="430" t="s">
        <v>5011</v>
      </c>
      <c r="L1" s="430" t="s">
        <v>5012</v>
      </c>
      <c r="M1" t="s">
        <v>2818</v>
      </c>
      <c r="N1" t="s">
        <v>2819</v>
      </c>
      <c r="O1" s="15" t="s">
        <v>2820</v>
      </c>
      <c r="P1" t="s">
        <v>2821</v>
      </c>
      <c r="Q1" t="s">
        <v>2822</v>
      </c>
      <c r="R1" t="s">
        <v>2823</v>
      </c>
      <c r="S1" t="s">
        <v>4213</v>
      </c>
    </row>
    <row r="2" spans="1:19" ht="12.75" x14ac:dyDescent="0.2">
      <c r="A2" t="s">
        <v>3406</v>
      </c>
      <c r="B2" s="15">
        <v>42374</v>
      </c>
      <c r="C2" t="s">
        <v>3411</v>
      </c>
      <c r="D2" t="s">
        <v>3407</v>
      </c>
      <c r="E2" t="s">
        <v>2971</v>
      </c>
      <c r="F2">
        <v>1</v>
      </c>
      <c r="G2" t="s">
        <v>2880</v>
      </c>
      <c r="H2" t="s">
        <v>3409</v>
      </c>
      <c r="I2" t="s">
        <v>441</v>
      </c>
      <c r="J2">
        <v>42400</v>
      </c>
      <c r="K2"/>
      <c r="L2"/>
      <c r="M2" t="s">
        <v>2853</v>
      </c>
      <c r="N2" t="s">
        <v>3022</v>
      </c>
      <c r="O2" s="15">
        <v>42613</v>
      </c>
      <c r="P2" t="s">
        <v>2751</v>
      </c>
      <c r="Q2" t="s">
        <v>2837</v>
      </c>
      <c r="R2" t="s">
        <v>3602</v>
      </c>
      <c r="S2">
        <f t="shared" ref="S2:S33" si="0">J2-B2</f>
        <v>26</v>
      </c>
    </row>
    <row r="3" spans="1:19" ht="25.35" customHeight="1" x14ac:dyDescent="0.2">
      <c r="A3" t="s">
        <v>3412</v>
      </c>
      <c r="B3" s="15">
        <v>42375</v>
      </c>
      <c r="C3" t="s">
        <v>3413</v>
      </c>
      <c r="D3" t="s">
        <v>3414</v>
      </c>
      <c r="E3" t="s">
        <v>2971</v>
      </c>
      <c r="F3">
        <v>1</v>
      </c>
      <c r="G3" t="s">
        <v>2846</v>
      </c>
      <c r="H3" t="s">
        <v>486</v>
      </c>
      <c r="I3" t="s">
        <v>229</v>
      </c>
      <c r="J3">
        <v>42429</v>
      </c>
      <c r="K3"/>
      <c r="L3"/>
      <c r="M3" t="s">
        <v>2853</v>
      </c>
      <c r="N3" t="s">
        <v>3022</v>
      </c>
      <c r="O3" s="15">
        <v>42436</v>
      </c>
      <c r="P3" t="s">
        <v>2751</v>
      </c>
      <c r="Q3" t="s">
        <v>2832</v>
      </c>
      <c r="R3" t="s">
        <v>3410</v>
      </c>
      <c r="S3">
        <f t="shared" si="0"/>
        <v>54</v>
      </c>
    </row>
    <row r="4" spans="1:19" ht="25.35" customHeight="1" x14ac:dyDescent="0.2">
      <c r="A4" t="s">
        <v>3415</v>
      </c>
      <c r="B4" s="15">
        <v>42380</v>
      </c>
      <c r="C4" t="s">
        <v>3416</v>
      </c>
      <c r="D4" t="s">
        <v>3426</v>
      </c>
      <c r="E4" t="s">
        <v>3335</v>
      </c>
      <c r="F4">
        <v>1</v>
      </c>
      <c r="G4" t="s">
        <v>2852</v>
      </c>
      <c r="H4" t="s">
        <v>615</v>
      </c>
      <c r="I4" t="s">
        <v>3211</v>
      </c>
      <c r="J4">
        <v>42420</v>
      </c>
      <c r="K4"/>
      <c r="L4"/>
      <c r="M4" t="s">
        <v>2853</v>
      </c>
      <c r="N4" t="s">
        <v>2088</v>
      </c>
      <c r="O4" s="15">
        <v>42389</v>
      </c>
      <c r="P4" t="s">
        <v>2750</v>
      </c>
      <c r="Q4" t="s">
        <v>2829</v>
      </c>
      <c r="R4"/>
      <c r="S4">
        <f t="shared" si="0"/>
        <v>40</v>
      </c>
    </row>
    <row r="5" spans="1:19" ht="25.35" customHeight="1" x14ac:dyDescent="0.2">
      <c r="A5" t="s">
        <v>3417</v>
      </c>
      <c r="B5" s="15">
        <v>42380</v>
      </c>
      <c r="C5" t="s">
        <v>3421</v>
      </c>
      <c r="D5" t="s">
        <v>3422</v>
      </c>
      <c r="E5" t="s">
        <v>3049</v>
      </c>
      <c r="F5">
        <v>1</v>
      </c>
      <c r="G5" t="s">
        <v>2852</v>
      </c>
      <c r="H5" t="s">
        <v>3423</v>
      </c>
      <c r="I5" t="s">
        <v>3211</v>
      </c>
      <c r="J5">
        <v>42411</v>
      </c>
      <c r="K5"/>
      <c r="L5"/>
      <c r="M5" t="s">
        <v>2853</v>
      </c>
      <c r="N5" t="s">
        <v>2088</v>
      </c>
      <c r="O5" s="15">
        <v>42387</v>
      </c>
      <c r="P5" t="s">
        <v>2750</v>
      </c>
      <c r="Q5" t="s">
        <v>2829</v>
      </c>
      <c r="R5"/>
      <c r="S5">
        <f t="shared" si="0"/>
        <v>31</v>
      </c>
    </row>
    <row r="6" spans="1:19" ht="25.35" customHeight="1" x14ac:dyDescent="0.2">
      <c r="A6" t="s">
        <v>3418</v>
      </c>
      <c r="B6" s="15">
        <v>42380</v>
      </c>
      <c r="C6" t="s">
        <v>3419</v>
      </c>
      <c r="D6" t="s">
        <v>3420</v>
      </c>
      <c r="E6" t="s">
        <v>2971</v>
      </c>
      <c r="F6">
        <v>1</v>
      </c>
      <c r="G6" t="s">
        <v>2880</v>
      </c>
      <c r="H6" t="s">
        <v>516</v>
      </c>
      <c r="I6" t="s">
        <v>229</v>
      </c>
      <c r="J6">
        <v>42460</v>
      </c>
      <c r="K6"/>
      <c r="L6"/>
      <c r="M6" t="s">
        <v>2853</v>
      </c>
      <c r="N6" t="s">
        <v>3022</v>
      </c>
      <c r="O6" s="15">
        <v>42655</v>
      </c>
      <c r="P6" t="s">
        <v>2751</v>
      </c>
      <c r="Q6" t="s">
        <v>2837</v>
      </c>
      <c r="R6"/>
      <c r="S6">
        <f t="shared" si="0"/>
        <v>80</v>
      </c>
    </row>
    <row r="7" spans="1:19" ht="25.35" customHeight="1" x14ac:dyDescent="0.2">
      <c r="A7" t="s">
        <v>3424</v>
      </c>
      <c r="B7" s="15">
        <v>42384</v>
      </c>
      <c r="C7" t="s">
        <v>3425</v>
      </c>
      <c r="D7" t="s">
        <v>3441</v>
      </c>
      <c r="E7" t="s">
        <v>3427</v>
      </c>
      <c r="F7">
        <v>1</v>
      </c>
      <c r="G7" t="s">
        <v>2852</v>
      </c>
      <c r="H7" t="s">
        <v>3227</v>
      </c>
      <c r="I7" t="s">
        <v>3211</v>
      </c>
      <c r="J7">
        <v>42412</v>
      </c>
      <c r="K7"/>
      <c r="L7"/>
      <c r="M7" t="s">
        <v>2853</v>
      </c>
      <c r="N7" t="s">
        <v>2088</v>
      </c>
      <c r="O7" s="15">
        <v>42384</v>
      </c>
      <c r="P7" t="s">
        <v>2750</v>
      </c>
      <c r="Q7" t="s">
        <v>2829</v>
      </c>
      <c r="R7"/>
      <c r="S7">
        <f t="shared" si="0"/>
        <v>28</v>
      </c>
    </row>
    <row r="8" spans="1:19" ht="25.35" customHeight="1" x14ac:dyDescent="0.2">
      <c r="A8" t="s">
        <v>3428</v>
      </c>
      <c r="B8" s="15">
        <v>42387</v>
      </c>
      <c r="C8" t="s">
        <v>3431</v>
      </c>
      <c r="D8" t="s">
        <v>3441</v>
      </c>
      <c r="E8" t="s">
        <v>3386</v>
      </c>
      <c r="F8">
        <v>1</v>
      </c>
      <c r="G8" t="s">
        <v>2852</v>
      </c>
      <c r="H8" t="s">
        <v>615</v>
      </c>
      <c r="I8" t="s">
        <v>3211</v>
      </c>
      <c r="J8">
        <v>42551</v>
      </c>
      <c r="K8"/>
      <c r="L8"/>
      <c r="M8" t="s">
        <v>2853</v>
      </c>
      <c r="N8" t="s">
        <v>3022</v>
      </c>
      <c r="O8" s="15">
        <v>43146</v>
      </c>
      <c r="P8" t="s">
        <v>2751</v>
      </c>
      <c r="Q8" t="s">
        <v>4184</v>
      </c>
      <c r="R8"/>
      <c r="S8">
        <f t="shared" si="0"/>
        <v>164</v>
      </c>
    </row>
    <row r="9" spans="1:19" ht="25.35" customHeight="1" x14ac:dyDescent="0.2">
      <c r="A9" t="s">
        <v>3429</v>
      </c>
      <c r="B9" s="15">
        <v>42387</v>
      </c>
      <c r="C9" t="s">
        <v>3567</v>
      </c>
      <c r="D9" t="s">
        <v>3568</v>
      </c>
      <c r="E9" t="s">
        <v>3386</v>
      </c>
      <c r="F9">
        <v>1</v>
      </c>
      <c r="G9" t="s">
        <v>2852</v>
      </c>
      <c r="H9" t="s">
        <v>615</v>
      </c>
      <c r="I9" t="s">
        <v>3211</v>
      </c>
      <c r="J9">
        <v>42586</v>
      </c>
      <c r="K9"/>
      <c r="L9"/>
      <c r="M9" t="s">
        <v>2853</v>
      </c>
      <c r="N9" t="s">
        <v>2088</v>
      </c>
      <c r="O9" s="15">
        <v>42580</v>
      </c>
      <c r="P9" t="s">
        <v>2750</v>
      </c>
      <c r="Q9" t="s">
        <v>2837</v>
      </c>
      <c r="R9"/>
      <c r="S9">
        <f t="shared" si="0"/>
        <v>199</v>
      </c>
    </row>
    <row r="10" spans="1:19" ht="25.35" customHeight="1" x14ac:dyDescent="0.2">
      <c r="A10" t="s">
        <v>3430</v>
      </c>
      <c r="B10" s="15">
        <v>42387</v>
      </c>
      <c r="C10" t="s">
        <v>3432</v>
      </c>
      <c r="D10" t="s">
        <v>3440</v>
      </c>
      <c r="E10" t="s">
        <v>3386</v>
      </c>
      <c r="F10">
        <v>1</v>
      </c>
      <c r="G10" t="s">
        <v>2852</v>
      </c>
      <c r="H10" t="s">
        <v>615</v>
      </c>
      <c r="I10" t="s">
        <v>3211</v>
      </c>
      <c r="J10">
        <v>42402</v>
      </c>
      <c r="K10"/>
      <c r="L10"/>
      <c r="M10" t="s">
        <v>2853</v>
      </c>
      <c r="N10" t="s">
        <v>2088</v>
      </c>
      <c r="O10" s="15">
        <v>42394</v>
      </c>
      <c r="P10" t="s">
        <v>2750</v>
      </c>
      <c r="Q10" t="s">
        <v>2829</v>
      </c>
      <c r="R10"/>
      <c r="S10">
        <f t="shared" si="0"/>
        <v>15</v>
      </c>
    </row>
    <row r="11" spans="1:19" ht="25.35" customHeight="1" x14ac:dyDescent="0.2">
      <c r="A11" t="s">
        <v>3433</v>
      </c>
      <c r="B11" s="15">
        <v>42388</v>
      </c>
      <c r="C11" t="s">
        <v>3435</v>
      </c>
      <c r="D11" t="s">
        <v>3306</v>
      </c>
      <c r="E11" t="s">
        <v>2971</v>
      </c>
      <c r="F11">
        <v>1</v>
      </c>
      <c r="G11" t="s">
        <v>2846</v>
      </c>
      <c r="H11" t="s">
        <v>229</v>
      </c>
      <c r="I11" t="s">
        <v>229</v>
      </c>
      <c r="J11">
        <v>42400</v>
      </c>
      <c r="K11"/>
      <c r="L11"/>
      <c r="M11" t="s">
        <v>2853</v>
      </c>
      <c r="N11" t="s">
        <v>3022</v>
      </c>
      <c r="O11" s="15">
        <v>42436</v>
      </c>
      <c r="P11" t="s">
        <v>2751</v>
      </c>
      <c r="Q11" t="s">
        <v>2832</v>
      </c>
      <c r="R11"/>
      <c r="S11">
        <f t="shared" si="0"/>
        <v>12</v>
      </c>
    </row>
    <row r="12" spans="1:19" ht="25.35" customHeight="1" x14ac:dyDescent="0.2">
      <c r="A12" t="s">
        <v>3434</v>
      </c>
      <c r="B12" s="15">
        <v>42388</v>
      </c>
      <c r="C12" t="s">
        <v>3436</v>
      </c>
      <c r="D12" t="s">
        <v>3306</v>
      </c>
      <c r="E12" t="s">
        <v>2971</v>
      </c>
      <c r="F12">
        <v>1</v>
      </c>
      <c r="G12" t="s">
        <v>2846</v>
      </c>
      <c r="H12" t="s">
        <v>229</v>
      </c>
      <c r="I12" t="s">
        <v>229</v>
      </c>
      <c r="J12">
        <v>42400</v>
      </c>
      <c r="K12"/>
      <c r="L12"/>
      <c r="M12" t="s">
        <v>2853</v>
      </c>
      <c r="N12" t="s">
        <v>3022</v>
      </c>
      <c r="O12" s="15">
        <v>42423</v>
      </c>
      <c r="P12" t="s">
        <v>2751</v>
      </c>
      <c r="Q12" t="s">
        <v>2832</v>
      </c>
      <c r="R12"/>
      <c r="S12">
        <f t="shared" si="0"/>
        <v>12</v>
      </c>
    </row>
    <row r="13" spans="1:19" ht="25.35" customHeight="1" x14ac:dyDescent="0.2">
      <c r="A13" t="s">
        <v>3437</v>
      </c>
      <c r="B13" s="15">
        <v>42391</v>
      </c>
      <c r="C13" t="s">
        <v>3438</v>
      </c>
      <c r="D13" t="s">
        <v>3439</v>
      </c>
      <c r="E13" t="s">
        <v>2971</v>
      </c>
      <c r="F13">
        <v>1</v>
      </c>
      <c r="G13" t="s">
        <v>2880</v>
      </c>
      <c r="H13" t="s">
        <v>516</v>
      </c>
      <c r="I13" t="s">
        <v>229</v>
      </c>
      <c r="J13">
        <v>42429</v>
      </c>
      <c r="K13"/>
      <c r="L13"/>
      <c r="M13" t="s">
        <v>2853</v>
      </c>
      <c r="N13" t="s">
        <v>2088</v>
      </c>
      <c r="O13" s="15">
        <v>42785</v>
      </c>
      <c r="P13" t="s">
        <v>2750</v>
      </c>
      <c r="Q13" t="s">
        <v>2829</v>
      </c>
      <c r="R13"/>
      <c r="S13">
        <f t="shared" si="0"/>
        <v>38</v>
      </c>
    </row>
    <row r="14" spans="1:19" ht="25.35" customHeight="1" x14ac:dyDescent="0.2">
      <c r="A14" t="s">
        <v>3442</v>
      </c>
      <c r="B14" s="15">
        <v>42395</v>
      </c>
      <c r="C14" t="s">
        <v>3443</v>
      </c>
      <c r="D14" t="s">
        <v>3444</v>
      </c>
      <c r="E14" t="s">
        <v>2971</v>
      </c>
      <c r="F14">
        <v>1</v>
      </c>
      <c r="G14" t="s">
        <v>2846</v>
      </c>
      <c r="H14" t="s">
        <v>1339</v>
      </c>
      <c r="I14" t="s">
        <v>229</v>
      </c>
      <c r="J14">
        <v>42419</v>
      </c>
      <c r="K14"/>
      <c r="L14"/>
      <c r="M14" t="s">
        <v>2853</v>
      </c>
      <c r="N14" t="s">
        <v>2088</v>
      </c>
      <c r="O14" s="15">
        <v>42412</v>
      </c>
      <c r="P14" t="s">
        <v>2750</v>
      </c>
      <c r="Q14" t="s">
        <v>2829</v>
      </c>
      <c r="R14"/>
      <c r="S14">
        <f t="shared" si="0"/>
        <v>24</v>
      </c>
    </row>
    <row r="15" spans="1:19" ht="25.35" customHeight="1" x14ac:dyDescent="0.2">
      <c r="A15" t="s">
        <v>3445</v>
      </c>
      <c r="B15" s="15">
        <v>42404</v>
      </c>
      <c r="C15" t="s">
        <v>3447</v>
      </c>
      <c r="D15" t="s">
        <v>3446</v>
      </c>
      <c r="E15" t="s">
        <v>2971</v>
      </c>
      <c r="F15">
        <v>1</v>
      </c>
      <c r="G15" t="s">
        <v>2927</v>
      </c>
      <c r="H15" t="s">
        <v>1461</v>
      </c>
      <c r="I15" t="s">
        <v>229</v>
      </c>
      <c r="J15">
        <v>42430</v>
      </c>
      <c r="K15"/>
      <c r="L15"/>
      <c r="M15" t="s">
        <v>2853</v>
      </c>
      <c r="N15" t="s">
        <v>3022</v>
      </c>
      <c r="O15" s="15">
        <v>42551</v>
      </c>
      <c r="P15" t="s">
        <v>2751</v>
      </c>
      <c r="Q15" t="s">
        <v>2835</v>
      </c>
      <c r="R15"/>
      <c r="S15">
        <f t="shared" si="0"/>
        <v>26</v>
      </c>
    </row>
    <row r="16" spans="1:19" ht="25.35" customHeight="1" x14ac:dyDescent="0.2">
      <c r="A16" t="s">
        <v>3448</v>
      </c>
      <c r="B16" s="15">
        <v>42423</v>
      </c>
      <c r="C16" t="s">
        <v>3587</v>
      </c>
      <c r="D16" t="s">
        <v>3449</v>
      </c>
      <c r="E16" t="s">
        <v>3386</v>
      </c>
      <c r="F16">
        <v>1</v>
      </c>
      <c r="G16" t="s">
        <v>2852</v>
      </c>
      <c r="H16" t="s">
        <v>615</v>
      </c>
      <c r="I16" t="s">
        <v>3211</v>
      </c>
      <c r="J16">
        <v>42433</v>
      </c>
      <c r="K16"/>
      <c r="L16"/>
      <c r="M16" t="s">
        <v>2853</v>
      </c>
      <c r="N16" t="s">
        <v>2088</v>
      </c>
      <c r="O16" s="15">
        <v>42423</v>
      </c>
      <c r="P16" t="s">
        <v>2750</v>
      </c>
      <c r="Q16" t="s">
        <v>2829</v>
      </c>
      <c r="R16"/>
      <c r="S16">
        <f t="shared" si="0"/>
        <v>10</v>
      </c>
    </row>
    <row r="17" spans="1:19" ht="25.35" customHeight="1" x14ac:dyDescent="0.2">
      <c r="A17" t="s">
        <v>3450</v>
      </c>
      <c r="B17" s="15">
        <v>42430</v>
      </c>
      <c r="C17" t="s">
        <v>3452</v>
      </c>
      <c r="D17" t="s">
        <v>3451</v>
      </c>
      <c r="E17" t="s">
        <v>2971</v>
      </c>
      <c r="F17">
        <v>1</v>
      </c>
      <c r="G17" t="s">
        <v>2846</v>
      </c>
      <c r="H17" t="s">
        <v>2331</v>
      </c>
      <c r="I17" t="s">
        <v>229</v>
      </c>
      <c r="J17">
        <v>42460</v>
      </c>
      <c r="K17"/>
      <c r="L17"/>
      <c r="M17" t="s">
        <v>2853</v>
      </c>
      <c r="N17" t="s">
        <v>2088</v>
      </c>
      <c r="O17" s="15">
        <v>42445</v>
      </c>
      <c r="P17" t="s">
        <v>2750</v>
      </c>
      <c r="Q17" t="s">
        <v>2829</v>
      </c>
      <c r="R17"/>
      <c r="S17">
        <f t="shared" si="0"/>
        <v>30</v>
      </c>
    </row>
    <row r="18" spans="1:19" ht="12.75" x14ac:dyDescent="0.2">
      <c r="A18" t="s">
        <v>3453</v>
      </c>
      <c r="B18" s="15">
        <v>42433</v>
      </c>
      <c r="C18" t="s">
        <v>3454</v>
      </c>
      <c r="D18" t="s">
        <v>3455</v>
      </c>
      <c r="E18" t="s">
        <v>2971</v>
      </c>
      <c r="F18">
        <v>1</v>
      </c>
      <c r="G18" t="s">
        <v>2846</v>
      </c>
      <c r="H18" t="s">
        <v>3227</v>
      </c>
      <c r="I18" t="s">
        <v>229</v>
      </c>
      <c r="J18">
        <v>42460</v>
      </c>
      <c r="K18"/>
      <c r="L18"/>
      <c r="M18" t="s">
        <v>2853</v>
      </c>
      <c r="N18" t="s">
        <v>2088</v>
      </c>
      <c r="O18" s="15">
        <v>42452</v>
      </c>
      <c r="P18" t="s">
        <v>2750</v>
      </c>
      <c r="Q18" t="s">
        <v>2829</v>
      </c>
      <c r="R18"/>
      <c r="S18">
        <f t="shared" si="0"/>
        <v>27</v>
      </c>
    </row>
    <row r="19" spans="1:19" ht="65.099999999999994" customHeight="1" x14ac:dyDescent="0.2">
      <c r="A19" t="s">
        <v>3456</v>
      </c>
      <c r="B19" s="15">
        <v>42436</v>
      </c>
      <c r="C19" t="s">
        <v>3457</v>
      </c>
      <c r="D19" t="s">
        <v>3458</v>
      </c>
      <c r="E19" t="s">
        <v>2971</v>
      </c>
      <c r="F19">
        <v>1</v>
      </c>
      <c r="G19" t="s">
        <v>2846</v>
      </c>
      <c r="H19" t="s">
        <v>3144</v>
      </c>
      <c r="I19" t="s">
        <v>229</v>
      </c>
      <c r="J19">
        <v>42460</v>
      </c>
      <c r="K19"/>
      <c r="L19"/>
      <c r="M19" t="s">
        <v>2853</v>
      </c>
      <c r="N19" t="s">
        <v>2088</v>
      </c>
      <c r="O19" s="15">
        <v>42503</v>
      </c>
      <c r="P19" t="s">
        <v>2751</v>
      </c>
      <c r="Q19" t="s">
        <v>2832</v>
      </c>
      <c r="R19"/>
      <c r="S19">
        <f t="shared" si="0"/>
        <v>24</v>
      </c>
    </row>
    <row r="20" spans="1:19" ht="12.75" x14ac:dyDescent="0.2">
      <c r="A20" t="s">
        <v>3459</v>
      </c>
      <c r="B20" s="15">
        <v>42436</v>
      </c>
      <c r="C20" t="s">
        <v>3460</v>
      </c>
      <c r="D20" t="s">
        <v>3461</v>
      </c>
      <c r="E20" t="s">
        <v>2971</v>
      </c>
      <c r="F20">
        <v>1</v>
      </c>
      <c r="G20" t="s">
        <v>2846</v>
      </c>
      <c r="H20" t="s">
        <v>516</v>
      </c>
      <c r="I20" t="s">
        <v>229</v>
      </c>
      <c r="J20">
        <v>42460</v>
      </c>
      <c r="K20"/>
      <c r="L20"/>
      <c r="M20" t="s">
        <v>2853</v>
      </c>
      <c r="N20" t="s">
        <v>2088</v>
      </c>
      <c r="O20" s="15">
        <v>42580</v>
      </c>
      <c r="P20" t="s">
        <v>2751</v>
      </c>
      <c r="Q20" t="s">
        <v>2835</v>
      </c>
      <c r="R20"/>
      <c r="S20">
        <f t="shared" si="0"/>
        <v>24</v>
      </c>
    </row>
    <row r="21" spans="1:19" ht="12.75" x14ac:dyDescent="0.2">
      <c r="A21" t="s">
        <v>3462</v>
      </c>
      <c r="B21" s="15">
        <v>42446</v>
      </c>
      <c r="C21" t="s">
        <v>3464</v>
      </c>
      <c r="D21" t="s">
        <v>3463</v>
      </c>
      <c r="E21" t="s">
        <v>3386</v>
      </c>
      <c r="F21">
        <v>2</v>
      </c>
      <c r="G21" t="s">
        <v>2852</v>
      </c>
      <c r="H21" t="s">
        <v>2428</v>
      </c>
      <c r="I21" t="s">
        <v>3211</v>
      </c>
      <c r="J21">
        <v>42454</v>
      </c>
      <c r="K21"/>
      <c r="L21"/>
      <c r="M21" t="s">
        <v>2853</v>
      </c>
      <c r="N21" t="s">
        <v>2088</v>
      </c>
      <c r="O21" s="15">
        <v>42457</v>
      </c>
      <c r="P21" t="s">
        <v>2751</v>
      </c>
      <c r="Q21" t="s">
        <v>2829</v>
      </c>
      <c r="R21"/>
      <c r="S21">
        <f t="shared" si="0"/>
        <v>8</v>
      </c>
    </row>
    <row r="22" spans="1:19" ht="12.75" x14ac:dyDescent="0.2">
      <c r="A22" t="s">
        <v>3465</v>
      </c>
      <c r="B22" s="15">
        <v>42450</v>
      </c>
      <c r="C22" t="s">
        <v>3466</v>
      </c>
      <c r="D22" t="s">
        <v>3467</v>
      </c>
      <c r="E22" t="s">
        <v>3041</v>
      </c>
      <c r="F22">
        <v>1</v>
      </c>
      <c r="G22" t="s">
        <v>2852</v>
      </c>
      <c r="H22" t="s">
        <v>615</v>
      </c>
      <c r="I22" t="s">
        <v>3211</v>
      </c>
      <c r="J22" t="s">
        <v>2088</v>
      </c>
      <c r="K22"/>
      <c r="L22"/>
      <c r="M22" t="s">
        <v>2853</v>
      </c>
      <c r="N22" t="s">
        <v>2088</v>
      </c>
      <c r="O22" s="15">
        <v>42766</v>
      </c>
      <c r="P22" t="s">
        <v>2088</v>
      </c>
      <c r="Q22" t="s">
        <v>2088</v>
      </c>
      <c r="R22" t="s">
        <v>3710</v>
      </c>
      <c r="S22" t="e">
        <f t="shared" si="0"/>
        <v>#VALUE!</v>
      </c>
    </row>
    <row r="23" spans="1:19" ht="12.75" x14ac:dyDescent="0.2">
      <c r="A23" t="s">
        <v>3468</v>
      </c>
      <c r="B23" s="15">
        <v>42452</v>
      </c>
      <c r="C23" t="s">
        <v>3470</v>
      </c>
      <c r="D23" t="s">
        <v>3474</v>
      </c>
      <c r="E23" t="s">
        <v>2869</v>
      </c>
      <c r="F23">
        <v>1</v>
      </c>
      <c r="G23" t="s">
        <v>2852</v>
      </c>
      <c r="H23" t="s">
        <v>3227</v>
      </c>
      <c r="I23" t="s">
        <v>3211</v>
      </c>
      <c r="J23">
        <v>42461</v>
      </c>
      <c r="K23"/>
      <c r="L23"/>
      <c r="M23" t="s">
        <v>2853</v>
      </c>
      <c r="N23" t="s">
        <v>2088</v>
      </c>
      <c r="O23" s="15">
        <v>42465</v>
      </c>
      <c r="P23" t="s">
        <v>2751</v>
      </c>
      <c r="Q23" t="s">
        <v>2829</v>
      </c>
      <c r="R23"/>
      <c r="S23">
        <f t="shared" si="0"/>
        <v>9</v>
      </c>
    </row>
    <row r="24" spans="1:19" ht="12.75" x14ac:dyDescent="0.2">
      <c r="A24" t="s">
        <v>3469</v>
      </c>
      <c r="B24" s="15">
        <v>42452</v>
      </c>
      <c r="C24" t="s">
        <v>3471</v>
      </c>
      <c r="D24" t="s">
        <v>3472</v>
      </c>
      <c r="E24" t="s">
        <v>3473</v>
      </c>
      <c r="F24">
        <v>1</v>
      </c>
      <c r="G24" t="s">
        <v>2852</v>
      </c>
      <c r="H24" t="s">
        <v>2067</v>
      </c>
      <c r="I24" t="s">
        <v>3211</v>
      </c>
      <c r="J24">
        <v>42483</v>
      </c>
      <c r="K24"/>
      <c r="L24"/>
      <c r="M24" t="s">
        <v>2853</v>
      </c>
      <c r="N24" t="s">
        <v>2088</v>
      </c>
      <c r="O24" s="15">
        <v>42452</v>
      </c>
      <c r="P24" t="s">
        <v>2750</v>
      </c>
      <c r="Q24" t="s">
        <v>2829</v>
      </c>
      <c r="R24"/>
      <c r="S24">
        <f t="shared" si="0"/>
        <v>31</v>
      </c>
    </row>
    <row r="25" spans="1:19" ht="12.75" x14ac:dyDescent="0.2">
      <c r="A25" t="s">
        <v>3475</v>
      </c>
      <c r="B25" s="15">
        <v>42460</v>
      </c>
      <c r="C25" t="s">
        <v>3476</v>
      </c>
      <c r="D25" t="s">
        <v>3477</v>
      </c>
      <c r="E25" t="s">
        <v>2971</v>
      </c>
      <c r="F25">
        <v>1</v>
      </c>
      <c r="G25" t="s">
        <v>2880</v>
      </c>
      <c r="H25" t="s">
        <v>685</v>
      </c>
      <c r="I25" t="s">
        <v>229</v>
      </c>
      <c r="J25">
        <v>42468</v>
      </c>
      <c r="K25"/>
      <c r="L25"/>
      <c r="M25" t="s">
        <v>2853</v>
      </c>
      <c r="N25" t="s">
        <v>2088</v>
      </c>
      <c r="O25" s="15">
        <v>42468</v>
      </c>
      <c r="P25" t="s">
        <v>2750</v>
      </c>
      <c r="Q25" t="s">
        <v>2829</v>
      </c>
      <c r="R25"/>
      <c r="S25">
        <f t="shared" si="0"/>
        <v>8</v>
      </c>
    </row>
    <row r="26" spans="1:19" ht="12.75" x14ac:dyDescent="0.2">
      <c r="A26" t="s">
        <v>3478</v>
      </c>
      <c r="B26" s="15">
        <v>42461</v>
      </c>
      <c r="C26" t="s">
        <v>3479</v>
      </c>
      <c r="D26" t="s">
        <v>3480</v>
      </c>
      <c r="E26" t="s">
        <v>2971</v>
      </c>
      <c r="F26">
        <v>1</v>
      </c>
      <c r="G26" t="s">
        <v>2880</v>
      </c>
      <c r="H26" t="s">
        <v>516</v>
      </c>
      <c r="I26" t="s">
        <v>229</v>
      </c>
      <c r="J26">
        <v>42522</v>
      </c>
      <c r="K26"/>
      <c r="L26"/>
      <c r="M26" t="s">
        <v>2853</v>
      </c>
      <c r="N26" t="s">
        <v>2088</v>
      </c>
      <c r="O26" s="15">
        <v>42473</v>
      </c>
      <c r="P26" t="s">
        <v>2750</v>
      </c>
      <c r="Q26" t="s">
        <v>2829</v>
      </c>
      <c r="R26"/>
      <c r="S26">
        <f t="shared" si="0"/>
        <v>61</v>
      </c>
    </row>
    <row r="27" spans="1:19" ht="12.75" x14ac:dyDescent="0.2">
      <c r="A27" t="s">
        <v>3481</v>
      </c>
      <c r="B27" s="15">
        <v>42465</v>
      </c>
      <c r="C27" t="s">
        <v>3483</v>
      </c>
      <c r="D27" t="s">
        <v>3426</v>
      </c>
      <c r="E27" t="s">
        <v>3335</v>
      </c>
      <c r="F27">
        <v>1</v>
      </c>
      <c r="G27" t="s">
        <v>2852</v>
      </c>
      <c r="H27" t="s">
        <v>3167</v>
      </c>
      <c r="I27" t="s">
        <v>3211</v>
      </c>
      <c r="J27">
        <v>42495</v>
      </c>
      <c r="K27"/>
      <c r="L27"/>
      <c r="M27" t="s">
        <v>2853</v>
      </c>
      <c r="N27" t="s">
        <v>2088</v>
      </c>
      <c r="O27" s="15">
        <v>42466</v>
      </c>
      <c r="P27" t="s">
        <v>2750</v>
      </c>
      <c r="Q27" t="s">
        <v>2829</v>
      </c>
      <c r="R27"/>
      <c r="S27">
        <f t="shared" si="0"/>
        <v>30</v>
      </c>
    </row>
    <row r="28" spans="1:19" ht="12.75" x14ac:dyDescent="0.2">
      <c r="A28" t="s">
        <v>3482</v>
      </c>
      <c r="B28" s="15">
        <v>42466</v>
      </c>
      <c r="C28" t="s">
        <v>3484</v>
      </c>
      <c r="D28" t="s">
        <v>3426</v>
      </c>
      <c r="E28" t="s">
        <v>3335</v>
      </c>
      <c r="F28">
        <v>1</v>
      </c>
      <c r="G28" t="s">
        <v>2852</v>
      </c>
      <c r="H28" t="s">
        <v>3167</v>
      </c>
      <c r="I28" t="s">
        <v>3211</v>
      </c>
      <c r="J28">
        <v>42495</v>
      </c>
      <c r="K28"/>
      <c r="L28"/>
      <c r="M28" t="s">
        <v>2853</v>
      </c>
      <c r="N28" t="s">
        <v>2088</v>
      </c>
      <c r="O28" s="15">
        <v>42466</v>
      </c>
      <c r="P28" t="s">
        <v>2750</v>
      </c>
      <c r="Q28" t="s">
        <v>2829</v>
      </c>
      <c r="R28"/>
      <c r="S28">
        <f t="shared" si="0"/>
        <v>29</v>
      </c>
    </row>
    <row r="29" spans="1:19" ht="12.75" x14ac:dyDescent="0.2">
      <c r="A29" t="s">
        <v>3485</v>
      </c>
      <c r="B29" s="15">
        <v>42472</v>
      </c>
      <c r="C29" t="s">
        <v>3486</v>
      </c>
      <c r="D29" t="s">
        <v>3306</v>
      </c>
      <c r="E29" t="s">
        <v>2971</v>
      </c>
      <c r="F29">
        <v>1</v>
      </c>
      <c r="G29" t="s">
        <v>2846</v>
      </c>
      <c r="H29" t="s">
        <v>727</v>
      </c>
      <c r="I29" t="s">
        <v>229</v>
      </c>
      <c r="J29">
        <v>42674</v>
      </c>
      <c r="K29"/>
      <c r="L29"/>
      <c r="M29" t="s">
        <v>2853</v>
      </c>
      <c r="N29" t="s">
        <v>2088</v>
      </c>
      <c r="O29" s="15">
        <v>42495</v>
      </c>
      <c r="P29" t="s">
        <v>2750</v>
      </c>
      <c r="Q29" t="s">
        <v>2829</v>
      </c>
      <c r="R29"/>
      <c r="S29">
        <f t="shared" si="0"/>
        <v>202</v>
      </c>
    </row>
    <row r="30" spans="1:19" ht="12.75" x14ac:dyDescent="0.2">
      <c r="A30" t="s">
        <v>3487</v>
      </c>
      <c r="B30" s="15">
        <v>42473</v>
      </c>
      <c r="C30" t="s">
        <v>3488</v>
      </c>
      <c r="D30" t="s">
        <v>3489</v>
      </c>
      <c r="E30" t="s">
        <v>3033</v>
      </c>
      <c r="F30">
        <v>1</v>
      </c>
      <c r="G30" t="s">
        <v>2852</v>
      </c>
      <c r="H30" t="s">
        <v>3167</v>
      </c>
      <c r="I30" t="s">
        <v>3211</v>
      </c>
      <c r="J30">
        <v>42515</v>
      </c>
      <c r="K30"/>
      <c r="L30"/>
      <c r="M30" t="s">
        <v>2853</v>
      </c>
      <c r="N30" t="s">
        <v>2088</v>
      </c>
      <c r="O30" s="15">
        <v>42613</v>
      </c>
      <c r="P30" t="s">
        <v>2751</v>
      </c>
      <c r="Q30" t="s">
        <v>2835</v>
      </c>
      <c r="R30"/>
      <c r="S30">
        <f t="shared" si="0"/>
        <v>42</v>
      </c>
    </row>
    <row r="31" spans="1:19" ht="12.75" x14ac:dyDescent="0.2">
      <c r="A31" t="s">
        <v>3490</v>
      </c>
      <c r="B31" s="15">
        <v>42474</v>
      </c>
      <c r="C31" t="s">
        <v>3491</v>
      </c>
      <c r="D31" t="s">
        <v>3492</v>
      </c>
      <c r="E31" t="s">
        <v>2971</v>
      </c>
      <c r="F31">
        <v>2</v>
      </c>
      <c r="G31" t="s">
        <v>2880</v>
      </c>
      <c r="H31" t="s">
        <v>516</v>
      </c>
      <c r="I31" t="s">
        <v>229</v>
      </c>
      <c r="J31">
        <v>42551</v>
      </c>
      <c r="K31"/>
      <c r="L31"/>
      <c r="M31" t="s">
        <v>2853</v>
      </c>
      <c r="N31" t="s">
        <v>3061</v>
      </c>
      <c r="O31" s="15">
        <v>42583</v>
      </c>
      <c r="P31" t="s">
        <v>2750</v>
      </c>
      <c r="Q31" t="s">
        <v>2835</v>
      </c>
      <c r="R31"/>
      <c r="S31">
        <f t="shared" si="0"/>
        <v>77</v>
      </c>
    </row>
    <row r="32" spans="1:19" ht="12.75" x14ac:dyDescent="0.2">
      <c r="A32" t="s">
        <v>3493</v>
      </c>
      <c r="B32" s="15">
        <v>42489</v>
      </c>
      <c r="C32" t="s">
        <v>3494</v>
      </c>
      <c r="D32" t="s">
        <v>3498</v>
      </c>
      <c r="E32" t="s">
        <v>2971</v>
      </c>
      <c r="F32">
        <v>1</v>
      </c>
      <c r="G32" t="s">
        <v>2927</v>
      </c>
      <c r="H32" t="s">
        <v>229</v>
      </c>
      <c r="I32" t="s">
        <v>229</v>
      </c>
      <c r="J32">
        <v>42551</v>
      </c>
      <c r="K32"/>
      <c r="L32"/>
      <c r="M32" t="s">
        <v>2853</v>
      </c>
      <c r="N32" t="s">
        <v>2088</v>
      </c>
      <c r="O32" s="15">
        <v>42544</v>
      </c>
      <c r="P32" t="s">
        <v>2750</v>
      </c>
      <c r="Q32" t="s">
        <v>2832</v>
      </c>
      <c r="R32"/>
      <c r="S32">
        <f t="shared" si="0"/>
        <v>62</v>
      </c>
    </row>
    <row r="33" spans="1:19" ht="12.75" x14ac:dyDescent="0.2">
      <c r="A33" t="s">
        <v>3495</v>
      </c>
      <c r="B33" s="15">
        <v>42492</v>
      </c>
      <c r="C33" t="s">
        <v>3497</v>
      </c>
      <c r="D33" t="s">
        <v>3496</v>
      </c>
      <c r="E33" t="s">
        <v>3852</v>
      </c>
      <c r="F33">
        <v>1</v>
      </c>
      <c r="G33" t="s">
        <v>2852</v>
      </c>
      <c r="H33" t="s">
        <v>2428</v>
      </c>
      <c r="I33" t="s">
        <v>3211</v>
      </c>
      <c r="J33">
        <v>42503</v>
      </c>
      <c r="K33"/>
      <c r="L33"/>
      <c r="M33" t="s">
        <v>2853</v>
      </c>
      <c r="N33" t="s">
        <v>2088</v>
      </c>
      <c r="O33" s="15">
        <v>42494</v>
      </c>
      <c r="P33" t="s">
        <v>2750</v>
      </c>
      <c r="Q33" t="s">
        <v>2829</v>
      </c>
      <c r="R33"/>
      <c r="S33">
        <f t="shared" si="0"/>
        <v>11</v>
      </c>
    </row>
    <row r="34" spans="1:19" ht="12.75" x14ac:dyDescent="0.2">
      <c r="A34" t="s">
        <v>3499</v>
      </c>
      <c r="B34" s="15">
        <v>42513</v>
      </c>
      <c r="C34" t="s">
        <v>3500</v>
      </c>
      <c r="D34" t="s">
        <v>3039</v>
      </c>
      <c r="E34" t="s">
        <v>2971</v>
      </c>
      <c r="F34">
        <v>1</v>
      </c>
      <c r="G34" t="s">
        <v>2846</v>
      </c>
      <c r="H34" t="s">
        <v>2331</v>
      </c>
      <c r="I34" t="s">
        <v>229</v>
      </c>
      <c r="J34">
        <v>42551</v>
      </c>
      <c r="K34"/>
      <c r="L34"/>
      <c r="M34" t="s">
        <v>2853</v>
      </c>
      <c r="N34" t="s">
        <v>2088</v>
      </c>
      <c r="O34" s="15">
        <v>42524</v>
      </c>
      <c r="P34" t="s">
        <v>2750</v>
      </c>
      <c r="Q34" t="s">
        <v>2829</v>
      </c>
      <c r="R34"/>
      <c r="S34">
        <f t="shared" ref="S34:S65" si="1">J34-B34</f>
        <v>38</v>
      </c>
    </row>
    <row r="35" spans="1:19" ht="12.75" x14ac:dyDescent="0.2">
      <c r="A35" t="s">
        <v>3501</v>
      </c>
      <c r="B35" s="15">
        <v>42516</v>
      </c>
      <c r="C35" t="s">
        <v>3503</v>
      </c>
      <c r="D35" t="s">
        <v>3502</v>
      </c>
      <c r="E35" t="s">
        <v>2971</v>
      </c>
      <c r="F35">
        <v>1</v>
      </c>
      <c r="G35" t="s">
        <v>2922</v>
      </c>
      <c r="H35" t="s">
        <v>441</v>
      </c>
      <c r="I35" t="s">
        <v>229</v>
      </c>
      <c r="J35">
        <v>42521</v>
      </c>
      <c r="K35"/>
      <c r="L35"/>
      <c r="M35" t="s">
        <v>2853</v>
      </c>
      <c r="N35" t="s">
        <v>2088</v>
      </c>
      <c r="O35" s="15">
        <v>42516</v>
      </c>
      <c r="P35" t="s">
        <v>2750</v>
      </c>
      <c r="Q35" t="s">
        <v>2829</v>
      </c>
      <c r="R35"/>
      <c r="S35">
        <f t="shared" si="1"/>
        <v>5</v>
      </c>
    </row>
    <row r="36" spans="1:19" ht="12.75" x14ac:dyDescent="0.2">
      <c r="A36" t="s">
        <v>3504</v>
      </c>
      <c r="B36" s="15">
        <v>42527</v>
      </c>
      <c r="C36" t="s">
        <v>3505</v>
      </c>
      <c r="D36" t="s">
        <v>3506</v>
      </c>
      <c r="E36" t="s">
        <v>3323</v>
      </c>
      <c r="F36">
        <v>1</v>
      </c>
      <c r="G36" t="s">
        <v>2852</v>
      </c>
      <c r="H36" t="s">
        <v>3227</v>
      </c>
      <c r="I36" t="s">
        <v>3211</v>
      </c>
      <c r="J36">
        <v>42534</v>
      </c>
      <c r="K36"/>
      <c r="L36"/>
      <c r="M36" t="s">
        <v>2853</v>
      </c>
      <c r="N36" t="s">
        <v>2088</v>
      </c>
      <c r="O36" s="15">
        <v>42538</v>
      </c>
      <c r="P36" t="s">
        <v>2751</v>
      </c>
      <c r="Q36" t="s">
        <v>2829</v>
      </c>
      <c r="R36"/>
      <c r="S36">
        <f t="shared" si="1"/>
        <v>7</v>
      </c>
    </row>
    <row r="37" spans="1:19" ht="12.75" x14ac:dyDescent="0.2">
      <c r="A37" t="s">
        <v>3507</v>
      </c>
      <c r="B37" s="15">
        <v>42528</v>
      </c>
      <c r="C37" t="s">
        <v>3508</v>
      </c>
      <c r="D37" t="s">
        <v>3509</v>
      </c>
      <c r="E37" t="s">
        <v>2869</v>
      </c>
      <c r="F37">
        <v>1</v>
      </c>
      <c r="G37" t="s">
        <v>2852</v>
      </c>
      <c r="H37" t="s">
        <v>3423</v>
      </c>
      <c r="I37" t="s">
        <v>3211</v>
      </c>
      <c r="J37">
        <v>42558</v>
      </c>
      <c r="K37"/>
      <c r="L37"/>
      <c r="M37" t="s">
        <v>2853</v>
      </c>
      <c r="N37" t="s">
        <v>2088</v>
      </c>
      <c r="O37" s="15">
        <v>42594</v>
      </c>
      <c r="P37" t="s">
        <v>2751</v>
      </c>
      <c r="Q37" t="s">
        <v>2832</v>
      </c>
      <c r="R37"/>
      <c r="S37">
        <f t="shared" si="1"/>
        <v>30</v>
      </c>
    </row>
    <row r="38" spans="1:19" ht="12.75" x14ac:dyDescent="0.2">
      <c r="A38" t="s">
        <v>3510</v>
      </c>
      <c r="B38" s="15">
        <v>42543</v>
      </c>
      <c r="C38" t="s">
        <v>3530</v>
      </c>
      <c r="D38" t="s">
        <v>3531</v>
      </c>
      <c r="E38" t="s">
        <v>3519</v>
      </c>
      <c r="F38">
        <v>2</v>
      </c>
      <c r="G38" t="s">
        <v>2852</v>
      </c>
      <c r="H38" t="s">
        <v>3227</v>
      </c>
      <c r="I38" t="s">
        <v>3211</v>
      </c>
      <c r="J38">
        <v>42556</v>
      </c>
      <c r="K38"/>
      <c r="L38"/>
      <c r="M38" t="s">
        <v>2853</v>
      </c>
      <c r="N38" t="s">
        <v>2088</v>
      </c>
      <c r="O38" s="15">
        <v>42633</v>
      </c>
      <c r="P38" t="s">
        <v>2751</v>
      </c>
      <c r="Q38" t="s">
        <v>2832</v>
      </c>
      <c r="R38"/>
      <c r="S38">
        <f t="shared" si="1"/>
        <v>13</v>
      </c>
    </row>
    <row r="39" spans="1:19" ht="12.75" x14ac:dyDescent="0.2">
      <c r="A39" t="s">
        <v>3511</v>
      </c>
      <c r="B39" s="15">
        <v>42536</v>
      </c>
      <c r="C39" t="s">
        <v>3512</v>
      </c>
      <c r="D39" t="s">
        <v>3513</v>
      </c>
      <c r="E39" t="s">
        <v>2971</v>
      </c>
      <c r="F39">
        <v>1</v>
      </c>
      <c r="G39" t="s">
        <v>2846</v>
      </c>
      <c r="H39" t="s">
        <v>237</v>
      </c>
      <c r="I39" t="s">
        <v>229</v>
      </c>
      <c r="J39">
        <v>42551</v>
      </c>
      <c r="K39"/>
      <c r="L39"/>
      <c r="M39" t="s">
        <v>2853</v>
      </c>
      <c r="N39" t="s">
        <v>2088</v>
      </c>
      <c r="O39" s="15">
        <v>42543</v>
      </c>
      <c r="P39" t="s">
        <v>2750</v>
      </c>
      <c r="Q39" t="s">
        <v>2829</v>
      </c>
      <c r="R39"/>
      <c r="S39">
        <f t="shared" si="1"/>
        <v>15</v>
      </c>
    </row>
    <row r="40" spans="1:19" ht="12.75" x14ac:dyDescent="0.2">
      <c r="A40" t="s">
        <v>3514</v>
      </c>
      <c r="B40" s="15">
        <v>42536</v>
      </c>
      <c r="C40" t="s">
        <v>3515</v>
      </c>
      <c r="D40" t="s">
        <v>3535</v>
      </c>
      <c r="E40" t="s">
        <v>2971</v>
      </c>
      <c r="F40">
        <v>1</v>
      </c>
      <c r="G40" t="s">
        <v>2846</v>
      </c>
      <c r="H40" t="s">
        <v>2106</v>
      </c>
      <c r="I40" t="s">
        <v>441</v>
      </c>
      <c r="J40">
        <v>42580</v>
      </c>
      <c r="K40"/>
      <c r="L40"/>
      <c r="M40" t="s">
        <v>2853</v>
      </c>
      <c r="N40" t="s">
        <v>2088</v>
      </c>
      <c r="O40" s="15">
        <v>42562</v>
      </c>
      <c r="P40" t="s">
        <v>2750</v>
      </c>
      <c r="Q40" t="s">
        <v>2829</v>
      </c>
      <c r="R40"/>
      <c r="S40">
        <f t="shared" si="1"/>
        <v>44</v>
      </c>
    </row>
    <row r="41" spans="1:19" ht="12.75" x14ac:dyDescent="0.2">
      <c r="A41" t="s">
        <v>3516</v>
      </c>
      <c r="B41" s="15">
        <v>42537</v>
      </c>
      <c r="C41" t="s">
        <v>3517</v>
      </c>
      <c r="D41" t="s">
        <v>3518</v>
      </c>
      <c r="E41" t="s">
        <v>3519</v>
      </c>
      <c r="F41">
        <v>1</v>
      </c>
      <c r="G41" t="s">
        <v>2852</v>
      </c>
      <c r="H41" t="s">
        <v>3227</v>
      </c>
      <c r="I41" t="s">
        <v>3211</v>
      </c>
      <c r="J41">
        <v>42539</v>
      </c>
      <c r="K41"/>
      <c r="L41"/>
      <c r="M41" t="s">
        <v>2853</v>
      </c>
      <c r="N41" t="s">
        <v>2088</v>
      </c>
      <c r="O41" s="15">
        <v>42538</v>
      </c>
      <c r="P41" t="s">
        <v>2750</v>
      </c>
      <c r="Q41" t="s">
        <v>2829</v>
      </c>
      <c r="R41"/>
      <c r="S41">
        <f t="shared" si="1"/>
        <v>2</v>
      </c>
    </row>
    <row r="42" spans="1:19" ht="12.75" x14ac:dyDescent="0.2">
      <c r="A42" t="s">
        <v>3520</v>
      </c>
      <c r="B42" s="15">
        <v>42544</v>
      </c>
      <c r="C42" t="s">
        <v>3521</v>
      </c>
      <c r="D42" t="s">
        <v>3522</v>
      </c>
      <c r="E42" t="s">
        <v>2971</v>
      </c>
      <c r="F42">
        <v>1</v>
      </c>
      <c r="G42" t="s">
        <v>2846</v>
      </c>
      <c r="H42" t="s">
        <v>727</v>
      </c>
      <c r="I42" t="s">
        <v>229</v>
      </c>
      <c r="J42">
        <v>42582</v>
      </c>
      <c r="K42"/>
      <c r="L42"/>
      <c r="M42" t="s">
        <v>2853</v>
      </c>
      <c r="N42" t="s">
        <v>2088</v>
      </c>
      <c r="O42" s="15">
        <v>42573</v>
      </c>
      <c r="P42" t="s">
        <v>2750</v>
      </c>
      <c r="Q42" t="s">
        <v>2829</v>
      </c>
      <c r="R42"/>
      <c r="S42">
        <f t="shared" si="1"/>
        <v>38</v>
      </c>
    </row>
    <row r="43" spans="1:19" ht="12.75" x14ac:dyDescent="0.2">
      <c r="A43" t="s">
        <v>3523</v>
      </c>
      <c r="B43" s="15">
        <v>42544</v>
      </c>
      <c r="C43" t="s">
        <v>3524</v>
      </c>
      <c r="D43" t="s">
        <v>3525</v>
      </c>
      <c r="E43" t="s">
        <v>2971</v>
      </c>
      <c r="F43">
        <v>1</v>
      </c>
      <c r="G43" t="s">
        <v>2846</v>
      </c>
      <c r="H43" t="s">
        <v>685</v>
      </c>
      <c r="I43" t="s">
        <v>229</v>
      </c>
      <c r="J43">
        <v>42582</v>
      </c>
      <c r="K43"/>
      <c r="L43"/>
      <c r="M43" t="s">
        <v>2853</v>
      </c>
      <c r="N43" t="s">
        <v>2088</v>
      </c>
      <c r="O43" s="15">
        <v>42564</v>
      </c>
      <c r="P43" t="s">
        <v>2750</v>
      </c>
      <c r="Q43" t="s">
        <v>2829</v>
      </c>
      <c r="R43"/>
      <c r="S43">
        <f t="shared" si="1"/>
        <v>38</v>
      </c>
    </row>
    <row r="44" spans="1:19" ht="12.75" x14ac:dyDescent="0.2">
      <c r="A44" t="s">
        <v>3526</v>
      </c>
      <c r="B44" s="15">
        <v>42544</v>
      </c>
      <c r="C44" t="s">
        <v>3528</v>
      </c>
      <c r="D44" t="s">
        <v>3529</v>
      </c>
      <c r="E44" t="s">
        <v>2971</v>
      </c>
      <c r="F44">
        <v>1</v>
      </c>
      <c r="G44" t="s">
        <v>2846</v>
      </c>
      <c r="H44" t="s">
        <v>229</v>
      </c>
      <c r="I44" t="s">
        <v>229</v>
      </c>
      <c r="J44">
        <v>42582</v>
      </c>
      <c r="K44"/>
      <c r="L44"/>
      <c r="M44" t="s">
        <v>2853</v>
      </c>
      <c r="N44" t="s">
        <v>2088</v>
      </c>
      <c r="O44" s="15">
        <v>42572</v>
      </c>
      <c r="P44" t="s">
        <v>2750</v>
      </c>
      <c r="Q44" t="s">
        <v>2829</v>
      </c>
      <c r="R44"/>
      <c r="S44">
        <f t="shared" si="1"/>
        <v>38</v>
      </c>
    </row>
    <row r="45" spans="1:19" ht="12.75" x14ac:dyDescent="0.2">
      <c r="A45" t="s">
        <v>3544</v>
      </c>
      <c r="B45" s="15">
        <v>42545</v>
      </c>
      <c r="C45" t="s">
        <v>3603</v>
      </c>
      <c r="D45" t="s">
        <v>3527</v>
      </c>
      <c r="E45" t="s">
        <v>2971</v>
      </c>
      <c r="F45">
        <v>1</v>
      </c>
      <c r="G45" t="s">
        <v>2846</v>
      </c>
      <c r="H45" t="s">
        <v>3211</v>
      </c>
      <c r="I45" t="s">
        <v>3211</v>
      </c>
      <c r="J45">
        <v>42582</v>
      </c>
      <c r="K45"/>
      <c r="L45"/>
      <c r="M45" t="s">
        <v>2853</v>
      </c>
      <c r="N45" t="s">
        <v>2088</v>
      </c>
      <c r="O45" s="15">
        <v>42571</v>
      </c>
      <c r="P45" t="s">
        <v>2750</v>
      </c>
      <c r="Q45" t="s">
        <v>2829</v>
      </c>
      <c r="R45"/>
      <c r="S45">
        <f t="shared" si="1"/>
        <v>37</v>
      </c>
    </row>
    <row r="46" spans="1:19" ht="12.75" x14ac:dyDescent="0.2">
      <c r="A46" t="s">
        <v>3545</v>
      </c>
      <c r="B46" s="15">
        <v>42550</v>
      </c>
      <c r="C46" t="s">
        <v>3533</v>
      </c>
      <c r="D46" t="s">
        <v>3518</v>
      </c>
      <c r="E46" t="s">
        <v>3532</v>
      </c>
      <c r="F46">
        <v>1</v>
      </c>
      <c r="G46" t="s">
        <v>2852</v>
      </c>
      <c r="H46" t="s">
        <v>3227</v>
      </c>
      <c r="I46" t="s">
        <v>3211</v>
      </c>
      <c r="J46">
        <v>42580</v>
      </c>
      <c r="K46"/>
      <c r="L46"/>
      <c r="M46" t="s">
        <v>2853</v>
      </c>
      <c r="N46" t="s">
        <v>2088</v>
      </c>
      <c r="O46" s="15">
        <v>42706</v>
      </c>
      <c r="P46" t="s">
        <v>2751</v>
      </c>
      <c r="Q46" t="s">
        <v>2835</v>
      </c>
      <c r="R46"/>
      <c r="S46">
        <f t="shared" si="1"/>
        <v>30</v>
      </c>
    </row>
    <row r="47" spans="1:19" ht="12.75" x14ac:dyDescent="0.2">
      <c r="A47" t="s">
        <v>3546</v>
      </c>
      <c r="B47" s="15">
        <v>42551</v>
      </c>
      <c r="C47" t="s">
        <v>3534</v>
      </c>
      <c r="D47" t="s">
        <v>3177</v>
      </c>
      <c r="E47" t="s">
        <v>2971</v>
      </c>
      <c r="F47">
        <v>1</v>
      </c>
      <c r="G47" t="s">
        <v>2846</v>
      </c>
      <c r="H47" t="s">
        <v>685</v>
      </c>
      <c r="I47" t="s">
        <v>229</v>
      </c>
      <c r="J47">
        <v>42582</v>
      </c>
      <c r="K47"/>
      <c r="L47"/>
      <c r="M47" t="s">
        <v>2853</v>
      </c>
      <c r="N47" t="s">
        <v>2088</v>
      </c>
      <c r="O47" s="15">
        <v>42580</v>
      </c>
      <c r="P47" t="s">
        <v>2750</v>
      </c>
      <c r="Q47" t="s">
        <v>2829</v>
      </c>
      <c r="R47"/>
      <c r="S47">
        <f t="shared" si="1"/>
        <v>31</v>
      </c>
    </row>
    <row r="48" spans="1:19" ht="12.75" x14ac:dyDescent="0.2">
      <c r="A48" t="s">
        <v>3547</v>
      </c>
      <c r="B48" s="15">
        <v>42562</v>
      </c>
      <c r="C48" t="s">
        <v>3536</v>
      </c>
      <c r="D48" t="s">
        <v>3225</v>
      </c>
      <c r="E48" t="s">
        <v>2971</v>
      </c>
      <c r="F48">
        <v>1</v>
      </c>
      <c r="G48" t="s">
        <v>2846</v>
      </c>
      <c r="H48" t="s">
        <v>1203</v>
      </c>
      <c r="I48" t="s">
        <v>229</v>
      </c>
      <c r="J48">
        <v>42613</v>
      </c>
      <c r="K48"/>
      <c r="L48"/>
      <c r="M48" t="s">
        <v>2853</v>
      </c>
      <c r="N48" t="s">
        <v>3022</v>
      </c>
      <c r="O48" s="15">
        <v>43209</v>
      </c>
      <c r="P48" t="s">
        <v>2751</v>
      </c>
      <c r="Q48" t="s">
        <v>2839</v>
      </c>
      <c r="R48"/>
      <c r="S48">
        <f t="shared" si="1"/>
        <v>51</v>
      </c>
    </row>
    <row r="49" spans="1:19" ht="12.75" x14ac:dyDescent="0.2">
      <c r="A49" t="s">
        <v>3548</v>
      </c>
      <c r="B49" s="15">
        <v>42562</v>
      </c>
      <c r="C49" t="s">
        <v>3537</v>
      </c>
      <c r="D49" t="s">
        <v>3225</v>
      </c>
      <c r="E49" t="s">
        <v>2971</v>
      </c>
      <c r="F49">
        <v>1</v>
      </c>
      <c r="G49" t="s">
        <v>2846</v>
      </c>
      <c r="H49" t="s">
        <v>229</v>
      </c>
      <c r="I49" t="s">
        <v>229</v>
      </c>
      <c r="J49">
        <v>42613</v>
      </c>
      <c r="K49"/>
      <c r="L49"/>
      <c r="M49" t="s">
        <v>2853</v>
      </c>
      <c r="N49" t="s">
        <v>3022</v>
      </c>
      <c r="O49" s="15">
        <v>43024</v>
      </c>
      <c r="P49" t="s">
        <v>2751</v>
      </c>
      <c r="Q49" t="s">
        <v>2835</v>
      </c>
      <c r="R49"/>
      <c r="S49">
        <f t="shared" si="1"/>
        <v>51</v>
      </c>
    </row>
    <row r="50" spans="1:19" ht="12.75" x14ac:dyDescent="0.2">
      <c r="A50" t="s">
        <v>3549</v>
      </c>
      <c r="B50" s="15">
        <v>42562</v>
      </c>
      <c r="C50" t="s">
        <v>3538</v>
      </c>
      <c r="D50" t="s">
        <v>3225</v>
      </c>
      <c r="E50" t="s">
        <v>2971</v>
      </c>
      <c r="F50">
        <v>1</v>
      </c>
      <c r="G50" t="s">
        <v>2846</v>
      </c>
      <c r="H50" t="s">
        <v>229</v>
      </c>
      <c r="I50" t="s">
        <v>229</v>
      </c>
      <c r="J50">
        <v>42613</v>
      </c>
      <c r="K50"/>
      <c r="L50"/>
      <c r="M50" t="s">
        <v>2853</v>
      </c>
      <c r="N50" t="s">
        <v>3022</v>
      </c>
      <c r="O50" s="15">
        <v>43054</v>
      </c>
      <c r="P50" t="s">
        <v>2751</v>
      </c>
      <c r="Q50" t="s">
        <v>2839</v>
      </c>
      <c r="R50"/>
      <c r="S50">
        <f t="shared" si="1"/>
        <v>51</v>
      </c>
    </row>
    <row r="51" spans="1:19" ht="12.75" x14ac:dyDescent="0.2">
      <c r="A51" t="s">
        <v>3550</v>
      </c>
      <c r="B51" s="15">
        <v>42562</v>
      </c>
      <c r="C51" t="s">
        <v>3539</v>
      </c>
      <c r="D51" t="s">
        <v>3177</v>
      </c>
      <c r="E51" t="s">
        <v>2971</v>
      </c>
      <c r="F51">
        <v>1</v>
      </c>
      <c r="G51" t="s">
        <v>2846</v>
      </c>
      <c r="H51" t="s">
        <v>1339</v>
      </c>
      <c r="I51" t="s">
        <v>229</v>
      </c>
      <c r="J51">
        <v>42613</v>
      </c>
      <c r="K51"/>
      <c r="L51"/>
      <c r="M51" t="s">
        <v>2853</v>
      </c>
      <c r="N51" t="s">
        <v>3022</v>
      </c>
      <c r="O51" s="15">
        <v>43066</v>
      </c>
      <c r="P51" t="s">
        <v>2751</v>
      </c>
      <c r="Q51" t="s">
        <v>2839</v>
      </c>
      <c r="R51"/>
      <c r="S51">
        <f t="shared" si="1"/>
        <v>51</v>
      </c>
    </row>
    <row r="52" spans="1:19" ht="12.75" x14ac:dyDescent="0.2">
      <c r="A52" t="s">
        <v>3551</v>
      </c>
      <c r="B52" s="15">
        <v>42562</v>
      </c>
      <c r="C52" t="s">
        <v>3540</v>
      </c>
      <c r="D52" t="s">
        <v>3177</v>
      </c>
      <c r="E52" t="s">
        <v>2971</v>
      </c>
      <c r="F52">
        <v>1</v>
      </c>
      <c r="G52" t="s">
        <v>2846</v>
      </c>
      <c r="H52" t="s">
        <v>486</v>
      </c>
      <c r="I52" t="s">
        <v>229</v>
      </c>
      <c r="J52">
        <v>42613</v>
      </c>
      <c r="K52"/>
      <c r="L52"/>
      <c r="M52" t="s">
        <v>2853</v>
      </c>
      <c r="N52" t="s">
        <v>3022</v>
      </c>
      <c r="O52" s="15">
        <v>43061</v>
      </c>
      <c r="P52" t="s">
        <v>2751</v>
      </c>
      <c r="Q52" t="s">
        <v>2839</v>
      </c>
      <c r="R52"/>
      <c r="S52">
        <f t="shared" si="1"/>
        <v>51</v>
      </c>
    </row>
    <row r="53" spans="1:19" ht="12.75" x14ac:dyDescent="0.2">
      <c r="A53" t="s">
        <v>3552</v>
      </c>
      <c r="B53" s="15">
        <v>42562</v>
      </c>
      <c r="C53" t="s">
        <v>3541</v>
      </c>
      <c r="D53" t="s">
        <v>3225</v>
      </c>
      <c r="E53" t="s">
        <v>2971</v>
      </c>
      <c r="F53">
        <v>1</v>
      </c>
      <c r="G53" t="s">
        <v>2846</v>
      </c>
      <c r="H53" t="s">
        <v>685</v>
      </c>
      <c r="I53" t="s">
        <v>229</v>
      </c>
      <c r="J53">
        <v>42613</v>
      </c>
      <c r="K53"/>
      <c r="L53"/>
      <c r="M53" t="s">
        <v>2853</v>
      </c>
      <c r="N53" t="s">
        <v>2088</v>
      </c>
      <c r="O53" s="15">
        <v>42573</v>
      </c>
      <c r="P53" t="s">
        <v>2750</v>
      </c>
      <c r="Q53" t="s">
        <v>2829</v>
      </c>
      <c r="R53"/>
      <c r="S53">
        <f t="shared" si="1"/>
        <v>51</v>
      </c>
    </row>
    <row r="54" spans="1:19" ht="12.75" x14ac:dyDescent="0.2">
      <c r="A54" t="s">
        <v>3553</v>
      </c>
      <c r="B54" s="15">
        <v>42562</v>
      </c>
      <c r="C54" t="s">
        <v>3542</v>
      </c>
      <c r="D54" t="s">
        <v>3225</v>
      </c>
      <c r="E54" t="s">
        <v>2971</v>
      </c>
      <c r="F54">
        <v>1</v>
      </c>
      <c r="G54" t="s">
        <v>2846</v>
      </c>
      <c r="H54" t="s">
        <v>481</v>
      </c>
      <c r="I54" t="s">
        <v>229</v>
      </c>
      <c r="J54">
        <v>42613</v>
      </c>
      <c r="K54"/>
      <c r="L54"/>
      <c r="M54" t="s">
        <v>2853</v>
      </c>
      <c r="N54" t="s">
        <v>3022</v>
      </c>
      <c r="O54" s="15">
        <v>43039</v>
      </c>
      <c r="P54" t="s">
        <v>2751</v>
      </c>
      <c r="Q54" t="s">
        <v>2839</v>
      </c>
      <c r="R54"/>
      <c r="S54">
        <f t="shared" si="1"/>
        <v>51</v>
      </c>
    </row>
    <row r="55" spans="1:19" ht="12.75" x14ac:dyDescent="0.2">
      <c r="A55" t="s">
        <v>3543</v>
      </c>
      <c r="B55" s="15">
        <v>42562</v>
      </c>
      <c r="C55" t="s">
        <v>3554</v>
      </c>
      <c r="D55" t="s">
        <v>3555</v>
      </c>
      <c r="E55" t="s">
        <v>2971</v>
      </c>
      <c r="F55">
        <v>1</v>
      </c>
      <c r="G55" t="s">
        <v>2846</v>
      </c>
      <c r="H55" t="s">
        <v>685</v>
      </c>
      <c r="I55" t="s">
        <v>229</v>
      </c>
      <c r="J55">
        <v>42643</v>
      </c>
      <c r="K55"/>
      <c r="L55"/>
      <c r="M55" t="s">
        <v>2853</v>
      </c>
      <c r="N55" t="s">
        <v>3022</v>
      </c>
      <c r="O55" s="15">
        <v>43020</v>
      </c>
      <c r="P55" t="s">
        <v>2751</v>
      </c>
      <c r="Q55" t="s">
        <v>2839</v>
      </c>
      <c r="R55"/>
      <c r="S55">
        <f t="shared" si="1"/>
        <v>81</v>
      </c>
    </row>
    <row r="56" spans="1:19" ht="12.75" x14ac:dyDescent="0.2">
      <c r="A56" t="s">
        <v>3556</v>
      </c>
      <c r="B56" s="15">
        <v>42562</v>
      </c>
      <c r="C56" t="s">
        <v>3557</v>
      </c>
      <c r="D56" t="s">
        <v>3558</v>
      </c>
      <c r="E56" t="s">
        <v>2971</v>
      </c>
      <c r="F56">
        <v>1</v>
      </c>
      <c r="G56" t="s">
        <v>2880</v>
      </c>
      <c r="H56" t="s">
        <v>685</v>
      </c>
      <c r="I56" t="s">
        <v>229</v>
      </c>
      <c r="J56">
        <v>42582</v>
      </c>
      <c r="K56"/>
      <c r="L56"/>
      <c r="M56" t="s">
        <v>2853</v>
      </c>
      <c r="N56" t="s">
        <v>2088</v>
      </c>
      <c r="O56" s="15">
        <v>42563</v>
      </c>
      <c r="P56" t="s">
        <v>2750</v>
      </c>
      <c r="Q56" t="s">
        <v>2829</v>
      </c>
      <c r="R56"/>
      <c r="S56">
        <f t="shared" si="1"/>
        <v>20</v>
      </c>
    </row>
    <row r="57" spans="1:19" ht="12.75" x14ac:dyDescent="0.2">
      <c r="A57" t="s">
        <v>3559</v>
      </c>
      <c r="B57" s="15">
        <v>42566</v>
      </c>
      <c r="C57" t="s">
        <v>3560</v>
      </c>
      <c r="D57" t="s">
        <v>3518</v>
      </c>
      <c r="E57" t="s">
        <v>2971</v>
      </c>
      <c r="F57">
        <v>1</v>
      </c>
      <c r="G57" t="s">
        <v>2852</v>
      </c>
      <c r="H57" t="s">
        <v>3423</v>
      </c>
      <c r="I57" t="s">
        <v>3211</v>
      </c>
      <c r="J57">
        <v>42580</v>
      </c>
      <c r="K57"/>
      <c r="L57"/>
      <c r="M57" t="s">
        <v>1056</v>
      </c>
      <c r="N57" t="s">
        <v>2088</v>
      </c>
      <c r="O57" s="15">
        <v>43040</v>
      </c>
      <c r="P57" t="s">
        <v>2751</v>
      </c>
      <c r="Q57" t="s">
        <v>2839</v>
      </c>
      <c r="R57"/>
      <c r="S57">
        <f t="shared" si="1"/>
        <v>14</v>
      </c>
    </row>
    <row r="58" spans="1:19" ht="12.75" x14ac:dyDescent="0.2">
      <c r="A58" t="s">
        <v>3561</v>
      </c>
      <c r="B58" s="15">
        <v>42571</v>
      </c>
      <c r="C58" t="s">
        <v>3562</v>
      </c>
      <c r="D58" t="s">
        <v>3563</v>
      </c>
      <c r="E58" t="s">
        <v>2971</v>
      </c>
      <c r="F58">
        <v>1</v>
      </c>
      <c r="G58" t="s">
        <v>2927</v>
      </c>
      <c r="H58" t="s">
        <v>229</v>
      </c>
      <c r="I58" t="s">
        <v>229</v>
      </c>
      <c r="J58">
        <v>42582</v>
      </c>
      <c r="K58"/>
      <c r="L58"/>
      <c r="M58" t="s">
        <v>2853</v>
      </c>
      <c r="N58" t="s">
        <v>3022</v>
      </c>
      <c r="O58" s="15">
        <v>42599</v>
      </c>
      <c r="P58" t="s">
        <v>2751</v>
      </c>
      <c r="Q58" t="s">
        <v>2829</v>
      </c>
      <c r="R58"/>
      <c r="S58">
        <f t="shared" si="1"/>
        <v>11</v>
      </c>
    </row>
    <row r="59" spans="1:19" ht="12.75" x14ac:dyDescent="0.2">
      <c r="A59" t="s">
        <v>3564</v>
      </c>
      <c r="B59" s="15">
        <v>42576</v>
      </c>
      <c r="C59" t="s">
        <v>3565</v>
      </c>
      <c r="D59" t="s">
        <v>3566</v>
      </c>
      <c r="E59" t="s">
        <v>3335</v>
      </c>
      <c r="F59">
        <v>2</v>
      </c>
      <c r="G59" t="s">
        <v>2852</v>
      </c>
      <c r="H59" t="s">
        <v>3167</v>
      </c>
      <c r="I59" t="s">
        <v>3211</v>
      </c>
      <c r="J59">
        <v>42621</v>
      </c>
      <c r="K59"/>
      <c r="L59"/>
      <c r="M59" t="s">
        <v>2853</v>
      </c>
      <c r="N59" t="s">
        <v>2088</v>
      </c>
      <c r="O59" s="15">
        <v>42613</v>
      </c>
      <c r="P59" t="s">
        <v>2750</v>
      </c>
      <c r="Q59" t="s">
        <v>2832</v>
      </c>
      <c r="R59"/>
      <c r="S59">
        <f t="shared" si="1"/>
        <v>45</v>
      </c>
    </row>
    <row r="60" spans="1:19" ht="12.75" x14ac:dyDescent="0.2">
      <c r="A60" t="s">
        <v>3569</v>
      </c>
      <c r="B60" s="15">
        <v>42583</v>
      </c>
      <c r="C60" t="s">
        <v>3571</v>
      </c>
      <c r="D60" t="s">
        <v>3570</v>
      </c>
      <c r="E60" t="s">
        <v>2971</v>
      </c>
      <c r="F60">
        <v>1</v>
      </c>
      <c r="G60" t="s">
        <v>2880</v>
      </c>
      <c r="H60" t="s">
        <v>516</v>
      </c>
      <c r="I60" t="s">
        <v>229</v>
      </c>
      <c r="J60" s="15">
        <v>42629</v>
      </c>
      <c r="K60" s="15">
        <v>42704</v>
      </c>
      <c r="L60" s="15">
        <v>42825</v>
      </c>
      <c r="M60" t="s">
        <v>2853</v>
      </c>
      <c r="N60" t="s">
        <v>3061</v>
      </c>
      <c r="O60" s="15">
        <v>42807</v>
      </c>
      <c r="P60" t="s">
        <v>5986</v>
      </c>
      <c r="Q60" t="s">
        <v>4340</v>
      </c>
      <c r="R60"/>
      <c r="S60">
        <f t="shared" si="1"/>
        <v>46</v>
      </c>
    </row>
    <row r="61" spans="1:19" ht="12.75" x14ac:dyDescent="0.2">
      <c r="A61" t="s">
        <v>3572</v>
      </c>
      <c r="B61" s="15">
        <v>42584</v>
      </c>
      <c r="C61" t="s">
        <v>3573</v>
      </c>
      <c r="D61" t="s">
        <v>3574</v>
      </c>
      <c r="E61" t="s">
        <v>2971</v>
      </c>
      <c r="F61">
        <v>1</v>
      </c>
      <c r="G61" t="s">
        <v>2880</v>
      </c>
      <c r="H61" t="s">
        <v>516</v>
      </c>
      <c r="I61" t="s">
        <v>229</v>
      </c>
      <c r="J61">
        <v>42629</v>
      </c>
      <c r="K61"/>
      <c r="L61"/>
      <c r="M61" t="s">
        <v>2853</v>
      </c>
      <c r="N61" t="s">
        <v>2088</v>
      </c>
      <c r="O61" s="15">
        <v>42629</v>
      </c>
      <c r="P61" t="s">
        <v>2750</v>
      </c>
      <c r="Q61" t="s">
        <v>2832</v>
      </c>
      <c r="R61"/>
      <c r="S61">
        <f t="shared" si="1"/>
        <v>45</v>
      </c>
    </row>
    <row r="62" spans="1:19" ht="12.75" x14ac:dyDescent="0.2">
      <c r="A62" t="s">
        <v>3575</v>
      </c>
      <c r="B62" s="15">
        <v>42584</v>
      </c>
      <c r="C62" t="s">
        <v>3578</v>
      </c>
      <c r="D62" t="s">
        <v>3225</v>
      </c>
      <c r="E62" t="s">
        <v>2971</v>
      </c>
      <c r="F62">
        <v>1</v>
      </c>
      <c r="G62" t="s">
        <v>2846</v>
      </c>
      <c r="H62" t="s">
        <v>516</v>
      </c>
      <c r="I62" t="s">
        <v>229</v>
      </c>
      <c r="J62">
        <v>42643</v>
      </c>
      <c r="K62"/>
      <c r="L62"/>
      <c r="M62" t="s">
        <v>2853</v>
      </c>
      <c r="N62" t="s">
        <v>2912</v>
      </c>
      <c r="O62" s="15">
        <v>43067</v>
      </c>
      <c r="P62" t="s">
        <v>2751</v>
      </c>
      <c r="Q62" t="s">
        <v>2839</v>
      </c>
      <c r="R62"/>
      <c r="S62">
        <f t="shared" si="1"/>
        <v>59</v>
      </c>
    </row>
    <row r="63" spans="1:19" ht="12.75" x14ac:dyDescent="0.2">
      <c r="A63" t="s">
        <v>3576</v>
      </c>
      <c r="B63" s="15">
        <v>42584</v>
      </c>
      <c r="C63" t="s">
        <v>3579</v>
      </c>
      <c r="D63" t="s">
        <v>3577</v>
      </c>
      <c r="E63" t="s">
        <v>2971</v>
      </c>
      <c r="F63">
        <v>1</v>
      </c>
      <c r="G63" t="s">
        <v>2846</v>
      </c>
      <c r="H63" t="s">
        <v>685</v>
      </c>
      <c r="I63" t="s">
        <v>229</v>
      </c>
      <c r="J63">
        <v>42643</v>
      </c>
      <c r="K63"/>
      <c r="L63"/>
      <c r="M63" t="s">
        <v>2853</v>
      </c>
      <c r="N63" t="s">
        <v>3022</v>
      </c>
      <c r="O63" s="15">
        <v>43284</v>
      </c>
      <c r="P63" t="s">
        <v>2751</v>
      </c>
      <c r="Q63" t="s">
        <v>2839</v>
      </c>
      <c r="R63"/>
      <c r="S63">
        <f t="shared" si="1"/>
        <v>59</v>
      </c>
    </row>
    <row r="64" spans="1:19" ht="12.75" x14ac:dyDescent="0.2">
      <c r="A64" t="s">
        <v>3580</v>
      </c>
      <c r="B64" s="15">
        <v>42591</v>
      </c>
      <c r="C64" t="s">
        <v>3581</v>
      </c>
      <c r="D64" t="s">
        <v>3582</v>
      </c>
      <c r="E64" t="s">
        <v>2971</v>
      </c>
      <c r="F64">
        <v>1</v>
      </c>
      <c r="G64" t="s">
        <v>2880</v>
      </c>
      <c r="H64" t="s">
        <v>685</v>
      </c>
      <c r="I64" t="s">
        <v>229</v>
      </c>
      <c r="J64">
        <v>42643</v>
      </c>
      <c r="K64"/>
      <c r="L64"/>
      <c r="M64" t="s">
        <v>2853</v>
      </c>
      <c r="N64" t="s">
        <v>2088</v>
      </c>
      <c r="O64" s="15">
        <v>42972</v>
      </c>
      <c r="P64" t="s">
        <v>2750</v>
      </c>
      <c r="Q64" t="s">
        <v>2829</v>
      </c>
      <c r="R64"/>
      <c r="S64">
        <f t="shared" si="1"/>
        <v>52</v>
      </c>
    </row>
    <row r="65" spans="1:19" ht="12.75" x14ac:dyDescent="0.2">
      <c r="A65" t="s">
        <v>3583</v>
      </c>
      <c r="B65" s="15">
        <v>42593</v>
      </c>
      <c r="C65" t="s">
        <v>3584</v>
      </c>
      <c r="D65" t="s">
        <v>3585</v>
      </c>
      <c r="E65" t="s">
        <v>3586</v>
      </c>
      <c r="F65">
        <v>1</v>
      </c>
      <c r="G65" t="s">
        <v>2852</v>
      </c>
      <c r="H65" t="s">
        <v>2106</v>
      </c>
      <c r="I65" t="s">
        <v>3211</v>
      </c>
      <c r="J65">
        <v>42594</v>
      </c>
      <c r="K65"/>
      <c r="L65"/>
      <c r="M65" t="s">
        <v>2853</v>
      </c>
      <c r="N65" t="s">
        <v>2088</v>
      </c>
      <c r="O65" s="15">
        <v>42594</v>
      </c>
      <c r="P65" t="s">
        <v>2750</v>
      </c>
      <c r="Q65" t="s">
        <v>2829</v>
      </c>
      <c r="R65"/>
      <c r="S65">
        <f t="shared" si="1"/>
        <v>1</v>
      </c>
    </row>
    <row r="66" spans="1:19" ht="12.75" x14ac:dyDescent="0.2">
      <c r="A66" t="s">
        <v>3588</v>
      </c>
      <c r="B66" s="15">
        <v>42587</v>
      </c>
      <c r="C66" t="s">
        <v>3589</v>
      </c>
      <c r="D66" t="s">
        <v>3590</v>
      </c>
      <c r="E66" t="s">
        <v>2971</v>
      </c>
      <c r="F66">
        <v>1</v>
      </c>
      <c r="G66" t="s">
        <v>2880</v>
      </c>
      <c r="H66" t="s">
        <v>3167</v>
      </c>
      <c r="I66" t="s">
        <v>3211</v>
      </c>
      <c r="J66">
        <v>42735</v>
      </c>
      <c r="K66"/>
      <c r="L66"/>
      <c r="M66" t="s">
        <v>2853</v>
      </c>
      <c r="N66" t="s">
        <v>3022</v>
      </c>
      <c r="O66" s="15">
        <v>42803</v>
      </c>
      <c r="P66"/>
      <c r="Q66" t="s">
        <v>4340</v>
      </c>
      <c r="R66"/>
      <c r="S66">
        <f t="shared" ref="S66:S100" si="2">J66-B66</f>
        <v>148</v>
      </c>
    </row>
    <row r="67" spans="1:19" ht="12.75" x14ac:dyDescent="0.2">
      <c r="A67" t="s">
        <v>3591</v>
      </c>
      <c r="B67" s="15">
        <v>42594</v>
      </c>
      <c r="C67" t="s">
        <v>3592</v>
      </c>
      <c r="D67" t="s">
        <v>3306</v>
      </c>
      <c r="E67" t="s">
        <v>2971</v>
      </c>
      <c r="F67">
        <v>1</v>
      </c>
      <c r="G67" t="s">
        <v>2846</v>
      </c>
      <c r="H67" t="s">
        <v>2106</v>
      </c>
      <c r="I67" t="s">
        <v>229</v>
      </c>
      <c r="J67">
        <v>42643</v>
      </c>
      <c r="K67"/>
      <c r="L67"/>
      <c r="M67" t="s">
        <v>2853</v>
      </c>
      <c r="N67" t="s">
        <v>2088</v>
      </c>
      <c r="O67" s="15">
        <v>42629</v>
      </c>
      <c r="P67" t="s">
        <v>2750</v>
      </c>
      <c r="Q67" t="s">
        <v>2832</v>
      </c>
      <c r="R67"/>
      <c r="S67">
        <f t="shared" si="2"/>
        <v>49</v>
      </c>
    </row>
    <row r="68" spans="1:19" ht="12.75" x14ac:dyDescent="0.2">
      <c r="A68" t="s">
        <v>3593</v>
      </c>
      <c r="B68" s="15">
        <v>42599</v>
      </c>
      <c r="C68" t="s">
        <v>3594</v>
      </c>
      <c r="D68" t="s">
        <v>3601</v>
      </c>
      <c r="E68" t="s">
        <v>3049</v>
      </c>
      <c r="F68">
        <v>1</v>
      </c>
      <c r="G68" t="s">
        <v>2852</v>
      </c>
      <c r="H68" t="s">
        <v>3423</v>
      </c>
      <c r="I68" t="s">
        <v>3211</v>
      </c>
      <c r="J68">
        <v>42630</v>
      </c>
      <c r="K68"/>
      <c r="L68"/>
      <c r="M68" t="s">
        <v>2853</v>
      </c>
      <c r="N68" t="s">
        <v>2088</v>
      </c>
      <c r="O68" s="15">
        <v>42613</v>
      </c>
      <c r="P68" t="s">
        <v>2750</v>
      </c>
      <c r="Q68" t="s">
        <v>2829</v>
      </c>
      <c r="R68"/>
      <c r="S68">
        <f t="shared" si="2"/>
        <v>31</v>
      </c>
    </row>
    <row r="69" spans="1:19" ht="12.75" x14ac:dyDescent="0.2">
      <c r="A69" t="s">
        <v>3595</v>
      </c>
      <c r="B69" s="15">
        <v>42607</v>
      </c>
      <c r="C69" t="s">
        <v>3596</v>
      </c>
      <c r="D69" t="s">
        <v>3597</v>
      </c>
      <c r="E69" t="s">
        <v>3386</v>
      </c>
      <c r="F69">
        <v>1</v>
      </c>
      <c r="G69" t="s">
        <v>2852</v>
      </c>
      <c r="H69" t="s">
        <v>3227</v>
      </c>
      <c r="I69" t="s">
        <v>229</v>
      </c>
      <c r="J69">
        <v>42614</v>
      </c>
      <c r="K69"/>
      <c r="L69"/>
      <c r="M69" t="s">
        <v>2853</v>
      </c>
      <c r="N69" t="s">
        <v>2088</v>
      </c>
      <c r="O69" s="15">
        <v>42607</v>
      </c>
      <c r="P69" t="s">
        <v>2750</v>
      </c>
      <c r="Q69" t="s">
        <v>2829</v>
      </c>
      <c r="R69"/>
      <c r="S69">
        <f t="shared" si="2"/>
        <v>7</v>
      </c>
    </row>
    <row r="70" spans="1:19" ht="12.75" x14ac:dyDescent="0.2">
      <c r="A70" t="s">
        <v>3598</v>
      </c>
      <c r="B70" s="15">
        <v>42612</v>
      </c>
      <c r="C70" t="s">
        <v>3599</v>
      </c>
      <c r="D70" t="s">
        <v>3600</v>
      </c>
      <c r="E70" t="s">
        <v>3473</v>
      </c>
      <c r="F70">
        <v>1</v>
      </c>
      <c r="G70" t="s">
        <v>2852</v>
      </c>
      <c r="H70" t="s">
        <v>3227</v>
      </c>
      <c r="I70" t="s">
        <v>3211</v>
      </c>
      <c r="J70">
        <v>42619</v>
      </c>
      <c r="K70"/>
      <c r="L70"/>
      <c r="M70" t="s">
        <v>2853</v>
      </c>
      <c r="N70" t="s">
        <v>2088</v>
      </c>
      <c r="O70" s="15">
        <v>42613</v>
      </c>
      <c r="P70" t="s">
        <v>2750</v>
      </c>
      <c r="Q70" t="s">
        <v>2829</v>
      </c>
      <c r="R70"/>
      <c r="S70">
        <f t="shared" si="2"/>
        <v>7</v>
      </c>
    </row>
    <row r="71" spans="1:19" ht="12.75" x14ac:dyDescent="0.2">
      <c r="A71" t="s">
        <v>3604</v>
      </c>
      <c r="B71" s="15">
        <v>42625</v>
      </c>
      <c r="C71" t="s">
        <v>3605</v>
      </c>
      <c r="D71" t="s">
        <v>3606</v>
      </c>
      <c r="E71" t="s">
        <v>3473</v>
      </c>
      <c r="F71">
        <v>1</v>
      </c>
      <c r="G71" t="s">
        <v>2852</v>
      </c>
      <c r="H71" t="s">
        <v>2058</v>
      </c>
      <c r="I71" t="s">
        <v>3211</v>
      </c>
      <c r="J71">
        <v>42655</v>
      </c>
      <c r="K71"/>
      <c r="L71"/>
      <c r="M71" t="s">
        <v>2853</v>
      </c>
      <c r="N71" t="s">
        <v>2088</v>
      </c>
      <c r="O71" s="15">
        <v>42625</v>
      </c>
      <c r="P71" t="s">
        <v>2750</v>
      </c>
      <c r="Q71" t="s">
        <v>2829</v>
      </c>
      <c r="R71"/>
      <c r="S71">
        <f t="shared" si="2"/>
        <v>30</v>
      </c>
    </row>
    <row r="72" spans="1:19" ht="12.75" x14ac:dyDescent="0.2">
      <c r="A72" t="s">
        <v>3607</v>
      </c>
      <c r="B72" s="15">
        <v>42625</v>
      </c>
      <c r="C72" t="s">
        <v>2605</v>
      </c>
      <c r="D72" t="s">
        <v>3608</v>
      </c>
      <c r="E72" t="s">
        <v>2971</v>
      </c>
      <c r="F72">
        <v>1</v>
      </c>
      <c r="G72" t="s">
        <v>2880</v>
      </c>
      <c r="H72" t="s">
        <v>685</v>
      </c>
      <c r="I72" t="s">
        <v>229</v>
      </c>
      <c r="J72">
        <v>42636</v>
      </c>
      <c r="K72"/>
      <c r="L72"/>
      <c r="M72" t="s">
        <v>2853</v>
      </c>
      <c r="N72" t="s">
        <v>2088</v>
      </c>
      <c r="O72" s="15">
        <v>42636</v>
      </c>
      <c r="P72" t="s">
        <v>2750</v>
      </c>
      <c r="Q72" t="s">
        <v>2829</v>
      </c>
      <c r="R72"/>
      <c r="S72">
        <f t="shared" si="2"/>
        <v>11</v>
      </c>
    </row>
    <row r="73" spans="1:19" ht="12.75" x14ac:dyDescent="0.2">
      <c r="A73" t="s">
        <v>3609</v>
      </c>
      <c r="B73" s="15">
        <v>42626</v>
      </c>
      <c r="C73" t="s">
        <v>2605</v>
      </c>
      <c r="D73" t="s">
        <v>3610</v>
      </c>
      <c r="E73" t="s">
        <v>2971</v>
      </c>
      <c r="F73">
        <v>1</v>
      </c>
      <c r="G73" t="s">
        <v>2880</v>
      </c>
      <c r="H73" t="s">
        <v>516</v>
      </c>
      <c r="I73" t="s">
        <v>229</v>
      </c>
      <c r="J73">
        <v>42643</v>
      </c>
      <c r="K73"/>
      <c r="L73"/>
      <c r="M73" t="s">
        <v>2853</v>
      </c>
      <c r="N73" t="s">
        <v>2088</v>
      </c>
      <c r="O73" s="15">
        <v>42632</v>
      </c>
      <c r="P73" t="s">
        <v>2750</v>
      </c>
      <c r="Q73" t="s">
        <v>2829</v>
      </c>
      <c r="R73"/>
      <c r="S73">
        <f t="shared" si="2"/>
        <v>17</v>
      </c>
    </row>
    <row r="74" spans="1:19" ht="12.75" x14ac:dyDescent="0.2">
      <c r="A74" t="s">
        <v>3611</v>
      </c>
      <c r="B74" s="15">
        <v>42626</v>
      </c>
      <c r="C74" t="s">
        <v>3612</v>
      </c>
      <c r="D74" t="s">
        <v>3613</v>
      </c>
      <c r="E74" t="s">
        <v>3386</v>
      </c>
      <c r="F74">
        <v>1</v>
      </c>
      <c r="G74" t="s">
        <v>2852</v>
      </c>
      <c r="H74" t="s">
        <v>2058</v>
      </c>
      <c r="I74" t="s">
        <v>3211</v>
      </c>
      <c r="J74">
        <v>42656</v>
      </c>
      <c r="K74"/>
      <c r="L74"/>
      <c r="M74" t="s">
        <v>2853</v>
      </c>
      <c r="N74" t="s">
        <v>2088</v>
      </c>
      <c r="O74" s="15">
        <v>42634</v>
      </c>
      <c r="P74" t="s">
        <v>2750</v>
      </c>
      <c r="Q74" t="s">
        <v>2829</v>
      </c>
      <c r="R74"/>
      <c r="S74">
        <f t="shared" si="2"/>
        <v>30</v>
      </c>
    </row>
    <row r="75" spans="1:19" ht="12.75" x14ac:dyDescent="0.2">
      <c r="A75" t="s">
        <v>3614</v>
      </c>
      <c r="B75" s="15">
        <v>42628</v>
      </c>
      <c r="C75" t="s">
        <v>3615</v>
      </c>
      <c r="D75" t="s">
        <v>3616</v>
      </c>
      <c r="E75" t="s">
        <v>3617</v>
      </c>
      <c r="F75">
        <v>1</v>
      </c>
      <c r="G75" t="s">
        <v>2852</v>
      </c>
      <c r="H75" t="s">
        <v>3167</v>
      </c>
      <c r="I75" t="s">
        <v>3211</v>
      </c>
      <c r="J75">
        <v>42658</v>
      </c>
      <c r="K75"/>
      <c r="L75"/>
      <c r="M75" t="s">
        <v>2853</v>
      </c>
      <c r="N75" t="s">
        <v>2088</v>
      </c>
      <c r="O75" s="15">
        <v>42628</v>
      </c>
      <c r="P75" t="s">
        <v>2750</v>
      </c>
      <c r="Q75" t="s">
        <v>2829</v>
      </c>
      <c r="R75"/>
      <c r="S75">
        <f t="shared" si="2"/>
        <v>30</v>
      </c>
    </row>
    <row r="76" spans="1:19" ht="12.75" x14ac:dyDescent="0.2">
      <c r="A76" t="s">
        <v>3618</v>
      </c>
      <c r="B76" s="15">
        <v>42632</v>
      </c>
      <c r="C76" t="s">
        <v>3619</v>
      </c>
      <c r="D76" t="s">
        <v>3426</v>
      </c>
      <c r="E76" t="s">
        <v>3323</v>
      </c>
      <c r="F76">
        <v>1</v>
      </c>
      <c r="G76" t="s">
        <v>2852</v>
      </c>
      <c r="H76" t="s">
        <v>3227</v>
      </c>
      <c r="I76" t="s">
        <v>3211</v>
      </c>
      <c r="J76">
        <v>42646</v>
      </c>
      <c r="K76"/>
      <c r="L76"/>
      <c r="M76" t="s">
        <v>2853</v>
      </c>
      <c r="N76" t="s">
        <v>2088</v>
      </c>
      <c r="O76" s="15">
        <v>42632</v>
      </c>
      <c r="P76" t="s">
        <v>2750</v>
      </c>
      <c r="Q76" t="s">
        <v>2829</v>
      </c>
      <c r="R76"/>
      <c r="S76">
        <f t="shared" si="2"/>
        <v>14</v>
      </c>
    </row>
    <row r="77" spans="1:19" ht="12.75" x14ac:dyDescent="0.2">
      <c r="A77" t="s">
        <v>3620</v>
      </c>
      <c r="B77" s="15">
        <v>42633</v>
      </c>
      <c r="C77" t="s">
        <v>3621</v>
      </c>
      <c r="D77" t="s">
        <v>3622</v>
      </c>
      <c r="E77" t="s">
        <v>3519</v>
      </c>
      <c r="F77">
        <v>1</v>
      </c>
      <c r="G77" t="s">
        <v>2852</v>
      </c>
      <c r="H77" t="s">
        <v>3227</v>
      </c>
      <c r="I77" t="s">
        <v>3211</v>
      </c>
      <c r="J77">
        <v>42633</v>
      </c>
      <c r="K77"/>
      <c r="L77"/>
      <c r="M77" t="s">
        <v>2853</v>
      </c>
      <c r="N77" t="s">
        <v>2088</v>
      </c>
      <c r="O77" s="15">
        <v>42633</v>
      </c>
      <c r="P77" t="s">
        <v>2750</v>
      </c>
      <c r="Q77" t="s">
        <v>2829</v>
      </c>
      <c r="R77"/>
      <c r="S77">
        <f t="shared" si="2"/>
        <v>0</v>
      </c>
    </row>
    <row r="78" spans="1:19" ht="12.75" x14ac:dyDescent="0.2">
      <c r="A78" t="s">
        <v>3623</v>
      </c>
      <c r="B78" s="15">
        <v>42634</v>
      </c>
      <c r="C78" t="s">
        <v>3624</v>
      </c>
      <c r="D78" t="s">
        <v>3625</v>
      </c>
      <c r="E78" t="s">
        <v>3632</v>
      </c>
      <c r="F78">
        <v>1</v>
      </c>
      <c r="G78" t="s">
        <v>2852</v>
      </c>
      <c r="H78" t="s">
        <v>3423</v>
      </c>
      <c r="I78" t="s">
        <v>3211</v>
      </c>
      <c r="J78">
        <v>42664</v>
      </c>
      <c r="K78"/>
      <c r="L78"/>
      <c r="M78" t="s">
        <v>2853</v>
      </c>
      <c r="N78" t="s">
        <v>2088</v>
      </c>
      <c r="O78" s="15">
        <v>42643</v>
      </c>
      <c r="P78" t="s">
        <v>2750</v>
      </c>
      <c r="Q78" t="s">
        <v>2829</v>
      </c>
      <c r="R78"/>
      <c r="S78">
        <f t="shared" si="2"/>
        <v>30</v>
      </c>
    </row>
    <row r="79" spans="1:19" ht="12.75" x14ac:dyDescent="0.2">
      <c r="A79" t="s">
        <v>3626</v>
      </c>
      <c r="B79" s="15">
        <v>42635</v>
      </c>
      <c r="C79" t="s">
        <v>3627</v>
      </c>
      <c r="D79" t="s">
        <v>3628</v>
      </c>
      <c r="E79" t="s">
        <v>2971</v>
      </c>
      <c r="F79">
        <v>1</v>
      </c>
      <c r="G79" t="s">
        <v>2972</v>
      </c>
      <c r="H79" t="s">
        <v>481</v>
      </c>
      <c r="I79" t="s">
        <v>229</v>
      </c>
      <c r="J79">
        <v>42640</v>
      </c>
      <c r="K79"/>
      <c r="L79"/>
      <c r="M79" t="s">
        <v>2853</v>
      </c>
      <c r="N79" t="s">
        <v>2088</v>
      </c>
      <c r="O79" s="15">
        <v>42641</v>
      </c>
      <c r="P79" t="s">
        <v>2750</v>
      </c>
      <c r="Q79" t="s">
        <v>2829</v>
      </c>
      <c r="R79"/>
      <c r="S79">
        <f t="shared" si="2"/>
        <v>5</v>
      </c>
    </row>
    <row r="80" spans="1:19" ht="12.75" x14ac:dyDescent="0.2">
      <c r="A80" t="s">
        <v>3633</v>
      </c>
      <c r="B80" s="15">
        <v>42646</v>
      </c>
      <c r="C80" t="s">
        <v>3698</v>
      </c>
      <c r="D80" t="s">
        <v>3518</v>
      </c>
      <c r="E80" t="s">
        <v>3532</v>
      </c>
      <c r="F80">
        <v>1</v>
      </c>
      <c r="G80" t="s">
        <v>2852</v>
      </c>
      <c r="H80" t="s">
        <v>615</v>
      </c>
      <c r="I80" t="s">
        <v>3211</v>
      </c>
      <c r="J80">
        <v>42754</v>
      </c>
      <c r="K80"/>
      <c r="L80"/>
      <c r="M80" t="s">
        <v>2853</v>
      </c>
      <c r="N80" t="s">
        <v>2088</v>
      </c>
      <c r="O80" s="15">
        <v>42741</v>
      </c>
      <c r="P80" t="s">
        <v>2750</v>
      </c>
      <c r="Q80" t="s">
        <v>2832</v>
      </c>
      <c r="R80"/>
      <c r="S80">
        <f t="shared" si="2"/>
        <v>108</v>
      </c>
    </row>
    <row r="81" spans="1:19" ht="12.75" x14ac:dyDescent="0.2">
      <c r="A81" t="s">
        <v>3634</v>
      </c>
      <c r="B81" s="15">
        <v>42646</v>
      </c>
      <c r="C81" t="s">
        <v>3635</v>
      </c>
      <c r="D81" t="s">
        <v>3636</v>
      </c>
      <c r="E81" t="s">
        <v>2875</v>
      </c>
      <c r="F81">
        <v>2</v>
      </c>
      <c r="G81" t="s">
        <v>2852</v>
      </c>
      <c r="H81" t="s">
        <v>3167</v>
      </c>
      <c r="I81" t="s">
        <v>3211</v>
      </c>
      <c r="J81">
        <v>42677</v>
      </c>
      <c r="K81"/>
      <c r="L81"/>
      <c r="M81" t="s">
        <v>2853</v>
      </c>
      <c r="N81" t="s">
        <v>2088</v>
      </c>
      <c r="O81" s="15">
        <v>42681</v>
      </c>
      <c r="P81" t="s">
        <v>2751</v>
      </c>
      <c r="Q81" t="s">
        <v>2832</v>
      </c>
      <c r="R81"/>
      <c r="S81">
        <f t="shared" si="2"/>
        <v>31</v>
      </c>
    </row>
    <row r="82" spans="1:19" ht="12.75" x14ac:dyDescent="0.2">
      <c r="A82" t="s">
        <v>3637</v>
      </c>
      <c r="B82" s="15">
        <v>42646</v>
      </c>
      <c r="C82" t="s">
        <v>3638</v>
      </c>
      <c r="D82" t="s">
        <v>3639</v>
      </c>
      <c r="E82" t="s">
        <v>3519</v>
      </c>
      <c r="F82">
        <v>1</v>
      </c>
      <c r="G82" t="s">
        <v>2852</v>
      </c>
      <c r="H82" t="s">
        <v>348</v>
      </c>
      <c r="I82" t="s">
        <v>3211</v>
      </c>
      <c r="J82">
        <v>42649</v>
      </c>
      <c r="K82"/>
      <c r="L82"/>
      <c r="M82" t="s">
        <v>2853</v>
      </c>
      <c r="N82" t="s">
        <v>2088</v>
      </c>
      <c r="O82" s="15">
        <v>42654</v>
      </c>
      <c r="P82" t="s">
        <v>2751</v>
      </c>
      <c r="Q82" t="s">
        <v>2829</v>
      </c>
      <c r="R82"/>
      <c r="S82">
        <f t="shared" si="2"/>
        <v>3</v>
      </c>
    </row>
    <row r="83" spans="1:19" ht="12.75" x14ac:dyDescent="0.2">
      <c r="A83" t="s">
        <v>3640</v>
      </c>
      <c r="B83" s="15">
        <v>42657</v>
      </c>
      <c r="C83" t="s">
        <v>3641</v>
      </c>
      <c r="D83" t="s">
        <v>3642</v>
      </c>
      <c r="E83" t="s">
        <v>3519</v>
      </c>
      <c r="F83">
        <v>1</v>
      </c>
      <c r="G83" t="s">
        <v>2852</v>
      </c>
      <c r="H83" t="s">
        <v>2058</v>
      </c>
      <c r="I83" t="s">
        <v>3211</v>
      </c>
      <c r="J83">
        <v>42678</v>
      </c>
      <c r="K83"/>
      <c r="L83"/>
      <c r="M83" t="s">
        <v>2853</v>
      </c>
      <c r="N83" t="s">
        <v>2088</v>
      </c>
      <c r="O83" s="15">
        <v>42657</v>
      </c>
      <c r="P83" t="s">
        <v>2750</v>
      </c>
      <c r="Q83" t="s">
        <v>2829</v>
      </c>
      <c r="R83"/>
      <c r="S83">
        <f t="shared" si="2"/>
        <v>21</v>
      </c>
    </row>
    <row r="84" spans="1:19" ht="12.75" x14ac:dyDescent="0.2">
      <c r="A84" t="s">
        <v>3643</v>
      </c>
      <c r="B84" s="15">
        <v>42667</v>
      </c>
      <c r="C84" t="s">
        <v>3644</v>
      </c>
      <c r="D84" t="s">
        <v>3646</v>
      </c>
      <c r="E84" t="s">
        <v>2971</v>
      </c>
      <c r="F84">
        <v>1</v>
      </c>
      <c r="G84" t="s">
        <v>2922</v>
      </c>
      <c r="H84" t="s">
        <v>3645</v>
      </c>
      <c r="I84" t="s">
        <v>229</v>
      </c>
      <c r="J84">
        <v>42671</v>
      </c>
      <c r="K84"/>
      <c r="L84"/>
      <c r="M84" t="s">
        <v>2853</v>
      </c>
      <c r="N84" t="s">
        <v>2088</v>
      </c>
      <c r="O84" s="15">
        <v>42670</v>
      </c>
      <c r="P84" t="s">
        <v>2750</v>
      </c>
      <c r="Q84" t="s">
        <v>2829</v>
      </c>
      <c r="R84"/>
      <c r="S84">
        <f t="shared" si="2"/>
        <v>4</v>
      </c>
    </row>
    <row r="85" spans="1:19" ht="12.75" x14ac:dyDescent="0.2">
      <c r="A85" t="s">
        <v>3647</v>
      </c>
      <c r="B85" s="15">
        <v>42675</v>
      </c>
      <c r="C85" t="s">
        <v>3648</v>
      </c>
      <c r="D85" t="s">
        <v>3649</v>
      </c>
      <c r="E85" t="s">
        <v>3532</v>
      </c>
      <c r="F85">
        <v>1</v>
      </c>
      <c r="G85" t="s">
        <v>2852</v>
      </c>
      <c r="H85" t="s">
        <v>2106</v>
      </c>
      <c r="I85" t="s">
        <v>3211</v>
      </c>
      <c r="J85">
        <v>42678</v>
      </c>
      <c r="K85"/>
      <c r="L85"/>
      <c r="M85" t="s">
        <v>2853</v>
      </c>
      <c r="N85" t="s">
        <v>2088</v>
      </c>
      <c r="O85" s="15">
        <v>42703</v>
      </c>
      <c r="P85" t="s">
        <v>2751</v>
      </c>
      <c r="Q85" t="s">
        <v>2829</v>
      </c>
      <c r="R85"/>
      <c r="S85">
        <f t="shared" si="2"/>
        <v>3</v>
      </c>
    </row>
    <row r="86" spans="1:19" ht="12.75" x14ac:dyDescent="0.2">
      <c r="A86" t="s">
        <v>3650</v>
      </c>
      <c r="B86" s="15">
        <v>42677</v>
      </c>
      <c r="C86" t="s">
        <v>3573</v>
      </c>
      <c r="D86" t="s">
        <v>3651</v>
      </c>
      <c r="E86" t="s">
        <v>2971</v>
      </c>
      <c r="F86">
        <v>2</v>
      </c>
      <c r="G86" t="s">
        <v>2880</v>
      </c>
      <c r="H86" t="s">
        <v>441</v>
      </c>
      <c r="I86" t="s">
        <v>229</v>
      </c>
      <c r="J86">
        <v>42696</v>
      </c>
      <c r="K86"/>
      <c r="L86"/>
      <c r="M86" t="s">
        <v>2853</v>
      </c>
      <c r="N86" t="s">
        <v>2088</v>
      </c>
      <c r="O86" s="15">
        <v>42677</v>
      </c>
      <c r="P86" t="s">
        <v>2750</v>
      </c>
      <c r="Q86" t="s">
        <v>2829</v>
      </c>
      <c r="R86"/>
      <c r="S86">
        <f t="shared" si="2"/>
        <v>19</v>
      </c>
    </row>
    <row r="87" spans="1:19" ht="12.75" x14ac:dyDescent="0.2">
      <c r="A87" t="s">
        <v>3652</v>
      </c>
      <c r="B87" s="15">
        <v>42681</v>
      </c>
      <c r="C87" t="s">
        <v>3653</v>
      </c>
      <c r="D87" t="s">
        <v>3654</v>
      </c>
      <c r="E87" t="s">
        <v>2971</v>
      </c>
      <c r="F87">
        <v>1</v>
      </c>
      <c r="G87" t="s">
        <v>2922</v>
      </c>
      <c r="H87" t="s">
        <v>3645</v>
      </c>
      <c r="I87" t="s">
        <v>229</v>
      </c>
      <c r="J87">
        <v>42704</v>
      </c>
      <c r="K87"/>
      <c r="L87"/>
      <c r="M87" t="s">
        <v>2853</v>
      </c>
      <c r="N87" t="s">
        <v>3022</v>
      </c>
      <c r="O87" s="15">
        <v>44257</v>
      </c>
      <c r="P87" t="s">
        <v>2751</v>
      </c>
      <c r="Q87" t="s">
        <v>2839</v>
      </c>
      <c r="R87"/>
      <c r="S87">
        <f t="shared" si="2"/>
        <v>23</v>
      </c>
    </row>
    <row r="88" spans="1:19" ht="12.75" x14ac:dyDescent="0.2">
      <c r="A88" t="s">
        <v>3655</v>
      </c>
      <c r="B88" s="15">
        <v>42691</v>
      </c>
      <c r="C88" t="s">
        <v>3656</v>
      </c>
      <c r="D88" t="s">
        <v>3657</v>
      </c>
      <c r="E88" t="s">
        <v>3532</v>
      </c>
      <c r="F88">
        <v>2</v>
      </c>
      <c r="G88" t="s">
        <v>2852</v>
      </c>
      <c r="H88" t="s">
        <v>615</v>
      </c>
      <c r="I88" t="s">
        <v>3211</v>
      </c>
      <c r="J88">
        <v>42704</v>
      </c>
      <c r="K88"/>
      <c r="L88"/>
      <c r="M88" t="s">
        <v>2853</v>
      </c>
      <c r="N88" t="s">
        <v>2088</v>
      </c>
      <c r="O88" s="15">
        <v>42696</v>
      </c>
      <c r="P88" t="s">
        <v>2750</v>
      </c>
      <c r="Q88" t="s">
        <v>2829</v>
      </c>
      <c r="R88"/>
      <c r="S88">
        <f t="shared" si="2"/>
        <v>13</v>
      </c>
    </row>
    <row r="89" spans="1:19" ht="31.5" customHeight="1" x14ac:dyDescent="0.2">
      <c r="A89" t="s">
        <v>3658</v>
      </c>
      <c r="B89" s="15">
        <v>42697</v>
      </c>
      <c r="C89" t="s">
        <v>3660</v>
      </c>
      <c r="D89" t="s">
        <v>3661</v>
      </c>
      <c r="E89" t="s">
        <v>3586</v>
      </c>
      <c r="F89">
        <v>1</v>
      </c>
      <c r="G89" t="s">
        <v>2852</v>
      </c>
      <c r="H89" t="s">
        <v>3423</v>
      </c>
      <c r="I89" t="s">
        <v>3211</v>
      </c>
      <c r="J89">
        <v>42770</v>
      </c>
      <c r="K89"/>
      <c r="L89"/>
      <c r="M89" t="s">
        <v>2853</v>
      </c>
      <c r="N89" t="s">
        <v>2088</v>
      </c>
      <c r="O89" s="15">
        <v>42915</v>
      </c>
      <c r="P89" t="s">
        <v>2751</v>
      </c>
      <c r="Q89" t="s">
        <v>2837</v>
      </c>
      <c r="R89"/>
      <c r="S89">
        <f t="shared" si="2"/>
        <v>73</v>
      </c>
    </row>
    <row r="90" spans="1:19" ht="12.75" x14ac:dyDescent="0.2">
      <c r="A90" t="s">
        <v>3659</v>
      </c>
      <c r="B90" s="15">
        <v>42697</v>
      </c>
      <c r="C90" t="s">
        <v>3662</v>
      </c>
      <c r="D90" t="s">
        <v>3663</v>
      </c>
      <c r="E90" t="s">
        <v>2971</v>
      </c>
      <c r="F90">
        <v>1</v>
      </c>
      <c r="G90" t="s">
        <v>2852</v>
      </c>
      <c r="H90" t="s">
        <v>3423</v>
      </c>
      <c r="I90" t="s">
        <v>3211</v>
      </c>
      <c r="J90"/>
      <c r="K90"/>
      <c r="L90"/>
      <c r="M90" t="s">
        <v>1056</v>
      </c>
      <c r="N90" t="s">
        <v>2088</v>
      </c>
      <c r="O90" s="15" t="s">
        <v>2088</v>
      </c>
      <c r="P90" t="s">
        <v>2088</v>
      </c>
      <c r="Q90" t="s">
        <v>2088</v>
      </c>
      <c r="R90"/>
      <c r="S90">
        <f t="shared" si="2"/>
        <v>-42697</v>
      </c>
    </row>
    <row r="91" spans="1:19" ht="12.75" x14ac:dyDescent="0.2">
      <c r="A91" t="s">
        <v>3664</v>
      </c>
      <c r="B91" s="15">
        <v>42702</v>
      </c>
      <c r="C91" t="s">
        <v>3665</v>
      </c>
      <c r="D91" t="s">
        <v>3666</v>
      </c>
      <c r="E91" t="s">
        <v>3667</v>
      </c>
      <c r="F91">
        <v>1</v>
      </c>
      <c r="G91" t="s">
        <v>2852</v>
      </c>
      <c r="H91" t="s">
        <v>3668</v>
      </c>
      <c r="I91" t="s">
        <v>3211</v>
      </c>
      <c r="J91">
        <v>42706</v>
      </c>
      <c r="K91"/>
      <c r="L91"/>
      <c r="M91" t="s">
        <v>2853</v>
      </c>
      <c r="N91" t="s">
        <v>2088</v>
      </c>
      <c r="O91" s="15">
        <v>42706</v>
      </c>
      <c r="P91" t="s">
        <v>2750</v>
      </c>
      <c r="Q91" t="s">
        <v>3677</v>
      </c>
      <c r="R91"/>
      <c r="S91">
        <f t="shared" si="2"/>
        <v>4</v>
      </c>
    </row>
    <row r="92" spans="1:19" ht="12.75" x14ac:dyDescent="0.2">
      <c r="A92" t="s">
        <v>3669</v>
      </c>
      <c r="B92" s="15">
        <v>42703</v>
      </c>
      <c r="C92" t="s">
        <v>3670</v>
      </c>
      <c r="D92" t="s">
        <v>3671</v>
      </c>
      <c r="E92" t="s">
        <v>3532</v>
      </c>
      <c r="F92">
        <v>1</v>
      </c>
      <c r="G92" t="s">
        <v>2852</v>
      </c>
      <c r="H92" t="s">
        <v>615</v>
      </c>
      <c r="I92" t="s">
        <v>3211</v>
      </c>
      <c r="J92">
        <v>42704</v>
      </c>
      <c r="K92"/>
      <c r="L92"/>
      <c r="M92" t="s">
        <v>2853</v>
      </c>
      <c r="N92" t="s">
        <v>2088</v>
      </c>
      <c r="O92" s="15">
        <v>42704</v>
      </c>
      <c r="P92" t="s">
        <v>2750</v>
      </c>
      <c r="Q92" t="s">
        <v>2829</v>
      </c>
      <c r="R92"/>
      <c r="S92">
        <f t="shared" si="2"/>
        <v>1</v>
      </c>
    </row>
    <row r="93" spans="1:19" ht="12.75" x14ac:dyDescent="0.2">
      <c r="A93" t="s">
        <v>3672</v>
      </c>
      <c r="B93" s="15">
        <v>42705</v>
      </c>
      <c r="C93" t="s">
        <v>3673</v>
      </c>
      <c r="D93" t="s">
        <v>3674</v>
      </c>
      <c r="E93" t="s">
        <v>3532</v>
      </c>
      <c r="F93">
        <v>1</v>
      </c>
      <c r="G93" t="s">
        <v>2852</v>
      </c>
      <c r="H93" t="s">
        <v>615</v>
      </c>
      <c r="I93" t="s">
        <v>3211</v>
      </c>
      <c r="J93">
        <v>42705</v>
      </c>
      <c r="K93"/>
      <c r="L93"/>
      <c r="M93" t="s">
        <v>2853</v>
      </c>
      <c r="N93" t="s">
        <v>2088</v>
      </c>
      <c r="O93" s="15">
        <v>42706</v>
      </c>
      <c r="P93" t="s">
        <v>2751</v>
      </c>
      <c r="Q93" t="s">
        <v>2829</v>
      </c>
      <c r="R93"/>
      <c r="S93">
        <f t="shared" si="2"/>
        <v>0</v>
      </c>
    </row>
    <row r="94" spans="1:19" ht="12.75" x14ac:dyDescent="0.2">
      <c r="A94" t="s">
        <v>3675</v>
      </c>
      <c r="B94" s="15">
        <v>42706</v>
      </c>
      <c r="C94" t="s">
        <v>3676</v>
      </c>
      <c r="D94" t="s">
        <v>3307</v>
      </c>
      <c r="E94" t="s">
        <v>2971</v>
      </c>
      <c r="F94">
        <v>1</v>
      </c>
      <c r="G94" t="s">
        <v>2846</v>
      </c>
      <c r="H94" t="s">
        <v>486</v>
      </c>
      <c r="I94" t="s">
        <v>229</v>
      </c>
      <c r="J94">
        <v>42735</v>
      </c>
      <c r="K94"/>
      <c r="L94"/>
      <c r="M94" t="s">
        <v>3711</v>
      </c>
      <c r="N94" t="s">
        <v>2088</v>
      </c>
      <c r="O94" s="15" t="s">
        <v>2088</v>
      </c>
      <c r="P94" t="s">
        <v>2088</v>
      </c>
      <c r="Q94" t="s">
        <v>2088</v>
      </c>
      <c r="R94"/>
      <c r="S94">
        <f t="shared" si="2"/>
        <v>29</v>
      </c>
    </row>
    <row r="95" spans="1:19" ht="12.75" x14ac:dyDescent="0.2">
      <c r="A95" t="s">
        <v>3678</v>
      </c>
      <c r="B95" s="15">
        <v>42709</v>
      </c>
      <c r="C95" t="s">
        <v>3679</v>
      </c>
      <c r="D95" t="s">
        <v>3680</v>
      </c>
      <c r="E95" t="s">
        <v>3681</v>
      </c>
      <c r="F95">
        <v>2</v>
      </c>
      <c r="G95" t="s">
        <v>2852</v>
      </c>
      <c r="H95" t="s">
        <v>3423</v>
      </c>
      <c r="I95" t="s">
        <v>3211</v>
      </c>
      <c r="J95">
        <v>42741</v>
      </c>
      <c r="K95"/>
      <c r="L95"/>
      <c r="M95" t="s">
        <v>2853</v>
      </c>
      <c r="N95" t="s">
        <v>2088</v>
      </c>
      <c r="O95" s="15">
        <v>42713</v>
      </c>
      <c r="P95" t="s">
        <v>2750</v>
      </c>
      <c r="Q95" t="s">
        <v>2829</v>
      </c>
      <c r="R95"/>
      <c r="S95">
        <f t="shared" si="2"/>
        <v>32</v>
      </c>
    </row>
    <row r="96" spans="1:19" ht="12.75" x14ac:dyDescent="0.2">
      <c r="A96" t="s">
        <v>3682</v>
      </c>
      <c r="B96" s="15">
        <v>42710</v>
      </c>
      <c r="C96" t="s">
        <v>3683</v>
      </c>
      <c r="D96" t="s">
        <v>3684</v>
      </c>
      <c r="E96" t="s">
        <v>3532</v>
      </c>
      <c r="F96">
        <v>1</v>
      </c>
      <c r="G96" t="s">
        <v>2852</v>
      </c>
      <c r="H96" t="s">
        <v>615</v>
      </c>
      <c r="I96" t="s">
        <v>3211</v>
      </c>
      <c r="J96">
        <v>42713</v>
      </c>
      <c r="K96"/>
      <c r="L96"/>
      <c r="M96" t="s">
        <v>2853</v>
      </c>
      <c r="N96" t="s">
        <v>2088</v>
      </c>
      <c r="O96" s="15">
        <v>42747</v>
      </c>
      <c r="P96" t="s">
        <v>2751</v>
      </c>
      <c r="Q96" t="s">
        <v>2832</v>
      </c>
      <c r="R96"/>
      <c r="S96">
        <f t="shared" si="2"/>
        <v>3</v>
      </c>
    </row>
    <row r="97" spans="1:19" ht="12.75" x14ac:dyDescent="0.2">
      <c r="A97" t="s">
        <v>3685</v>
      </c>
      <c r="B97" s="15">
        <v>42711</v>
      </c>
      <c r="C97" t="s">
        <v>3686</v>
      </c>
      <c r="D97" t="s">
        <v>3518</v>
      </c>
      <c r="E97" t="s">
        <v>3586</v>
      </c>
      <c r="F97">
        <v>1</v>
      </c>
      <c r="G97" t="s">
        <v>2852</v>
      </c>
      <c r="H97" t="s">
        <v>3167</v>
      </c>
      <c r="I97" t="s">
        <v>3211</v>
      </c>
      <c r="J97">
        <v>42376</v>
      </c>
      <c r="K97"/>
      <c r="L97"/>
      <c r="M97" t="s">
        <v>2853</v>
      </c>
      <c r="N97" t="s">
        <v>2088</v>
      </c>
      <c r="O97" s="15">
        <v>42739</v>
      </c>
      <c r="P97" t="s">
        <v>2750</v>
      </c>
      <c r="Q97" t="s">
        <v>2829</v>
      </c>
      <c r="R97"/>
      <c r="S97">
        <f t="shared" si="2"/>
        <v>-335</v>
      </c>
    </row>
    <row r="98" spans="1:19" ht="12.75" x14ac:dyDescent="0.2">
      <c r="A98" t="s">
        <v>3687</v>
      </c>
      <c r="B98" s="15">
        <v>42719</v>
      </c>
      <c r="C98" t="s">
        <v>3662</v>
      </c>
      <c r="D98" t="s">
        <v>3688</v>
      </c>
      <c r="E98" t="s">
        <v>2971</v>
      </c>
      <c r="F98">
        <v>1</v>
      </c>
      <c r="G98" t="s">
        <v>2852</v>
      </c>
      <c r="H98" t="s">
        <v>3227</v>
      </c>
      <c r="I98" t="s">
        <v>3211</v>
      </c>
      <c r="J98">
        <v>42794</v>
      </c>
      <c r="K98"/>
      <c r="L98"/>
      <c r="M98" t="s">
        <v>4209</v>
      </c>
      <c r="N98" t="s">
        <v>2088</v>
      </c>
      <c r="O98" s="15" t="s">
        <v>2088</v>
      </c>
      <c r="P98" t="s">
        <v>2088</v>
      </c>
      <c r="Q98" t="s">
        <v>2088</v>
      </c>
      <c r="R98"/>
      <c r="S98">
        <f t="shared" si="2"/>
        <v>75</v>
      </c>
    </row>
    <row r="99" spans="1:19" ht="12.75" x14ac:dyDescent="0.2">
      <c r="A99" t="s">
        <v>3689</v>
      </c>
      <c r="B99" s="15">
        <v>42724</v>
      </c>
      <c r="C99" t="s">
        <v>3690</v>
      </c>
      <c r="D99" t="s">
        <v>3518</v>
      </c>
      <c r="E99" t="s">
        <v>3586</v>
      </c>
      <c r="F99">
        <v>1</v>
      </c>
      <c r="G99" t="s">
        <v>2852</v>
      </c>
      <c r="H99" t="s">
        <v>3167</v>
      </c>
      <c r="I99" t="s">
        <v>3211</v>
      </c>
      <c r="J99">
        <v>42755</v>
      </c>
      <c r="K99"/>
      <c r="L99"/>
      <c r="M99" t="s">
        <v>2853</v>
      </c>
      <c r="N99" t="s">
        <v>2088</v>
      </c>
      <c r="O99" s="15">
        <v>42739</v>
      </c>
      <c r="P99" t="s">
        <v>2750</v>
      </c>
      <c r="Q99" t="s">
        <v>2829</v>
      </c>
      <c r="R99"/>
      <c r="S99">
        <f t="shared" si="2"/>
        <v>31</v>
      </c>
    </row>
    <row r="100" spans="1:19" ht="12.75" x14ac:dyDescent="0.2">
      <c r="A100" t="s">
        <v>3692</v>
      </c>
      <c r="B100" s="15">
        <v>42726</v>
      </c>
      <c r="C100" t="s">
        <v>3694</v>
      </c>
      <c r="D100" t="s">
        <v>3693</v>
      </c>
      <c r="E100" t="s">
        <v>3532</v>
      </c>
      <c r="F100">
        <v>1</v>
      </c>
      <c r="G100" t="s">
        <v>2852</v>
      </c>
      <c r="H100" t="s">
        <v>615</v>
      </c>
      <c r="I100" t="s">
        <v>3211</v>
      </c>
      <c r="J100">
        <v>42726</v>
      </c>
      <c r="K100"/>
      <c r="L100"/>
      <c r="M100" t="s">
        <v>2853</v>
      </c>
      <c r="N100" t="s">
        <v>2088</v>
      </c>
      <c r="O100" s="15">
        <v>42733</v>
      </c>
      <c r="P100" t="s">
        <v>2751</v>
      </c>
      <c r="Q100" t="s">
        <v>2829</v>
      </c>
      <c r="R100"/>
      <c r="S100">
        <f t="shared" si="2"/>
        <v>0</v>
      </c>
    </row>
    <row r="101" spans="1:19" ht="13.5" customHeight="1" x14ac:dyDescent="0.2">
      <c r="A101" s="531"/>
      <c r="B101" s="531"/>
      <c r="C101" s="531"/>
      <c r="D101" s="531"/>
      <c r="E101" s="531"/>
      <c r="F101" s="388" t="s">
        <v>2825</v>
      </c>
      <c r="G101" s="388" t="s">
        <v>2826</v>
      </c>
      <c r="H101" s="389"/>
      <c r="I101" s="389"/>
      <c r="J101" s="390"/>
      <c r="K101" s="390"/>
      <c r="L101" s="390"/>
      <c r="M101" s="389"/>
      <c r="N101" s="389"/>
      <c r="O101" s="390"/>
      <c r="P101" s="389"/>
      <c r="Q101" s="253" t="s">
        <v>2825</v>
      </c>
      <c r="R101" s="254"/>
    </row>
    <row r="102" spans="1:19" ht="13.5" x14ac:dyDescent="0.2">
      <c r="A102" s="282"/>
      <c r="B102" s="285"/>
      <c r="C102" s="248"/>
      <c r="D102" s="248"/>
      <c r="E102" s="249"/>
      <c r="F102" s="301" t="s">
        <v>2827</v>
      </c>
      <c r="G102" s="295" t="s">
        <v>2828</v>
      </c>
      <c r="I102" s="249"/>
      <c r="J102" s="285"/>
      <c r="K102" s="285"/>
      <c r="L102" s="285"/>
      <c r="M102" s="249"/>
      <c r="N102" s="249"/>
      <c r="O102" s="285"/>
      <c r="P102" s="249">
        <f>COUNTIF($Q$2:$Q$100,Q102)</f>
        <v>58</v>
      </c>
      <c r="Q102" s="253" t="s">
        <v>2829</v>
      </c>
      <c r="R102" s="251"/>
    </row>
    <row r="103" spans="1:19" ht="13.5" x14ac:dyDescent="0.2">
      <c r="A103" s="282"/>
      <c r="B103" s="285"/>
      <c r="C103" s="248"/>
      <c r="D103" s="248"/>
      <c r="E103" s="249"/>
      <c r="F103" s="301" t="s">
        <v>2830</v>
      </c>
      <c r="G103" s="295" t="s">
        <v>2831</v>
      </c>
      <c r="H103" s="249"/>
      <c r="I103" s="249"/>
      <c r="J103" s="285"/>
      <c r="K103" s="285"/>
      <c r="L103" s="285"/>
      <c r="M103" s="249"/>
      <c r="N103" s="249"/>
      <c r="O103" s="285"/>
      <c r="P103" s="249">
        <f>COUNTIF($Q$2:$Q$100,Q103)</f>
        <v>13</v>
      </c>
      <c r="Q103" s="253" t="s">
        <v>2832</v>
      </c>
      <c r="R103" s="251"/>
    </row>
    <row r="104" spans="1:19" ht="13.5" x14ac:dyDescent="0.2">
      <c r="A104" s="282"/>
      <c r="B104" s="285"/>
      <c r="C104" s="248"/>
      <c r="D104" s="248"/>
      <c r="E104" s="249"/>
      <c r="F104" s="301" t="s">
        <v>2833</v>
      </c>
      <c r="G104" s="295" t="s">
        <v>2834</v>
      </c>
      <c r="H104" s="249"/>
      <c r="I104" s="249"/>
      <c r="J104" s="285"/>
      <c r="K104" s="285"/>
      <c r="L104" s="285"/>
      <c r="M104" s="249"/>
      <c r="N104" s="249"/>
      <c r="O104" s="285"/>
      <c r="P104" s="249">
        <f>COUNTIF($Q$2:$Q$100,Q104)</f>
        <v>6</v>
      </c>
      <c r="Q104" s="253" t="s">
        <v>2835</v>
      </c>
      <c r="R104" s="251"/>
    </row>
    <row r="105" spans="1:19" ht="13.5" x14ac:dyDescent="0.2">
      <c r="A105" s="282"/>
      <c r="B105" s="285"/>
      <c r="C105" s="248"/>
      <c r="D105" s="248"/>
      <c r="E105" s="249"/>
      <c r="F105" s="295" t="s">
        <v>3220</v>
      </c>
      <c r="G105" s="295" t="s">
        <v>2836</v>
      </c>
      <c r="H105" s="249"/>
      <c r="I105" s="249"/>
      <c r="J105" s="285"/>
      <c r="K105" s="285"/>
      <c r="L105" s="285"/>
      <c r="M105" s="249"/>
      <c r="N105" s="249"/>
      <c r="O105" s="285"/>
      <c r="P105" s="249">
        <f>COUNTIF($Q$2:$Q$100,Q105)</f>
        <v>4</v>
      </c>
      <c r="Q105" s="253" t="s">
        <v>2837</v>
      </c>
      <c r="R105" s="251"/>
    </row>
    <row r="106" spans="1:19" ht="13.5" x14ac:dyDescent="0.2">
      <c r="A106" s="282"/>
      <c r="B106" s="285"/>
      <c r="C106" s="248"/>
      <c r="D106" s="248"/>
      <c r="E106" s="249"/>
      <c r="F106" s="295" t="s">
        <v>3226</v>
      </c>
      <c r="G106" s="295" t="s">
        <v>2838</v>
      </c>
      <c r="H106" s="249"/>
      <c r="I106" s="249"/>
      <c r="J106" s="285"/>
      <c r="K106" s="285"/>
      <c r="L106" s="285"/>
      <c r="M106" s="249"/>
      <c r="N106" s="249"/>
      <c r="O106" s="285"/>
      <c r="P106" s="249">
        <f>COUNTIF($Q$2:$Q$100,Q106)</f>
        <v>10</v>
      </c>
      <c r="Q106" s="253" t="s">
        <v>2839</v>
      </c>
      <c r="R106" s="251"/>
    </row>
    <row r="107" spans="1:19" ht="13.5" x14ac:dyDescent="0.2">
      <c r="A107" s="282"/>
      <c r="B107" s="285"/>
      <c r="C107" s="248"/>
      <c r="D107" s="248"/>
      <c r="E107" s="249"/>
      <c r="F107" s="295"/>
      <c r="G107" s="295" t="s">
        <v>2840</v>
      </c>
      <c r="H107" s="249"/>
      <c r="I107" s="249"/>
      <c r="J107" s="285"/>
      <c r="K107" s="285"/>
      <c r="L107" s="285"/>
      <c r="M107" s="249"/>
      <c r="N107" s="249"/>
      <c r="O107" s="285"/>
      <c r="P107" s="249"/>
      <c r="Q107" s="249"/>
      <c r="R107" s="251"/>
    </row>
    <row r="108" spans="1:19" ht="13.5" x14ac:dyDescent="0.2">
      <c r="A108" s="282"/>
      <c r="B108" s="285"/>
      <c r="C108" s="248"/>
      <c r="D108" s="248"/>
      <c r="E108" s="249"/>
      <c r="F108" s="295"/>
      <c r="G108" s="295" t="s">
        <v>2841</v>
      </c>
      <c r="H108" s="249"/>
      <c r="I108" s="249"/>
      <c r="J108" s="285"/>
      <c r="K108" s="285"/>
      <c r="L108" s="285"/>
      <c r="M108" s="249"/>
      <c r="N108" s="249"/>
      <c r="O108" s="285"/>
      <c r="P108" s="249"/>
      <c r="Q108" s="249"/>
      <c r="R108" s="251"/>
    </row>
    <row r="110" spans="1:19" ht="25.35" customHeight="1" x14ac:dyDescent="0.2">
      <c r="E110" s="310" t="s">
        <v>2833</v>
      </c>
      <c r="F110" s="310">
        <f>COUNTIF($F$2:$F$2,E110)</f>
        <v>0</v>
      </c>
      <c r="G110" s="310" t="s">
        <v>2852</v>
      </c>
      <c r="H110" s="310">
        <f t="shared" ref="H110:H116" si="3">COUNTIF($G$2:$G$100,G110)</f>
        <v>49</v>
      </c>
    </row>
    <row r="111" spans="1:19" ht="25.35" customHeight="1" x14ac:dyDescent="0.2">
      <c r="E111" s="310" t="s">
        <v>2830</v>
      </c>
      <c r="F111" s="310">
        <f>COUNTIF($F$2:$F$2,E111)</f>
        <v>0</v>
      </c>
      <c r="G111" s="310" t="s">
        <v>3080</v>
      </c>
      <c r="H111" s="310">
        <f t="shared" si="3"/>
        <v>0</v>
      </c>
    </row>
    <row r="112" spans="1:19" ht="25.35" customHeight="1" x14ac:dyDescent="0.2">
      <c r="E112" s="310" t="s">
        <v>2827</v>
      </c>
      <c r="F112" s="310">
        <f>COUNTIF($F$2:$F$2,E112)</f>
        <v>0</v>
      </c>
      <c r="G112" s="310" t="s">
        <v>2922</v>
      </c>
      <c r="H112" s="310">
        <f t="shared" si="3"/>
        <v>3</v>
      </c>
    </row>
    <row r="113" spans="5:8" ht="25.35" customHeight="1" x14ac:dyDescent="0.2">
      <c r="E113" s="310" t="s">
        <v>3220</v>
      </c>
      <c r="F113" s="310">
        <f>COUNTIF($F$2:$F$100,1)</f>
        <v>91</v>
      </c>
      <c r="G113" s="310" t="s">
        <v>2972</v>
      </c>
      <c r="H113" s="310">
        <f t="shared" si="3"/>
        <v>1</v>
      </c>
    </row>
    <row r="114" spans="5:8" ht="25.35" customHeight="1" x14ac:dyDescent="0.2">
      <c r="E114" s="310" t="s">
        <v>3226</v>
      </c>
      <c r="F114" s="310">
        <f>COUNTIF($F$2:$F$100,2)</f>
        <v>8</v>
      </c>
      <c r="G114" s="310" t="s">
        <v>2880</v>
      </c>
      <c r="H114" s="310">
        <f t="shared" si="3"/>
        <v>14</v>
      </c>
    </row>
    <row r="115" spans="5:8" ht="25.35" customHeight="1" x14ac:dyDescent="0.2">
      <c r="G115" s="310" t="s">
        <v>2927</v>
      </c>
      <c r="H115" s="310">
        <f t="shared" si="3"/>
        <v>3</v>
      </c>
    </row>
    <row r="116" spans="5:8" ht="25.35" customHeight="1" x14ac:dyDescent="0.2">
      <c r="G116" s="310" t="s">
        <v>2846</v>
      </c>
      <c r="H116" s="310">
        <f t="shared" si="3"/>
        <v>29</v>
      </c>
    </row>
    <row r="118" spans="5:8" ht="25.35" customHeight="1" x14ac:dyDescent="0.2">
      <c r="F118" s="310">
        <f>SUM(F110:F116)</f>
        <v>99</v>
      </c>
      <c r="H118" s="310">
        <f>SUM(H110:H116)</f>
        <v>99</v>
      </c>
    </row>
    <row r="131" spans="2:2" ht="25.35" customHeight="1" x14ac:dyDescent="0.25">
      <c r="B131" s="317"/>
    </row>
  </sheetData>
  <dataConsolidate/>
  <mergeCells count="1">
    <mergeCell ref="A101:E101"/>
  </mergeCells>
  <pageMargins left="0.7" right="0.7" top="0.75" bottom="0.75" header="0.3" footer="0.3"/>
  <pageSetup scale="44" orientation="landscape"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pageSetUpPr fitToPage="1"/>
  </sheetPr>
  <dimension ref="A1:Q139"/>
  <sheetViews>
    <sheetView zoomScale="80" zoomScaleNormal="80" workbookViewId="0">
      <pane ySplit="1" topLeftCell="A19" activePane="bottomLeft" state="frozen"/>
      <selection pane="bottomLeft" activeCell="I32" sqref="I32"/>
    </sheetView>
  </sheetViews>
  <sheetFormatPr defaultRowHeight="25.35" customHeight="1" x14ac:dyDescent="0.2"/>
  <cols>
    <col min="1" max="1" width="12.42578125" style="283" customWidth="1"/>
    <col min="2" max="2" width="14" style="13" customWidth="1"/>
    <col min="3" max="3" width="35.5703125" style="290" customWidth="1"/>
    <col min="4" max="4" width="43.42578125" style="290" customWidth="1"/>
    <col min="5" max="5" width="21.42578125" style="279" customWidth="1"/>
    <col min="6" max="6" width="14.5703125" style="279" customWidth="1"/>
    <col min="7" max="7" width="19.42578125" style="279" customWidth="1"/>
    <col min="8" max="8" width="14.5703125" style="279" customWidth="1"/>
    <col min="9" max="9" width="10.5703125" style="279" customWidth="1"/>
    <col min="10" max="10" width="12.42578125" style="13" customWidth="1"/>
    <col min="11" max="11" width="10.5703125" style="279" customWidth="1"/>
    <col min="12" max="12" width="13.42578125" style="279" customWidth="1"/>
    <col min="13" max="13" width="10.5703125" style="13" customWidth="1"/>
    <col min="14" max="14" width="9.5703125" style="279" customWidth="1"/>
    <col min="15" max="15" width="12.42578125" style="279" customWidth="1"/>
    <col min="16" max="16" width="22.5703125" style="283" customWidth="1"/>
  </cols>
  <sheetData>
    <row r="1" spans="1:16" ht="40.5" x14ac:dyDescent="0.2">
      <c r="A1" s="258" t="s">
        <v>2808</v>
      </c>
      <c r="B1" s="284" t="s">
        <v>2809</v>
      </c>
      <c r="C1" s="258" t="s">
        <v>2810</v>
      </c>
      <c r="D1" s="258" t="s">
        <v>2811</v>
      </c>
      <c r="E1" s="258" t="s">
        <v>2812</v>
      </c>
      <c r="F1" s="258" t="s">
        <v>2813</v>
      </c>
      <c r="G1" s="258" t="s">
        <v>2814</v>
      </c>
      <c r="H1" s="258" t="s">
        <v>2815</v>
      </c>
      <c r="I1" s="258" t="s">
        <v>2816</v>
      </c>
      <c r="J1" s="284" t="s">
        <v>2817</v>
      </c>
      <c r="K1" s="258" t="s">
        <v>2818</v>
      </c>
      <c r="L1" s="260" t="s">
        <v>2819</v>
      </c>
      <c r="M1" s="298" t="s">
        <v>2820</v>
      </c>
      <c r="N1" s="260" t="s">
        <v>2821</v>
      </c>
      <c r="O1" s="260" t="s">
        <v>2822</v>
      </c>
      <c r="P1" s="92" t="s">
        <v>2823</v>
      </c>
    </row>
    <row r="2" spans="1:16" ht="25.35" customHeight="1" x14ac:dyDescent="0.2">
      <c r="A2" s="280" t="s">
        <v>3047</v>
      </c>
      <c r="B2" s="278">
        <v>42011</v>
      </c>
      <c r="C2" s="288" t="s">
        <v>3050</v>
      </c>
      <c r="D2" s="288" t="s">
        <v>3051</v>
      </c>
      <c r="E2" s="47" t="s">
        <v>3049</v>
      </c>
      <c r="F2" s="47" t="s">
        <v>2833</v>
      </c>
      <c r="G2" s="47" t="s">
        <v>2852</v>
      </c>
      <c r="H2" s="47" t="s">
        <v>2106</v>
      </c>
      <c r="I2" s="47" t="s">
        <v>2428</v>
      </c>
      <c r="J2" s="278">
        <v>42035</v>
      </c>
      <c r="K2" s="47" t="s">
        <v>2853</v>
      </c>
      <c r="L2" s="47" t="s">
        <v>2088</v>
      </c>
      <c r="M2" s="278">
        <v>42012</v>
      </c>
      <c r="N2" s="47" t="s">
        <v>3061</v>
      </c>
      <c r="O2" s="47" t="s">
        <v>2829</v>
      </c>
      <c r="P2" s="287"/>
    </row>
    <row r="3" spans="1:16" ht="25.35" customHeight="1" x14ac:dyDescent="0.2">
      <c r="A3" s="281" t="s">
        <v>3052</v>
      </c>
      <c r="B3" s="286">
        <v>42026</v>
      </c>
      <c r="C3" s="289" t="s">
        <v>3053</v>
      </c>
      <c r="D3" s="289" t="s">
        <v>3054</v>
      </c>
      <c r="E3" s="291" t="s">
        <v>2971</v>
      </c>
      <c r="F3" s="292" t="s">
        <v>2833</v>
      </c>
      <c r="G3" s="47" t="s">
        <v>2972</v>
      </c>
      <c r="H3" s="292" t="s">
        <v>229</v>
      </c>
      <c r="I3" s="292" t="s">
        <v>229</v>
      </c>
      <c r="J3" s="286">
        <v>42062</v>
      </c>
      <c r="K3" s="299" t="s">
        <v>2853</v>
      </c>
      <c r="L3" s="292" t="s">
        <v>3022</v>
      </c>
      <c r="M3" s="286">
        <v>42340</v>
      </c>
      <c r="N3" s="292" t="s">
        <v>3022</v>
      </c>
      <c r="O3" s="292" t="s">
        <v>2837</v>
      </c>
      <c r="P3" s="287"/>
    </row>
    <row r="4" spans="1:16" ht="25.35" customHeight="1" x14ac:dyDescent="0.2">
      <c r="A4" s="281" t="s">
        <v>3055</v>
      </c>
      <c r="B4" s="286">
        <v>42027</v>
      </c>
      <c r="C4" s="289" t="s">
        <v>3056</v>
      </c>
      <c r="D4" s="289" t="s">
        <v>3057</v>
      </c>
      <c r="E4" s="291" t="s">
        <v>2971</v>
      </c>
      <c r="F4" s="292" t="s">
        <v>2833</v>
      </c>
      <c r="G4" s="47" t="s">
        <v>2927</v>
      </c>
      <c r="H4" s="292" t="s">
        <v>2067</v>
      </c>
      <c r="I4" s="292" t="s">
        <v>229</v>
      </c>
      <c r="J4" s="286">
        <v>42034</v>
      </c>
      <c r="K4" s="291" t="s">
        <v>2853</v>
      </c>
      <c r="L4" s="292" t="s">
        <v>2088</v>
      </c>
      <c r="M4" s="286">
        <v>42027</v>
      </c>
      <c r="N4" s="292" t="s">
        <v>3061</v>
      </c>
      <c r="O4" s="292" t="s">
        <v>2829</v>
      </c>
      <c r="P4" s="296"/>
    </row>
    <row r="5" spans="1:16" ht="25.35" customHeight="1" x14ac:dyDescent="0.2">
      <c r="A5" s="281" t="s">
        <v>3058</v>
      </c>
      <c r="B5" s="286">
        <v>42032</v>
      </c>
      <c r="C5" s="289" t="s">
        <v>3059</v>
      </c>
      <c r="D5" s="289" t="s">
        <v>3060</v>
      </c>
      <c r="E5" s="291" t="s">
        <v>2971</v>
      </c>
      <c r="F5" s="292" t="s">
        <v>2833</v>
      </c>
      <c r="G5" s="47" t="s">
        <v>2927</v>
      </c>
      <c r="H5" s="292" t="s">
        <v>441</v>
      </c>
      <c r="I5" s="292" t="s">
        <v>229</v>
      </c>
      <c r="J5" s="286">
        <v>42041</v>
      </c>
      <c r="K5" s="291" t="s">
        <v>2853</v>
      </c>
      <c r="L5" s="292" t="s">
        <v>2088</v>
      </c>
      <c r="M5" s="286">
        <v>42033</v>
      </c>
      <c r="N5" s="292" t="s">
        <v>3061</v>
      </c>
      <c r="O5" s="292" t="s">
        <v>2829</v>
      </c>
      <c r="P5" s="296"/>
    </row>
    <row r="6" spans="1:16" ht="25.35" customHeight="1" x14ac:dyDescent="0.2">
      <c r="A6" s="281" t="s">
        <v>3062</v>
      </c>
      <c r="B6" s="286">
        <v>42033</v>
      </c>
      <c r="C6" s="289" t="s">
        <v>3063</v>
      </c>
      <c r="D6" s="289" t="s">
        <v>3064</v>
      </c>
      <c r="E6" s="291" t="s">
        <v>3033</v>
      </c>
      <c r="F6" s="292" t="s">
        <v>2833</v>
      </c>
      <c r="G6" s="47" t="s">
        <v>2852</v>
      </c>
      <c r="H6" s="292" t="s">
        <v>2067</v>
      </c>
      <c r="I6" s="292" t="s">
        <v>2428</v>
      </c>
      <c r="J6" s="286">
        <v>42041</v>
      </c>
      <c r="K6" s="291" t="s">
        <v>2853</v>
      </c>
      <c r="L6" s="292" t="s">
        <v>2088</v>
      </c>
      <c r="M6" s="286">
        <v>42034</v>
      </c>
      <c r="N6" s="292" t="s">
        <v>3061</v>
      </c>
      <c r="O6" s="292" t="s">
        <v>2829</v>
      </c>
      <c r="P6" s="296"/>
    </row>
    <row r="7" spans="1:16" ht="25.35" customHeight="1" x14ac:dyDescent="0.2">
      <c r="A7" s="281" t="s">
        <v>3065</v>
      </c>
      <c r="B7" s="286">
        <v>42034</v>
      </c>
      <c r="C7" s="289" t="s">
        <v>3066</v>
      </c>
      <c r="D7" s="289" t="s">
        <v>3067</v>
      </c>
      <c r="E7" s="291" t="s">
        <v>2869</v>
      </c>
      <c r="F7" s="292" t="s">
        <v>2833</v>
      </c>
      <c r="G7" s="47" t="s">
        <v>2852</v>
      </c>
      <c r="H7" s="292" t="s">
        <v>2067</v>
      </c>
      <c r="I7" s="292" t="s">
        <v>229</v>
      </c>
      <c r="J7" s="286">
        <v>42041</v>
      </c>
      <c r="K7" s="291" t="s">
        <v>2853</v>
      </c>
      <c r="L7" s="292" t="s">
        <v>2088</v>
      </c>
      <c r="M7" s="286">
        <v>42034</v>
      </c>
      <c r="N7" s="292" t="s">
        <v>3061</v>
      </c>
      <c r="O7" s="292" t="s">
        <v>2829</v>
      </c>
      <c r="P7" s="296"/>
    </row>
    <row r="8" spans="1:16" ht="25.35" customHeight="1" x14ac:dyDescent="0.2">
      <c r="A8" s="281" t="s">
        <v>3068</v>
      </c>
      <c r="B8" s="286">
        <v>42037</v>
      </c>
      <c r="C8" s="289" t="s">
        <v>3069</v>
      </c>
      <c r="D8" s="289" t="s">
        <v>3070</v>
      </c>
      <c r="E8" s="291" t="s">
        <v>2971</v>
      </c>
      <c r="F8" s="292" t="s">
        <v>2833</v>
      </c>
      <c r="G8" s="47" t="s">
        <v>2846</v>
      </c>
      <c r="H8" s="292" t="s">
        <v>999</v>
      </c>
      <c r="I8" s="292" t="s">
        <v>229</v>
      </c>
      <c r="J8" s="286">
        <v>42094</v>
      </c>
      <c r="K8" s="291" t="s">
        <v>2853</v>
      </c>
      <c r="L8" s="292" t="s">
        <v>2088</v>
      </c>
      <c r="M8" s="286">
        <v>42202</v>
      </c>
      <c r="N8" s="292" t="s">
        <v>3022</v>
      </c>
      <c r="O8" s="292" t="s">
        <v>2835</v>
      </c>
      <c r="P8" s="296"/>
    </row>
    <row r="9" spans="1:16" ht="25.35" customHeight="1" x14ac:dyDescent="0.2">
      <c r="A9" s="281" t="s">
        <v>3071</v>
      </c>
      <c r="B9" s="286">
        <v>42037</v>
      </c>
      <c r="C9" s="289" t="s">
        <v>3072</v>
      </c>
      <c r="D9" s="289" t="s">
        <v>3070</v>
      </c>
      <c r="E9" s="291" t="s">
        <v>2971</v>
      </c>
      <c r="F9" s="292" t="s">
        <v>2833</v>
      </c>
      <c r="G9" s="47" t="s">
        <v>2846</v>
      </c>
      <c r="H9" s="292" t="s">
        <v>999</v>
      </c>
      <c r="I9" s="292" t="s">
        <v>229</v>
      </c>
      <c r="J9" s="286">
        <v>42094</v>
      </c>
      <c r="K9" s="291" t="s">
        <v>2853</v>
      </c>
      <c r="L9" s="292" t="s">
        <v>3022</v>
      </c>
      <c r="M9" s="286">
        <v>42201</v>
      </c>
      <c r="N9" s="292" t="s">
        <v>3022</v>
      </c>
      <c r="O9" s="292" t="s">
        <v>2835</v>
      </c>
      <c r="P9" s="296"/>
    </row>
    <row r="10" spans="1:16" ht="25.35" customHeight="1" x14ac:dyDescent="0.2">
      <c r="A10" s="281" t="s">
        <v>3074</v>
      </c>
      <c r="B10" s="286">
        <v>42037</v>
      </c>
      <c r="C10" s="289" t="s">
        <v>3073</v>
      </c>
      <c r="D10" s="289" t="s">
        <v>3070</v>
      </c>
      <c r="E10" s="291" t="s">
        <v>2971</v>
      </c>
      <c r="F10" s="292" t="s">
        <v>2833</v>
      </c>
      <c r="G10" s="47" t="s">
        <v>2846</v>
      </c>
      <c r="H10" s="292" t="s">
        <v>999</v>
      </c>
      <c r="I10" s="292" t="s">
        <v>229</v>
      </c>
      <c r="J10" s="286">
        <v>42094</v>
      </c>
      <c r="K10" s="291" t="s">
        <v>2853</v>
      </c>
      <c r="L10" s="292" t="s">
        <v>3022</v>
      </c>
      <c r="M10" s="286">
        <v>42216</v>
      </c>
      <c r="N10" s="292" t="s">
        <v>3022</v>
      </c>
      <c r="O10" s="292" t="s">
        <v>2835</v>
      </c>
      <c r="P10" s="296"/>
    </row>
    <row r="11" spans="1:16" ht="25.35" customHeight="1" x14ac:dyDescent="0.2">
      <c r="A11" s="281" t="s">
        <v>3075</v>
      </c>
      <c r="B11" s="286">
        <v>42037</v>
      </c>
      <c r="C11" s="289" t="s">
        <v>3076</v>
      </c>
      <c r="D11" s="289" t="s">
        <v>3070</v>
      </c>
      <c r="E11" s="291" t="s">
        <v>2971</v>
      </c>
      <c r="F11" s="292" t="s">
        <v>2833</v>
      </c>
      <c r="G11" s="47" t="s">
        <v>2846</v>
      </c>
      <c r="H11" s="292" t="s">
        <v>229</v>
      </c>
      <c r="I11" s="292" t="s">
        <v>229</v>
      </c>
      <c r="J11" s="286">
        <v>42094</v>
      </c>
      <c r="K11" s="299" t="s">
        <v>2853</v>
      </c>
      <c r="L11" s="292" t="s">
        <v>3022</v>
      </c>
      <c r="M11" s="286">
        <v>42562</v>
      </c>
      <c r="N11" s="292" t="s">
        <v>3022</v>
      </c>
      <c r="O11" s="292" t="s">
        <v>2839</v>
      </c>
      <c r="P11" s="296"/>
    </row>
    <row r="12" spans="1:16" ht="25.35" customHeight="1" x14ac:dyDescent="0.2">
      <c r="A12" s="281" t="s">
        <v>3077</v>
      </c>
      <c r="B12" s="286">
        <v>42038</v>
      </c>
      <c r="C12" s="289" t="s">
        <v>3078</v>
      </c>
      <c r="D12" s="289" t="s">
        <v>3079</v>
      </c>
      <c r="E12" s="291" t="s">
        <v>2971</v>
      </c>
      <c r="F12" s="291" t="s">
        <v>2833</v>
      </c>
      <c r="G12" s="47" t="s">
        <v>3080</v>
      </c>
      <c r="H12" s="291" t="s">
        <v>229</v>
      </c>
      <c r="I12" s="291" t="s">
        <v>441</v>
      </c>
      <c r="J12" s="286">
        <v>42041</v>
      </c>
      <c r="K12" s="291" t="s">
        <v>2853</v>
      </c>
      <c r="L12" s="291" t="s">
        <v>2088</v>
      </c>
      <c r="M12" s="286">
        <v>42039</v>
      </c>
      <c r="N12" s="291" t="s">
        <v>3061</v>
      </c>
      <c r="O12" s="291" t="s">
        <v>2829</v>
      </c>
      <c r="P12" s="296"/>
    </row>
    <row r="13" spans="1:16" ht="25.35" customHeight="1" x14ac:dyDescent="0.2">
      <c r="A13" s="281" t="s">
        <v>3081</v>
      </c>
      <c r="B13" s="286">
        <v>42039</v>
      </c>
      <c r="C13" s="289" t="s">
        <v>3082</v>
      </c>
      <c r="D13" s="289" t="s">
        <v>3083</v>
      </c>
      <c r="E13" s="291" t="s">
        <v>3084</v>
      </c>
      <c r="F13" s="291" t="s">
        <v>2833</v>
      </c>
      <c r="G13" s="47" t="s">
        <v>2852</v>
      </c>
      <c r="H13" s="291" t="s">
        <v>237</v>
      </c>
      <c r="I13" s="291" t="s">
        <v>229</v>
      </c>
      <c r="J13" s="286">
        <v>42052</v>
      </c>
      <c r="K13" s="299" t="s">
        <v>1056</v>
      </c>
      <c r="L13" s="291" t="s">
        <v>2088</v>
      </c>
      <c r="M13" s="286" t="s">
        <v>2088</v>
      </c>
      <c r="N13" s="291" t="s">
        <v>2088</v>
      </c>
      <c r="O13" s="291" t="s">
        <v>2088</v>
      </c>
      <c r="P13" s="296" t="s">
        <v>5033</v>
      </c>
    </row>
    <row r="14" spans="1:16" ht="38.25" x14ac:dyDescent="0.2">
      <c r="A14" s="281" t="s">
        <v>3085</v>
      </c>
      <c r="B14" s="286">
        <v>42052</v>
      </c>
      <c r="C14" s="289" t="s">
        <v>3086</v>
      </c>
      <c r="D14" s="289" t="s">
        <v>3087</v>
      </c>
      <c r="E14" s="291" t="s">
        <v>2971</v>
      </c>
      <c r="F14" s="291" t="s">
        <v>2833</v>
      </c>
      <c r="G14" s="47" t="s">
        <v>2880</v>
      </c>
      <c r="H14" s="291" t="s">
        <v>516</v>
      </c>
      <c r="I14" s="291" t="s">
        <v>229</v>
      </c>
      <c r="J14" s="286">
        <v>42062</v>
      </c>
      <c r="K14" s="299" t="s">
        <v>2853</v>
      </c>
      <c r="L14" s="291" t="s">
        <v>3022</v>
      </c>
      <c r="M14" s="286">
        <v>42114</v>
      </c>
      <c r="N14" s="291" t="s">
        <v>3022</v>
      </c>
      <c r="O14" s="291" t="s">
        <v>2832</v>
      </c>
      <c r="P14" s="296"/>
    </row>
    <row r="15" spans="1:16" ht="25.35" customHeight="1" x14ac:dyDescent="0.2">
      <c r="A15" s="281" t="s">
        <v>3088</v>
      </c>
      <c r="B15" s="286">
        <v>42053</v>
      </c>
      <c r="C15" s="289" t="s">
        <v>3089</v>
      </c>
      <c r="D15" s="289" t="s">
        <v>3070</v>
      </c>
      <c r="E15" s="291" t="s">
        <v>2971</v>
      </c>
      <c r="F15" s="291" t="s">
        <v>2833</v>
      </c>
      <c r="G15" s="47" t="s">
        <v>2846</v>
      </c>
      <c r="H15" s="291" t="s">
        <v>727</v>
      </c>
      <c r="I15" s="291" t="s">
        <v>229</v>
      </c>
      <c r="J15" s="286">
        <v>42185</v>
      </c>
      <c r="K15" s="291" t="s">
        <v>2853</v>
      </c>
      <c r="L15" s="291" t="s">
        <v>3022</v>
      </c>
      <c r="M15" s="286">
        <v>42212</v>
      </c>
      <c r="N15" s="291" t="s">
        <v>3022</v>
      </c>
      <c r="O15" s="291" t="s">
        <v>2835</v>
      </c>
      <c r="P15" s="296"/>
    </row>
    <row r="16" spans="1:16" ht="25.35" customHeight="1" x14ac:dyDescent="0.2">
      <c r="A16" s="281" t="s">
        <v>3090</v>
      </c>
      <c r="B16" s="286">
        <v>42053</v>
      </c>
      <c r="C16" s="289" t="s">
        <v>3091</v>
      </c>
      <c r="D16" s="289" t="s">
        <v>3070</v>
      </c>
      <c r="E16" s="291" t="s">
        <v>2971</v>
      </c>
      <c r="F16" s="291" t="s">
        <v>2833</v>
      </c>
      <c r="G16" s="47" t="s">
        <v>2846</v>
      </c>
      <c r="H16" s="291" t="s">
        <v>727</v>
      </c>
      <c r="I16" s="291" t="s">
        <v>229</v>
      </c>
      <c r="J16" s="286">
        <v>42185</v>
      </c>
      <c r="K16" s="291" t="s">
        <v>2853</v>
      </c>
      <c r="L16" s="291" t="s">
        <v>3022</v>
      </c>
      <c r="M16" s="286">
        <v>42212</v>
      </c>
      <c r="N16" s="291" t="s">
        <v>3022</v>
      </c>
      <c r="O16" s="291" t="s">
        <v>2835</v>
      </c>
      <c r="P16" s="296"/>
    </row>
    <row r="17" spans="1:16" ht="25.35" customHeight="1" x14ac:dyDescent="0.2">
      <c r="A17" s="281" t="s">
        <v>3092</v>
      </c>
      <c r="B17" s="286">
        <v>42053</v>
      </c>
      <c r="C17" s="289" t="s">
        <v>3093</v>
      </c>
      <c r="D17" s="289" t="s">
        <v>3070</v>
      </c>
      <c r="E17" s="291" t="s">
        <v>2971</v>
      </c>
      <c r="F17" s="291" t="s">
        <v>2833</v>
      </c>
      <c r="G17" s="47" t="s">
        <v>2846</v>
      </c>
      <c r="H17" s="291" t="s">
        <v>486</v>
      </c>
      <c r="I17" s="291" t="s">
        <v>229</v>
      </c>
      <c r="J17" s="286">
        <v>42185</v>
      </c>
      <c r="K17" s="291" t="s">
        <v>2853</v>
      </c>
      <c r="L17" s="291" t="s">
        <v>2088</v>
      </c>
      <c r="M17" s="286">
        <v>42160</v>
      </c>
      <c r="N17" s="291" t="s">
        <v>3061</v>
      </c>
      <c r="O17" s="291" t="s">
        <v>2835</v>
      </c>
      <c r="P17" s="296"/>
    </row>
    <row r="18" spans="1:16" ht="25.35" customHeight="1" x14ac:dyDescent="0.2">
      <c r="A18" s="281" t="s">
        <v>3094</v>
      </c>
      <c r="B18" s="286">
        <v>42053</v>
      </c>
      <c r="C18" s="289" t="s">
        <v>3095</v>
      </c>
      <c r="D18" s="289" t="s">
        <v>3070</v>
      </c>
      <c r="E18" s="291" t="s">
        <v>2971</v>
      </c>
      <c r="F18" s="291" t="s">
        <v>2833</v>
      </c>
      <c r="G18" s="47" t="s">
        <v>2846</v>
      </c>
      <c r="H18" s="291" t="s">
        <v>486</v>
      </c>
      <c r="I18" s="291" t="s">
        <v>229</v>
      </c>
      <c r="J18" s="286">
        <v>42185</v>
      </c>
      <c r="K18" s="291" t="s">
        <v>2853</v>
      </c>
      <c r="L18" s="291" t="s">
        <v>3022</v>
      </c>
      <c r="M18" s="286">
        <v>42356</v>
      </c>
      <c r="N18" s="291" t="s">
        <v>3022</v>
      </c>
      <c r="O18" s="291" t="s">
        <v>2837</v>
      </c>
      <c r="P18" s="296"/>
    </row>
    <row r="19" spans="1:16" ht="25.35" customHeight="1" x14ac:dyDescent="0.2">
      <c r="A19" s="281" t="s">
        <v>3096</v>
      </c>
      <c r="B19" s="286">
        <v>42053</v>
      </c>
      <c r="C19" s="289" t="s">
        <v>3097</v>
      </c>
      <c r="D19" s="289" t="s">
        <v>3098</v>
      </c>
      <c r="E19" s="291" t="s">
        <v>2971</v>
      </c>
      <c r="F19" s="291" t="s">
        <v>2833</v>
      </c>
      <c r="G19" s="47" t="s">
        <v>2972</v>
      </c>
      <c r="H19" s="291" t="s">
        <v>685</v>
      </c>
      <c r="I19" s="291" t="s">
        <v>229</v>
      </c>
      <c r="J19" s="286">
        <v>42062</v>
      </c>
      <c r="K19" s="291" t="s">
        <v>2853</v>
      </c>
      <c r="L19" s="291" t="s">
        <v>2088</v>
      </c>
      <c r="M19" s="286">
        <v>42062</v>
      </c>
      <c r="N19" s="291" t="s">
        <v>3061</v>
      </c>
      <c r="O19" s="291" t="s">
        <v>2829</v>
      </c>
      <c r="P19" s="296"/>
    </row>
    <row r="20" spans="1:16" ht="25.35" customHeight="1" x14ac:dyDescent="0.2">
      <c r="A20" s="281" t="s">
        <v>3099</v>
      </c>
      <c r="B20" s="286">
        <v>42054</v>
      </c>
      <c r="C20" s="289" t="s">
        <v>3100</v>
      </c>
      <c r="D20" s="289" t="s">
        <v>3070</v>
      </c>
      <c r="E20" s="291" t="s">
        <v>2971</v>
      </c>
      <c r="F20" s="291" t="s">
        <v>2833</v>
      </c>
      <c r="G20" s="47" t="s">
        <v>2846</v>
      </c>
      <c r="H20" s="291" t="s">
        <v>624</v>
      </c>
      <c r="I20" s="291" t="s">
        <v>229</v>
      </c>
      <c r="J20" s="286">
        <v>42247</v>
      </c>
      <c r="K20" s="299" t="s">
        <v>2853</v>
      </c>
      <c r="L20" s="291" t="s">
        <v>3022</v>
      </c>
      <c r="M20" s="286">
        <v>42461</v>
      </c>
      <c r="N20" s="291" t="s">
        <v>3022</v>
      </c>
      <c r="O20" s="291" t="s">
        <v>2839</v>
      </c>
      <c r="P20" s="296"/>
    </row>
    <row r="21" spans="1:16" ht="25.35" customHeight="1" x14ac:dyDescent="0.2">
      <c r="A21" s="281" t="s">
        <v>3101</v>
      </c>
      <c r="B21" s="286">
        <v>42055</v>
      </c>
      <c r="C21" s="289" t="s">
        <v>3102</v>
      </c>
      <c r="D21" s="289" t="s">
        <v>3103</v>
      </c>
      <c r="E21" s="291" t="s">
        <v>2971</v>
      </c>
      <c r="F21" s="291" t="s">
        <v>2833</v>
      </c>
      <c r="G21" s="47" t="s">
        <v>2927</v>
      </c>
      <c r="H21" s="291" t="s">
        <v>1810</v>
      </c>
      <c r="I21" s="291" t="s">
        <v>229</v>
      </c>
      <c r="J21" s="286">
        <v>42124</v>
      </c>
      <c r="K21" s="299" t="s">
        <v>2853</v>
      </c>
      <c r="L21" s="291" t="s">
        <v>3022</v>
      </c>
      <c r="M21" s="286">
        <v>42705</v>
      </c>
      <c r="N21" s="291" t="s">
        <v>3022</v>
      </c>
      <c r="O21" s="291" t="s">
        <v>2839</v>
      </c>
      <c r="P21" s="296"/>
    </row>
    <row r="22" spans="1:16" ht="25.35" customHeight="1" x14ac:dyDescent="0.2">
      <c r="A22" s="281" t="s">
        <v>3104</v>
      </c>
      <c r="B22" s="286">
        <v>42058</v>
      </c>
      <c r="C22" s="289" t="s">
        <v>3105</v>
      </c>
      <c r="D22" s="289" t="s">
        <v>3106</v>
      </c>
      <c r="E22" s="291" t="s">
        <v>2971</v>
      </c>
      <c r="F22" s="291" t="s">
        <v>2833</v>
      </c>
      <c r="G22" s="47" t="s">
        <v>2880</v>
      </c>
      <c r="H22" s="291" t="s">
        <v>441</v>
      </c>
      <c r="I22" s="291" t="s">
        <v>229</v>
      </c>
      <c r="J22" s="286">
        <v>42124</v>
      </c>
      <c r="K22" s="291" t="s">
        <v>2853</v>
      </c>
      <c r="L22" s="291" t="s">
        <v>2088</v>
      </c>
      <c r="M22" s="286">
        <v>42058</v>
      </c>
      <c r="N22" s="291" t="s">
        <v>3061</v>
      </c>
      <c r="O22" s="291" t="s">
        <v>2829</v>
      </c>
      <c r="P22" s="296"/>
    </row>
    <row r="23" spans="1:16" ht="25.35" customHeight="1" x14ac:dyDescent="0.2">
      <c r="A23" s="281" t="s">
        <v>3107</v>
      </c>
      <c r="B23" s="286">
        <v>42062</v>
      </c>
      <c r="C23" s="289" t="s">
        <v>3108</v>
      </c>
      <c r="D23" s="289" t="s">
        <v>3070</v>
      </c>
      <c r="E23" s="291" t="s">
        <v>2971</v>
      </c>
      <c r="F23" s="291" t="s">
        <v>2833</v>
      </c>
      <c r="G23" s="47" t="s">
        <v>2846</v>
      </c>
      <c r="H23" s="291" t="s">
        <v>481</v>
      </c>
      <c r="I23" s="291" t="s">
        <v>229</v>
      </c>
      <c r="J23" s="286">
        <v>42185</v>
      </c>
      <c r="K23" s="291" t="s">
        <v>2853</v>
      </c>
      <c r="L23" s="291" t="s">
        <v>3022</v>
      </c>
      <c r="M23" s="286">
        <v>42216</v>
      </c>
      <c r="N23" s="291" t="s">
        <v>3022</v>
      </c>
      <c r="O23" s="291" t="s">
        <v>2835</v>
      </c>
      <c r="P23" s="296"/>
    </row>
    <row r="24" spans="1:16" ht="25.35" customHeight="1" x14ac:dyDescent="0.2">
      <c r="A24" s="281" t="s">
        <v>3112</v>
      </c>
      <c r="B24" s="286">
        <v>42069</v>
      </c>
      <c r="C24" s="289" t="s">
        <v>3113</v>
      </c>
      <c r="D24" s="289" t="s">
        <v>3070</v>
      </c>
      <c r="E24" s="291" t="s">
        <v>2971</v>
      </c>
      <c r="F24" s="291" t="s">
        <v>2833</v>
      </c>
      <c r="G24" s="47" t="s">
        <v>2846</v>
      </c>
      <c r="H24" s="291" t="s">
        <v>2106</v>
      </c>
      <c r="I24" s="291" t="s">
        <v>229</v>
      </c>
      <c r="J24" s="286">
        <v>42216</v>
      </c>
      <c r="K24" s="291" t="s">
        <v>2853</v>
      </c>
      <c r="L24" s="291" t="s">
        <v>2088</v>
      </c>
      <c r="M24" s="286">
        <v>42172</v>
      </c>
      <c r="N24" s="291" t="s">
        <v>3061</v>
      </c>
      <c r="O24" s="291" t="s">
        <v>2835</v>
      </c>
      <c r="P24" s="296"/>
    </row>
    <row r="25" spans="1:16" ht="25.35" customHeight="1" x14ac:dyDescent="0.2">
      <c r="A25" s="281" t="s">
        <v>3114</v>
      </c>
      <c r="B25" s="286">
        <v>42069</v>
      </c>
      <c r="C25" s="289" t="s">
        <v>3115</v>
      </c>
      <c r="D25" s="289" t="s">
        <v>3120</v>
      </c>
      <c r="E25" s="291" t="s">
        <v>2971</v>
      </c>
      <c r="F25" s="291" t="s">
        <v>2833</v>
      </c>
      <c r="G25" s="47" t="s">
        <v>2846</v>
      </c>
      <c r="H25" s="291" t="s">
        <v>229</v>
      </c>
      <c r="I25" s="291" t="s">
        <v>229</v>
      </c>
      <c r="J25" s="286">
        <v>42124</v>
      </c>
      <c r="K25" s="291" t="s">
        <v>2853</v>
      </c>
      <c r="L25" s="291" t="s">
        <v>2912</v>
      </c>
      <c r="M25" s="286">
        <v>42139</v>
      </c>
      <c r="N25" s="291" t="s">
        <v>3022</v>
      </c>
      <c r="O25" s="291" t="s">
        <v>2832</v>
      </c>
      <c r="P25" s="296"/>
    </row>
    <row r="26" spans="1:16" ht="25.35" customHeight="1" x14ac:dyDescent="0.2">
      <c r="A26" s="281" t="s">
        <v>3116</v>
      </c>
      <c r="B26" s="286">
        <v>42086</v>
      </c>
      <c r="C26" s="289" t="s">
        <v>3117</v>
      </c>
      <c r="D26" s="289" t="s">
        <v>3118</v>
      </c>
      <c r="E26" s="291" t="s">
        <v>2879</v>
      </c>
      <c r="F26" s="291" t="s">
        <v>2833</v>
      </c>
      <c r="G26" s="47" t="s">
        <v>2852</v>
      </c>
      <c r="H26" s="291" t="s">
        <v>727</v>
      </c>
      <c r="I26" s="291" t="s">
        <v>3119</v>
      </c>
      <c r="J26" s="286">
        <v>42094</v>
      </c>
      <c r="K26" s="291" t="s">
        <v>2853</v>
      </c>
      <c r="L26" s="291" t="s">
        <v>2088</v>
      </c>
      <c r="M26" s="286">
        <v>42094</v>
      </c>
      <c r="N26" s="291" t="s">
        <v>3061</v>
      </c>
      <c r="O26" s="291" t="s">
        <v>2829</v>
      </c>
      <c r="P26" s="296"/>
    </row>
    <row r="27" spans="1:16" ht="25.35" customHeight="1" x14ac:dyDescent="0.2">
      <c r="A27" s="281" t="s">
        <v>3121</v>
      </c>
      <c r="B27" s="286">
        <v>42087</v>
      </c>
      <c r="C27" s="289" t="s">
        <v>3122</v>
      </c>
      <c r="D27" s="289" t="s">
        <v>3070</v>
      </c>
      <c r="E27" s="291" t="s">
        <v>2971</v>
      </c>
      <c r="F27" s="291" t="s">
        <v>2833</v>
      </c>
      <c r="G27" s="47" t="s">
        <v>2846</v>
      </c>
      <c r="H27" s="291" t="s">
        <v>999</v>
      </c>
      <c r="I27" s="291" t="s">
        <v>229</v>
      </c>
      <c r="J27" s="286">
        <v>42185</v>
      </c>
      <c r="K27" s="291" t="s">
        <v>2853</v>
      </c>
      <c r="L27" s="291" t="s">
        <v>2088</v>
      </c>
      <c r="M27" s="286">
        <v>42124</v>
      </c>
      <c r="N27" s="291" t="s">
        <v>3061</v>
      </c>
      <c r="O27" s="291" t="s">
        <v>2832</v>
      </c>
      <c r="P27" s="296"/>
    </row>
    <row r="28" spans="1:16" ht="25.35" customHeight="1" x14ac:dyDescent="0.2">
      <c r="A28" s="281" t="s">
        <v>3123</v>
      </c>
      <c r="B28" s="286">
        <v>42087</v>
      </c>
      <c r="C28" s="289" t="s">
        <v>3125</v>
      </c>
      <c r="D28" s="289" t="s">
        <v>3126</v>
      </c>
      <c r="E28" s="291" t="s">
        <v>2971</v>
      </c>
      <c r="F28" s="291" t="s">
        <v>2833</v>
      </c>
      <c r="G28" s="47" t="s">
        <v>2846</v>
      </c>
      <c r="H28" s="291" t="s">
        <v>999</v>
      </c>
      <c r="I28" s="291" t="s">
        <v>229</v>
      </c>
      <c r="J28" s="286">
        <v>42277</v>
      </c>
      <c r="K28" s="291" t="s">
        <v>2853</v>
      </c>
      <c r="L28" s="291" t="s">
        <v>2088</v>
      </c>
      <c r="M28" s="286">
        <v>42128</v>
      </c>
      <c r="N28" s="291" t="s">
        <v>3061</v>
      </c>
      <c r="O28" s="291" t="s">
        <v>2832</v>
      </c>
      <c r="P28" s="296"/>
    </row>
    <row r="29" spans="1:16" ht="25.35" customHeight="1" x14ac:dyDescent="0.2">
      <c r="A29" s="281" t="s">
        <v>3124</v>
      </c>
      <c r="B29" s="286">
        <v>42087</v>
      </c>
      <c r="C29" s="289" t="s">
        <v>3127</v>
      </c>
      <c r="D29" s="289" t="s">
        <v>3126</v>
      </c>
      <c r="E29" s="291" t="s">
        <v>2971</v>
      </c>
      <c r="F29" s="291" t="s">
        <v>2833</v>
      </c>
      <c r="G29" s="47" t="s">
        <v>2846</v>
      </c>
      <c r="H29" s="291" t="s">
        <v>999</v>
      </c>
      <c r="I29" s="291" t="s">
        <v>229</v>
      </c>
      <c r="J29" s="286">
        <v>42277</v>
      </c>
      <c r="K29" s="291" t="s">
        <v>2853</v>
      </c>
      <c r="L29" s="291" t="s">
        <v>2912</v>
      </c>
      <c r="M29" s="286">
        <v>42129</v>
      </c>
      <c r="N29" s="291" t="s">
        <v>3061</v>
      </c>
      <c r="O29" s="291" t="s">
        <v>2832</v>
      </c>
      <c r="P29" s="296"/>
    </row>
    <row r="30" spans="1:16" ht="25.35" customHeight="1" x14ac:dyDescent="0.2">
      <c r="A30" s="281" t="s">
        <v>3128</v>
      </c>
      <c r="B30" s="286">
        <v>42090</v>
      </c>
      <c r="C30" s="289" t="s">
        <v>3129</v>
      </c>
      <c r="D30" s="289" t="s">
        <v>3130</v>
      </c>
      <c r="E30" s="47" t="s">
        <v>3049</v>
      </c>
      <c r="F30" s="291" t="s">
        <v>2833</v>
      </c>
      <c r="G30" s="47" t="s">
        <v>2852</v>
      </c>
      <c r="H30" s="291" t="s">
        <v>2067</v>
      </c>
      <c r="I30" s="291" t="s">
        <v>3119</v>
      </c>
      <c r="J30" s="286">
        <v>42097</v>
      </c>
      <c r="K30" s="291" t="s">
        <v>2853</v>
      </c>
      <c r="L30" s="291" t="s">
        <v>2088</v>
      </c>
      <c r="M30" s="286">
        <v>42094</v>
      </c>
      <c r="N30" s="291" t="s">
        <v>3061</v>
      </c>
      <c r="O30" s="291" t="s">
        <v>2829</v>
      </c>
      <c r="P30" s="296"/>
    </row>
    <row r="31" spans="1:16" ht="25.35" customHeight="1" x14ac:dyDescent="0.2">
      <c r="A31" s="281" t="s">
        <v>3131</v>
      </c>
      <c r="B31" s="286">
        <v>42096</v>
      </c>
      <c r="C31" s="289" t="s">
        <v>3132</v>
      </c>
      <c r="D31" s="289" t="s">
        <v>3133</v>
      </c>
      <c r="E31" s="292" t="s">
        <v>3134</v>
      </c>
      <c r="F31" s="291" t="s">
        <v>2833</v>
      </c>
      <c r="G31" s="47" t="s">
        <v>2852</v>
      </c>
      <c r="H31" s="291" t="s">
        <v>2428</v>
      </c>
      <c r="I31" s="291" t="s">
        <v>3119</v>
      </c>
      <c r="J31" s="286">
        <v>42097</v>
      </c>
      <c r="K31" s="291" t="s">
        <v>2853</v>
      </c>
      <c r="L31" s="291" t="s">
        <v>2088</v>
      </c>
      <c r="M31" s="286">
        <v>42101</v>
      </c>
      <c r="N31" s="291" t="s">
        <v>3022</v>
      </c>
      <c r="O31" s="291" t="s">
        <v>2829</v>
      </c>
      <c r="P31" s="296"/>
    </row>
    <row r="32" spans="1:16" ht="38.25" x14ac:dyDescent="0.2">
      <c r="A32" s="281" t="s">
        <v>3135</v>
      </c>
      <c r="B32" s="286">
        <v>42101</v>
      </c>
      <c r="C32" s="289" t="s">
        <v>3136</v>
      </c>
      <c r="D32" s="289" t="s">
        <v>3137</v>
      </c>
      <c r="E32" s="292" t="s">
        <v>2971</v>
      </c>
      <c r="F32" s="291" t="s">
        <v>2833</v>
      </c>
      <c r="G32" s="47" t="s">
        <v>2927</v>
      </c>
      <c r="H32" s="291" t="s">
        <v>481</v>
      </c>
      <c r="I32" s="291" t="s">
        <v>229</v>
      </c>
      <c r="J32" s="286">
        <v>42124</v>
      </c>
      <c r="K32" s="333" t="s">
        <v>4750</v>
      </c>
      <c r="L32" s="291" t="s">
        <v>2088</v>
      </c>
      <c r="M32" s="286">
        <v>43209</v>
      </c>
      <c r="N32" s="291" t="s">
        <v>3022</v>
      </c>
      <c r="O32" s="291" t="s">
        <v>2839</v>
      </c>
      <c r="P32" s="296"/>
    </row>
    <row r="33" spans="1:16" ht="25.35" customHeight="1" x14ac:dyDescent="0.2">
      <c r="A33" s="281" t="s">
        <v>3138</v>
      </c>
      <c r="B33" s="286">
        <v>42104</v>
      </c>
      <c r="C33" s="289" t="s">
        <v>3139</v>
      </c>
      <c r="D33" s="289" t="s">
        <v>3133</v>
      </c>
      <c r="E33" s="291" t="s">
        <v>2879</v>
      </c>
      <c r="F33" s="291" t="s">
        <v>2833</v>
      </c>
      <c r="G33" s="47" t="s">
        <v>2852</v>
      </c>
      <c r="H33" s="291" t="s">
        <v>2106</v>
      </c>
      <c r="I33" s="291" t="s">
        <v>3119</v>
      </c>
      <c r="J33" s="286">
        <v>42135</v>
      </c>
      <c r="K33" s="291" t="s">
        <v>2853</v>
      </c>
      <c r="L33" s="291" t="s">
        <v>2088</v>
      </c>
      <c r="M33" s="286">
        <v>42107</v>
      </c>
      <c r="N33" s="291" t="s">
        <v>3061</v>
      </c>
      <c r="O33" s="291" t="s">
        <v>2829</v>
      </c>
      <c r="P33" s="296"/>
    </row>
    <row r="34" spans="1:16" ht="25.35" customHeight="1" x14ac:dyDescent="0.2">
      <c r="A34" s="281" t="s">
        <v>3140</v>
      </c>
      <c r="B34" s="286">
        <v>42109</v>
      </c>
      <c r="C34" s="289" t="s">
        <v>3160</v>
      </c>
      <c r="D34" s="289" t="s">
        <v>3141</v>
      </c>
      <c r="E34" s="291" t="s">
        <v>3142</v>
      </c>
      <c r="F34" s="291" t="s">
        <v>2833</v>
      </c>
      <c r="G34" s="47" t="s">
        <v>2922</v>
      </c>
      <c r="H34" s="291" t="s">
        <v>3143</v>
      </c>
      <c r="I34" s="291" t="s">
        <v>3144</v>
      </c>
      <c r="J34" s="286">
        <v>42118</v>
      </c>
      <c r="K34" s="299" t="s">
        <v>2853</v>
      </c>
      <c r="L34" s="291" t="s">
        <v>2088</v>
      </c>
      <c r="M34" s="286">
        <v>42131</v>
      </c>
      <c r="N34" s="291" t="s">
        <v>3022</v>
      </c>
      <c r="O34" s="291" t="s">
        <v>2829</v>
      </c>
      <c r="P34" s="296"/>
    </row>
    <row r="35" spans="1:16" ht="25.35" customHeight="1" x14ac:dyDescent="0.2">
      <c r="A35" s="281" t="s">
        <v>3145</v>
      </c>
      <c r="B35" s="286">
        <v>42111</v>
      </c>
      <c r="C35" s="289" t="s">
        <v>3146</v>
      </c>
      <c r="D35" s="289" t="s">
        <v>3147</v>
      </c>
      <c r="E35" s="291" t="s">
        <v>2971</v>
      </c>
      <c r="F35" s="291" t="s">
        <v>2833</v>
      </c>
      <c r="G35" s="47" t="s">
        <v>2972</v>
      </c>
      <c r="H35" s="291" t="s">
        <v>486</v>
      </c>
      <c r="I35" s="291" t="s">
        <v>229</v>
      </c>
      <c r="J35" s="286">
        <v>42172</v>
      </c>
      <c r="K35" s="291" t="s">
        <v>2853</v>
      </c>
      <c r="L35" s="291" t="s">
        <v>2088</v>
      </c>
      <c r="M35" s="286">
        <v>42131</v>
      </c>
      <c r="N35" s="291" t="s">
        <v>3061</v>
      </c>
      <c r="O35" s="291" t="s">
        <v>2829</v>
      </c>
      <c r="P35" s="296"/>
    </row>
    <row r="36" spans="1:16" ht="25.35" customHeight="1" x14ac:dyDescent="0.2">
      <c r="A36" s="281" t="s">
        <v>3148</v>
      </c>
      <c r="B36" s="286">
        <v>42111</v>
      </c>
      <c r="C36" s="289" t="s">
        <v>3149</v>
      </c>
      <c r="D36" s="289" t="s">
        <v>3150</v>
      </c>
      <c r="E36" s="291" t="s">
        <v>2971</v>
      </c>
      <c r="F36" s="291" t="s">
        <v>2833</v>
      </c>
      <c r="G36" s="47" t="s">
        <v>2972</v>
      </c>
      <c r="H36" s="291" t="s">
        <v>2106</v>
      </c>
      <c r="I36" s="291" t="s">
        <v>229</v>
      </c>
      <c r="J36" s="286">
        <v>42155</v>
      </c>
      <c r="K36" s="299" t="s">
        <v>2853</v>
      </c>
      <c r="L36" s="291" t="s">
        <v>2088</v>
      </c>
      <c r="M36" s="286">
        <v>42142</v>
      </c>
      <c r="N36" s="291" t="s">
        <v>3061</v>
      </c>
      <c r="O36" s="291" t="s">
        <v>2829</v>
      </c>
      <c r="P36" s="296"/>
    </row>
    <row r="37" spans="1:16" ht="25.35" customHeight="1" x14ac:dyDescent="0.2">
      <c r="A37" s="281" t="s">
        <v>3151</v>
      </c>
      <c r="B37" s="286">
        <v>42115</v>
      </c>
      <c r="C37" s="289" t="s">
        <v>3152</v>
      </c>
      <c r="D37" s="289" t="s">
        <v>3153</v>
      </c>
      <c r="E37" s="291" t="s">
        <v>3033</v>
      </c>
      <c r="F37" s="291" t="s">
        <v>2833</v>
      </c>
      <c r="G37" s="47" t="s">
        <v>2852</v>
      </c>
      <c r="H37" s="291" t="s">
        <v>2067</v>
      </c>
      <c r="I37" s="291" t="s">
        <v>3119</v>
      </c>
      <c r="J37" s="286">
        <v>42124</v>
      </c>
      <c r="K37" s="291" t="s">
        <v>2853</v>
      </c>
      <c r="L37" s="291" t="s">
        <v>2088</v>
      </c>
      <c r="M37" s="286">
        <v>42117</v>
      </c>
      <c r="N37" s="291" t="s">
        <v>3061</v>
      </c>
      <c r="O37" s="291" t="s">
        <v>2829</v>
      </c>
      <c r="P37" s="296"/>
    </row>
    <row r="38" spans="1:16" ht="25.35" customHeight="1" x14ac:dyDescent="0.2">
      <c r="A38" s="281" t="s">
        <v>3154</v>
      </c>
      <c r="B38" s="286">
        <v>42122</v>
      </c>
      <c r="C38" s="289" t="s">
        <v>3155</v>
      </c>
      <c r="D38" s="289" t="s">
        <v>3156</v>
      </c>
      <c r="E38" s="291" t="s">
        <v>2971</v>
      </c>
      <c r="F38" s="291" t="s">
        <v>2833</v>
      </c>
      <c r="G38" s="47" t="s">
        <v>2846</v>
      </c>
      <c r="H38" s="291" t="s">
        <v>237</v>
      </c>
      <c r="I38" s="291" t="s">
        <v>229</v>
      </c>
      <c r="J38" s="286">
        <v>42185</v>
      </c>
      <c r="K38" s="291" t="s">
        <v>2853</v>
      </c>
      <c r="L38" s="291" t="s">
        <v>2088</v>
      </c>
      <c r="M38" s="286">
        <v>42147</v>
      </c>
      <c r="N38" s="291" t="s">
        <v>3061</v>
      </c>
      <c r="O38" s="291" t="s">
        <v>2829</v>
      </c>
      <c r="P38" s="296"/>
    </row>
    <row r="39" spans="1:16" ht="25.35" customHeight="1" x14ac:dyDescent="0.2">
      <c r="A39" s="281" t="s">
        <v>3157</v>
      </c>
      <c r="B39" s="286">
        <v>42128</v>
      </c>
      <c r="C39" s="289" t="s">
        <v>3158</v>
      </c>
      <c r="D39" s="289" t="s">
        <v>3159</v>
      </c>
      <c r="E39" s="291" t="s">
        <v>2879</v>
      </c>
      <c r="F39" s="291" t="s">
        <v>2833</v>
      </c>
      <c r="G39" s="47" t="s">
        <v>2852</v>
      </c>
      <c r="H39" s="291" t="s">
        <v>2106</v>
      </c>
      <c r="I39" s="291" t="s">
        <v>3119</v>
      </c>
      <c r="J39" s="286">
        <v>42159</v>
      </c>
      <c r="K39" s="291" t="s">
        <v>2853</v>
      </c>
      <c r="L39" s="291" t="s">
        <v>2088</v>
      </c>
      <c r="M39" s="286">
        <v>42128</v>
      </c>
      <c r="N39" s="291" t="s">
        <v>3061</v>
      </c>
      <c r="O39" s="291" t="s">
        <v>2829</v>
      </c>
      <c r="P39" s="296"/>
    </row>
    <row r="40" spans="1:16" ht="25.35" customHeight="1" x14ac:dyDescent="0.2">
      <c r="A40" s="281" t="s">
        <v>3161</v>
      </c>
      <c r="B40" s="286">
        <v>42130</v>
      </c>
      <c r="C40" s="289" t="s">
        <v>3162</v>
      </c>
      <c r="D40" s="289" t="s">
        <v>3070</v>
      </c>
      <c r="E40" s="291" t="s">
        <v>2971</v>
      </c>
      <c r="F40" s="291" t="s">
        <v>2833</v>
      </c>
      <c r="G40" s="47" t="s">
        <v>2846</v>
      </c>
      <c r="H40" s="291" t="s">
        <v>229</v>
      </c>
      <c r="I40" s="291" t="s">
        <v>229</v>
      </c>
      <c r="J40" s="286">
        <v>42247</v>
      </c>
      <c r="K40" s="299" t="s">
        <v>2853</v>
      </c>
      <c r="L40" s="291" t="s">
        <v>3022</v>
      </c>
      <c r="M40" s="286">
        <v>43052</v>
      </c>
      <c r="N40" s="291" t="s">
        <v>3022</v>
      </c>
      <c r="O40" s="291" t="s">
        <v>2839</v>
      </c>
      <c r="P40" s="296"/>
    </row>
    <row r="41" spans="1:16" ht="25.35" customHeight="1" x14ac:dyDescent="0.2">
      <c r="A41" s="281" t="s">
        <v>3163</v>
      </c>
      <c r="B41" s="286">
        <v>42132</v>
      </c>
      <c r="C41" s="289" t="s">
        <v>3164</v>
      </c>
      <c r="D41" s="289" t="s">
        <v>3165</v>
      </c>
      <c r="E41" s="291" t="s">
        <v>3166</v>
      </c>
      <c r="F41" s="291" t="s">
        <v>2833</v>
      </c>
      <c r="G41" s="47" t="s">
        <v>2852</v>
      </c>
      <c r="H41" s="291" t="s">
        <v>3167</v>
      </c>
      <c r="I41" s="291" t="s">
        <v>229</v>
      </c>
      <c r="J41" s="286">
        <v>42153</v>
      </c>
      <c r="K41" s="291" t="s">
        <v>2853</v>
      </c>
      <c r="L41" s="291" t="s">
        <v>2088</v>
      </c>
      <c r="M41" s="286">
        <v>42153</v>
      </c>
      <c r="N41" s="291" t="s">
        <v>3061</v>
      </c>
      <c r="O41" s="291" t="s">
        <v>2829</v>
      </c>
      <c r="P41" s="296"/>
    </row>
    <row r="42" spans="1:16" ht="25.35" customHeight="1" x14ac:dyDescent="0.2">
      <c r="A42" s="281" t="s">
        <v>3169</v>
      </c>
      <c r="B42" s="286">
        <v>42136</v>
      </c>
      <c r="C42" s="289" t="s">
        <v>3170</v>
      </c>
      <c r="D42" s="289" t="s">
        <v>3070</v>
      </c>
      <c r="E42" s="291" t="s">
        <v>2971</v>
      </c>
      <c r="F42" s="291" t="s">
        <v>2833</v>
      </c>
      <c r="G42" s="47" t="s">
        <v>2846</v>
      </c>
      <c r="H42" s="291" t="s">
        <v>999</v>
      </c>
      <c r="I42" s="291" t="s">
        <v>229</v>
      </c>
      <c r="J42" s="286">
        <v>42216</v>
      </c>
      <c r="K42" s="291" t="s">
        <v>2853</v>
      </c>
      <c r="L42" s="291" t="s">
        <v>2088</v>
      </c>
      <c r="M42" s="286">
        <v>42193</v>
      </c>
      <c r="N42" s="291" t="s">
        <v>3061</v>
      </c>
      <c r="O42" s="291" t="s">
        <v>2832</v>
      </c>
      <c r="P42" s="296"/>
    </row>
    <row r="43" spans="1:16" ht="25.35" customHeight="1" x14ac:dyDescent="0.2">
      <c r="A43" s="281" t="s">
        <v>3171</v>
      </c>
      <c r="B43" s="286">
        <v>42136</v>
      </c>
      <c r="C43" s="289" t="s">
        <v>3174</v>
      </c>
      <c r="D43" s="289" t="s">
        <v>3176</v>
      </c>
      <c r="E43" s="291" t="s">
        <v>2971</v>
      </c>
      <c r="F43" s="291" t="s">
        <v>2833</v>
      </c>
      <c r="G43" s="47" t="s">
        <v>2846</v>
      </c>
      <c r="H43" s="291" t="s">
        <v>999</v>
      </c>
      <c r="I43" s="291" t="s">
        <v>229</v>
      </c>
      <c r="J43" s="286">
        <v>42185</v>
      </c>
      <c r="K43" s="291" t="s">
        <v>2853</v>
      </c>
      <c r="L43" s="291" t="s">
        <v>3022</v>
      </c>
      <c r="M43" s="286">
        <v>42202</v>
      </c>
      <c r="N43" s="291" t="s">
        <v>3022</v>
      </c>
      <c r="O43" s="291" t="s">
        <v>2832</v>
      </c>
      <c r="P43" s="296"/>
    </row>
    <row r="44" spans="1:16" ht="25.35" customHeight="1" x14ac:dyDescent="0.2">
      <c r="A44" s="281" t="s">
        <v>3172</v>
      </c>
      <c r="B44" s="286">
        <v>42136</v>
      </c>
      <c r="C44" s="289" t="s">
        <v>3175</v>
      </c>
      <c r="D44" s="289" t="s">
        <v>3177</v>
      </c>
      <c r="E44" s="291" t="s">
        <v>2971</v>
      </c>
      <c r="F44" s="291" t="s">
        <v>2833</v>
      </c>
      <c r="G44" s="47" t="s">
        <v>2846</v>
      </c>
      <c r="H44" s="291" t="s">
        <v>999</v>
      </c>
      <c r="I44" s="291" t="s">
        <v>229</v>
      </c>
      <c r="J44" s="286">
        <v>42185</v>
      </c>
      <c r="K44" s="291" t="s">
        <v>2853</v>
      </c>
      <c r="L44" s="291" t="s">
        <v>2088</v>
      </c>
      <c r="M44" s="286">
        <v>42180</v>
      </c>
      <c r="N44" s="291" t="s">
        <v>3061</v>
      </c>
      <c r="O44" s="291" t="s">
        <v>2832</v>
      </c>
      <c r="P44" s="296"/>
    </row>
    <row r="45" spans="1:16" ht="25.35" customHeight="1" x14ac:dyDescent="0.2">
      <c r="A45" s="281" t="s">
        <v>3173</v>
      </c>
      <c r="B45" s="286">
        <v>42136</v>
      </c>
      <c r="C45" s="289" t="s">
        <v>3178</v>
      </c>
      <c r="D45" s="289" t="s">
        <v>3179</v>
      </c>
      <c r="E45" s="291" t="s">
        <v>2971</v>
      </c>
      <c r="F45" s="291" t="s">
        <v>2833</v>
      </c>
      <c r="G45" s="47" t="s">
        <v>2846</v>
      </c>
      <c r="H45" s="291" t="s">
        <v>999</v>
      </c>
      <c r="I45" s="291" t="s">
        <v>229</v>
      </c>
      <c r="J45" s="286">
        <v>42185</v>
      </c>
      <c r="K45" s="291" t="s">
        <v>2853</v>
      </c>
      <c r="L45" s="291" t="s">
        <v>3022</v>
      </c>
      <c r="M45" s="286">
        <v>42212</v>
      </c>
      <c r="N45" s="291" t="s">
        <v>3022</v>
      </c>
      <c r="O45" s="291" t="s">
        <v>2832</v>
      </c>
      <c r="P45" s="296"/>
    </row>
    <row r="46" spans="1:16" ht="25.35" customHeight="1" x14ac:dyDescent="0.2">
      <c r="A46" s="281" t="s">
        <v>3180</v>
      </c>
      <c r="B46" s="286">
        <v>42139</v>
      </c>
      <c r="C46" s="289" t="s">
        <v>3181</v>
      </c>
      <c r="D46" s="289" t="s">
        <v>3182</v>
      </c>
      <c r="E46" s="291" t="s">
        <v>2971</v>
      </c>
      <c r="F46" s="291" t="s">
        <v>2833</v>
      </c>
      <c r="G46" s="47" t="s">
        <v>2972</v>
      </c>
      <c r="H46" s="291" t="s">
        <v>441</v>
      </c>
      <c r="I46" s="291" t="s">
        <v>229</v>
      </c>
      <c r="J46" s="286">
        <v>42146</v>
      </c>
      <c r="K46" s="291" t="s">
        <v>2853</v>
      </c>
      <c r="L46" s="291" t="s">
        <v>2088</v>
      </c>
      <c r="M46" s="286">
        <v>42153</v>
      </c>
      <c r="N46" s="291" t="s">
        <v>3022</v>
      </c>
      <c r="O46" s="291" t="s">
        <v>2829</v>
      </c>
      <c r="P46" s="296"/>
    </row>
    <row r="47" spans="1:16" ht="25.35" customHeight="1" x14ac:dyDescent="0.2">
      <c r="A47" s="281" t="s">
        <v>3183</v>
      </c>
      <c r="B47" s="286">
        <v>42144</v>
      </c>
      <c r="C47" s="289" t="s">
        <v>3184</v>
      </c>
      <c r="D47" s="289" t="s">
        <v>3185</v>
      </c>
      <c r="E47" s="291" t="s">
        <v>2971</v>
      </c>
      <c r="F47" s="291" t="s">
        <v>2830</v>
      </c>
      <c r="G47" s="47" t="s">
        <v>2972</v>
      </c>
      <c r="H47" s="291" t="s">
        <v>481</v>
      </c>
      <c r="I47" s="291" t="s">
        <v>441</v>
      </c>
      <c r="J47" s="286">
        <v>42216</v>
      </c>
      <c r="K47" s="299" t="s">
        <v>2853</v>
      </c>
      <c r="L47" s="291" t="s">
        <v>2088</v>
      </c>
      <c r="M47" s="286">
        <v>42192</v>
      </c>
      <c r="N47" s="291" t="s">
        <v>3061</v>
      </c>
      <c r="O47" s="291" t="s">
        <v>2832</v>
      </c>
      <c r="P47" s="296"/>
    </row>
    <row r="48" spans="1:16" ht="25.35" customHeight="1" x14ac:dyDescent="0.2">
      <c r="A48" s="281" t="s">
        <v>3186</v>
      </c>
      <c r="B48" s="286">
        <v>42146</v>
      </c>
      <c r="C48" s="289" t="s">
        <v>3190</v>
      </c>
      <c r="D48" s="289" t="s">
        <v>3187</v>
      </c>
      <c r="E48" s="291" t="s">
        <v>2971</v>
      </c>
      <c r="F48" s="291" t="s">
        <v>2833</v>
      </c>
      <c r="G48" s="47" t="s">
        <v>2846</v>
      </c>
      <c r="H48" s="291" t="s">
        <v>3167</v>
      </c>
      <c r="I48" s="291" t="s">
        <v>229</v>
      </c>
      <c r="J48" s="286">
        <v>42185</v>
      </c>
      <c r="K48" s="291" t="s">
        <v>2853</v>
      </c>
      <c r="L48" s="291" t="s">
        <v>3022</v>
      </c>
      <c r="M48" s="286">
        <v>42216</v>
      </c>
      <c r="N48" s="291" t="s">
        <v>3022</v>
      </c>
      <c r="O48" s="302" t="s">
        <v>2832</v>
      </c>
      <c r="P48" s="296"/>
    </row>
    <row r="49" spans="1:16" ht="25.35" customHeight="1" x14ac:dyDescent="0.2">
      <c r="A49" s="281" t="s">
        <v>3188</v>
      </c>
      <c r="B49" s="286">
        <v>42164</v>
      </c>
      <c r="C49" s="289" t="s">
        <v>3189</v>
      </c>
      <c r="D49" s="289" t="s">
        <v>3177</v>
      </c>
      <c r="E49" s="291" t="s">
        <v>2971</v>
      </c>
      <c r="F49" s="291" t="s">
        <v>2833</v>
      </c>
      <c r="G49" s="47" t="s">
        <v>2846</v>
      </c>
      <c r="H49" s="291" t="s">
        <v>3191</v>
      </c>
      <c r="I49" s="291" t="s">
        <v>229</v>
      </c>
      <c r="J49" s="286">
        <v>42185</v>
      </c>
      <c r="K49" s="291" t="s">
        <v>2853</v>
      </c>
      <c r="L49" s="291" t="s">
        <v>3022</v>
      </c>
      <c r="M49" s="286">
        <v>42233</v>
      </c>
      <c r="N49" s="291" t="s">
        <v>3022</v>
      </c>
      <c r="O49" s="291" t="s">
        <v>2832</v>
      </c>
      <c r="P49" s="296"/>
    </row>
    <row r="50" spans="1:16" ht="25.35" customHeight="1" x14ac:dyDescent="0.2">
      <c r="A50" s="281" t="s">
        <v>3192</v>
      </c>
      <c r="B50" s="286">
        <v>42165</v>
      </c>
      <c r="C50" s="289" t="s">
        <v>3193</v>
      </c>
      <c r="D50" s="289" t="s">
        <v>3177</v>
      </c>
      <c r="E50" s="291" t="s">
        <v>2971</v>
      </c>
      <c r="F50" s="291" t="s">
        <v>2833</v>
      </c>
      <c r="G50" s="47" t="s">
        <v>2846</v>
      </c>
      <c r="H50" s="291" t="s">
        <v>229</v>
      </c>
      <c r="I50" s="291" t="s">
        <v>229</v>
      </c>
      <c r="J50" s="286">
        <v>42185</v>
      </c>
      <c r="K50" s="291" t="s">
        <v>2853</v>
      </c>
      <c r="L50" s="291" t="s">
        <v>2088</v>
      </c>
      <c r="M50" s="286">
        <v>42184</v>
      </c>
      <c r="N50" s="291" t="s">
        <v>3061</v>
      </c>
      <c r="O50" s="291" t="s">
        <v>2829</v>
      </c>
      <c r="P50" s="296"/>
    </row>
    <row r="51" spans="1:16" ht="25.35" customHeight="1" x14ac:dyDescent="0.2">
      <c r="A51" s="281" t="s">
        <v>3194</v>
      </c>
      <c r="B51" s="286">
        <v>42165</v>
      </c>
      <c r="C51" s="289" t="s">
        <v>3195</v>
      </c>
      <c r="D51" s="289" t="s">
        <v>3177</v>
      </c>
      <c r="E51" s="291" t="s">
        <v>2971</v>
      </c>
      <c r="F51" s="291" t="s">
        <v>2833</v>
      </c>
      <c r="G51" s="47" t="s">
        <v>2846</v>
      </c>
      <c r="H51" s="291" t="s">
        <v>237</v>
      </c>
      <c r="I51" s="291" t="s">
        <v>229</v>
      </c>
      <c r="J51" s="286">
        <v>42185</v>
      </c>
      <c r="K51" s="291" t="s">
        <v>2853</v>
      </c>
      <c r="L51" s="291" t="s">
        <v>3022</v>
      </c>
      <c r="M51" s="286">
        <v>42278</v>
      </c>
      <c r="N51" s="291" t="s">
        <v>3022</v>
      </c>
      <c r="O51" s="291" t="s">
        <v>2835</v>
      </c>
      <c r="P51" s="296"/>
    </row>
    <row r="52" spans="1:16" ht="25.35" customHeight="1" x14ac:dyDescent="0.2">
      <c r="A52" s="281" t="s">
        <v>3196</v>
      </c>
      <c r="B52" s="286">
        <v>42165</v>
      </c>
      <c r="C52" s="289" t="s">
        <v>3197</v>
      </c>
      <c r="D52" s="289" t="s">
        <v>3177</v>
      </c>
      <c r="E52" s="291" t="s">
        <v>2971</v>
      </c>
      <c r="F52" s="291" t="s">
        <v>2833</v>
      </c>
      <c r="G52" s="47" t="s">
        <v>2846</v>
      </c>
      <c r="H52" s="291" t="s">
        <v>229</v>
      </c>
      <c r="I52" s="291" t="s">
        <v>229</v>
      </c>
      <c r="J52" s="286">
        <v>42185</v>
      </c>
      <c r="K52" s="291" t="s">
        <v>2853</v>
      </c>
      <c r="L52" s="291" t="s">
        <v>3022</v>
      </c>
      <c r="M52" s="286">
        <v>42233</v>
      </c>
      <c r="N52" s="291" t="s">
        <v>3022</v>
      </c>
      <c r="O52" s="291" t="s">
        <v>2832</v>
      </c>
      <c r="P52" s="296"/>
    </row>
    <row r="53" spans="1:16" ht="25.35" customHeight="1" x14ac:dyDescent="0.2">
      <c r="A53" s="281" t="s">
        <v>3198</v>
      </c>
      <c r="B53" s="286">
        <v>42173</v>
      </c>
      <c r="C53" s="289" t="s">
        <v>3199</v>
      </c>
      <c r="D53" s="289" t="s">
        <v>3200</v>
      </c>
      <c r="E53" s="291" t="s">
        <v>2971</v>
      </c>
      <c r="F53" s="291" t="s">
        <v>2833</v>
      </c>
      <c r="G53" s="47" t="s">
        <v>2880</v>
      </c>
      <c r="H53" s="291" t="s">
        <v>516</v>
      </c>
      <c r="I53" s="291" t="s">
        <v>229</v>
      </c>
      <c r="J53" s="286">
        <v>42185</v>
      </c>
      <c r="K53" s="299" t="s">
        <v>2853</v>
      </c>
      <c r="L53" s="291" t="s">
        <v>3022</v>
      </c>
      <c r="M53" s="286">
        <v>42185</v>
      </c>
      <c r="N53" s="291" t="s">
        <v>3061</v>
      </c>
      <c r="O53" s="291" t="s">
        <v>2829</v>
      </c>
      <c r="P53" s="296"/>
    </row>
    <row r="54" spans="1:16" ht="25.35" customHeight="1" x14ac:dyDescent="0.2">
      <c r="A54" s="281" t="s">
        <v>3201</v>
      </c>
      <c r="B54" s="286">
        <v>42179</v>
      </c>
      <c r="C54" s="289" t="s">
        <v>3202</v>
      </c>
      <c r="D54" s="289" t="s">
        <v>3203</v>
      </c>
      <c r="E54" s="291" t="s">
        <v>2879</v>
      </c>
      <c r="F54" s="291" t="s">
        <v>2833</v>
      </c>
      <c r="G54" s="47" t="s">
        <v>2852</v>
      </c>
      <c r="H54" s="291" t="s">
        <v>2428</v>
      </c>
      <c r="I54" s="291" t="s">
        <v>229</v>
      </c>
      <c r="J54" s="286">
        <v>42209</v>
      </c>
      <c r="K54" s="291" t="s">
        <v>2853</v>
      </c>
      <c r="L54" s="291" t="s">
        <v>2088</v>
      </c>
      <c r="M54" s="286">
        <v>42191</v>
      </c>
      <c r="N54" s="291" t="s">
        <v>3061</v>
      </c>
      <c r="O54" s="291" t="s">
        <v>2829</v>
      </c>
      <c r="P54" s="296"/>
    </row>
    <row r="55" spans="1:16" ht="25.35" customHeight="1" x14ac:dyDescent="0.2">
      <c r="A55" s="281" t="s">
        <v>3204</v>
      </c>
      <c r="B55" s="286">
        <v>42192</v>
      </c>
      <c r="C55" s="289" t="s">
        <v>3205</v>
      </c>
      <c r="D55" s="289" t="s">
        <v>3206</v>
      </c>
      <c r="E55" s="291" t="s">
        <v>2971</v>
      </c>
      <c r="F55" s="291" t="s">
        <v>2833</v>
      </c>
      <c r="G55" s="47" t="s">
        <v>2972</v>
      </c>
      <c r="H55" s="291" t="s">
        <v>481</v>
      </c>
      <c r="I55" s="291" t="s">
        <v>229</v>
      </c>
      <c r="J55" s="286">
        <v>42247</v>
      </c>
      <c r="K55" s="299" t="s">
        <v>2853</v>
      </c>
      <c r="L55" s="291" t="s">
        <v>2088</v>
      </c>
      <c r="M55" s="286">
        <v>43053</v>
      </c>
      <c r="N55" s="291" t="s">
        <v>3022</v>
      </c>
      <c r="O55" s="291" t="s">
        <v>2839</v>
      </c>
      <c r="P55" s="296"/>
    </row>
    <row r="56" spans="1:16" ht="25.35" customHeight="1" x14ac:dyDescent="0.2">
      <c r="A56" s="281" t="s">
        <v>3207</v>
      </c>
      <c r="B56" s="286">
        <v>42195</v>
      </c>
      <c r="C56" s="289" t="s">
        <v>3208</v>
      </c>
      <c r="D56" s="289" t="s">
        <v>3209</v>
      </c>
      <c r="E56" s="291" t="s">
        <v>3210</v>
      </c>
      <c r="F56" s="291" t="s">
        <v>2833</v>
      </c>
      <c r="G56" s="47" t="s">
        <v>2852</v>
      </c>
      <c r="H56" s="291" t="s">
        <v>2282</v>
      </c>
      <c r="I56" s="291" t="s">
        <v>3211</v>
      </c>
      <c r="J56" s="286">
        <v>42195</v>
      </c>
      <c r="K56" s="291" t="s">
        <v>2853</v>
      </c>
      <c r="L56" s="291" t="s">
        <v>2088</v>
      </c>
      <c r="M56" s="286">
        <v>42207</v>
      </c>
      <c r="N56" s="291" t="s">
        <v>3022</v>
      </c>
      <c r="O56" s="291" t="s">
        <v>2829</v>
      </c>
      <c r="P56" s="296"/>
    </row>
    <row r="57" spans="1:16" ht="25.35" customHeight="1" x14ac:dyDescent="0.2">
      <c r="A57" s="281" t="s">
        <v>3212</v>
      </c>
      <c r="B57" s="286">
        <v>42205</v>
      </c>
      <c r="C57" s="289" t="s">
        <v>3213</v>
      </c>
      <c r="D57" s="289" t="s">
        <v>3214</v>
      </c>
      <c r="E57" s="291" t="s">
        <v>2879</v>
      </c>
      <c r="F57" s="291" t="s">
        <v>3220</v>
      </c>
      <c r="G57" s="47" t="s">
        <v>2852</v>
      </c>
      <c r="H57" s="291" t="s">
        <v>3215</v>
      </c>
      <c r="I57" s="291" t="s">
        <v>3211</v>
      </c>
      <c r="J57" s="286">
        <v>42236</v>
      </c>
      <c r="K57" s="291" t="s">
        <v>2853</v>
      </c>
      <c r="L57" s="291" t="s">
        <v>2088</v>
      </c>
      <c r="M57" s="286">
        <v>42223</v>
      </c>
      <c r="N57" s="291" t="s">
        <v>3061</v>
      </c>
      <c r="O57" s="291" t="s">
        <v>2829</v>
      </c>
      <c r="P57" s="296"/>
    </row>
    <row r="58" spans="1:16" ht="38.25" x14ac:dyDescent="0.2">
      <c r="A58" s="281" t="s">
        <v>3216</v>
      </c>
      <c r="B58" s="286">
        <v>42206</v>
      </c>
      <c r="C58" s="289" t="s">
        <v>3223</v>
      </c>
      <c r="D58" s="289" t="s">
        <v>3224</v>
      </c>
      <c r="E58" s="291" t="s">
        <v>2971</v>
      </c>
      <c r="F58" s="291" t="s">
        <v>3220</v>
      </c>
      <c r="G58" s="47" t="s">
        <v>2922</v>
      </c>
      <c r="H58" s="291" t="s">
        <v>441</v>
      </c>
      <c r="I58" s="291" t="s">
        <v>3144</v>
      </c>
      <c r="J58" s="286">
        <v>42216</v>
      </c>
      <c r="K58" s="291" t="s">
        <v>2853</v>
      </c>
      <c r="L58" s="291" t="s">
        <v>2088</v>
      </c>
      <c r="M58" s="286">
        <v>42215</v>
      </c>
      <c r="N58" s="291" t="s">
        <v>3061</v>
      </c>
      <c r="O58" s="291" t="s">
        <v>2829</v>
      </c>
      <c r="P58" s="296"/>
    </row>
    <row r="59" spans="1:16" ht="25.35" customHeight="1" x14ac:dyDescent="0.2">
      <c r="A59" s="281" t="s">
        <v>3217</v>
      </c>
      <c r="B59" s="286">
        <v>42206</v>
      </c>
      <c r="C59" s="289" t="s">
        <v>3218</v>
      </c>
      <c r="D59" s="289" t="s">
        <v>3219</v>
      </c>
      <c r="E59" s="291" t="s">
        <v>2971</v>
      </c>
      <c r="F59" s="291" t="s">
        <v>3220</v>
      </c>
      <c r="G59" s="47" t="s">
        <v>2880</v>
      </c>
      <c r="H59" s="291" t="s">
        <v>516</v>
      </c>
      <c r="I59" s="291" t="s">
        <v>441</v>
      </c>
      <c r="J59" s="286">
        <v>42247</v>
      </c>
      <c r="K59" s="291" t="s">
        <v>2853</v>
      </c>
      <c r="L59" s="291" t="s">
        <v>2088</v>
      </c>
      <c r="M59" s="286">
        <v>42222</v>
      </c>
      <c r="N59" s="291" t="s">
        <v>3061</v>
      </c>
      <c r="O59" s="291" t="s">
        <v>2829</v>
      </c>
      <c r="P59" s="296"/>
    </row>
    <row r="60" spans="1:16" ht="25.35" customHeight="1" x14ac:dyDescent="0.2">
      <c r="A60" s="281" t="s">
        <v>3221</v>
      </c>
      <c r="B60" s="286">
        <v>42207</v>
      </c>
      <c r="C60" s="289" t="s">
        <v>3222</v>
      </c>
      <c r="D60" s="289" t="s">
        <v>3225</v>
      </c>
      <c r="E60" s="291" t="s">
        <v>2971</v>
      </c>
      <c r="F60" s="291" t="s">
        <v>3220</v>
      </c>
      <c r="G60" s="47" t="s">
        <v>2846</v>
      </c>
      <c r="H60" s="291" t="s">
        <v>3227</v>
      </c>
      <c r="I60" s="291" t="s">
        <v>229</v>
      </c>
      <c r="J60" s="286">
        <v>42308</v>
      </c>
      <c r="K60" s="299" t="s">
        <v>2853</v>
      </c>
      <c r="L60" s="291" t="s">
        <v>2088</v>
      </c>
      <c r="M60" s="286">
        <v>42503</v>
      </c>
      <c r="N60" s="291" t="s">
        <v>3022</v>
      </c>
      <c r="O60" s="291" t="s">
        <v>2837</v>
      </c>
      <c r="P60" s="296"/>
    </row>
    <row r="61" spans="1:16" ht="25.35" customHeight="1" x14ac:dyDescent="0.2">
      <c r="A61" s="281" t="s">
        <v>3228</v>
      </c>
      <c r="B61" s="286">
        <v>42207</v>
      </c>
      <c r="C61" s="289" t="s">
        <v>3229</v>
      </c>
      <c r="D61" s="289" t="s">
        <v>3225</v>
      </c>
      <c r="E61" s="291" t="s">
        <v>2971</v>
      </c>
      <c r="F61" s="291" t="s">
        <v>3220</v>
      </c>
      <c r="G61" s="47" t="s">
        <v>2846</v>
      </c>
      <c r="H61" s="291" t="s">
        <v>1339</v>
      </c>
      <c r="I61" s="291" t="s">
        <v>229</v>
      </c>
      <c r="J61" s="286">
        <v>42369</v>
      </c>
      <c r="K61" s="291" t="s">
        <v>2853</v>
      </c>
      <c r="L61" s="291" t="s">
        <v>3022</v>
      </c>
      <c r="M61" s="286">
        <v>42458</v>
      </c>
      <c r="N61" s="291" t="s">
        <v>3022</v>
      </c>
      <c r="O61" s="291" t="s">
        <v>2837</v>
      </c>
      <c r="P61" s="296"/>
    </row>
    <row r="62" spans="1:16" ht="25.35" customHeight="1" x14ac:dyDescent="0.2">
      <c r="A62" s="281" t="s">
        <v>3230</v>
      </c>
      <c r="B62" s="286">
        <v>42207</v>
      </c>
      <c r="C62" s="289" t="s">
        <v>3231</v>
      </c>
      <c r="D62" s="289" t="s">
        <v>3232</v>
      </c>
      <c r="E62" s="291" t="s">
        <v>2971</v>
      </c>
      <c r="F62" s="291" t="s">
        <v>3220</v>
      </c>
      <c r="G62" s="47" t="s">
        <v>2846</v>
      </c>
      <c r="H62" s="291" t="s">
        <v>237</v>
      </c>
      <c r="I62" s="291" t="s">
        <v>229</v>
      </c>
      <c r="J62" s="286">
        <v>42247</v>
      </c>
      <c r="K62" s="291" t="s">
        <v>2853</v>
      </c>
      <c r="L62" s="291" t="s">
        <v>3022</v>
      </c>
      <c r="M62" s="286">
        <v>42328</v>
      </c>
      <c r="N62" s="291" t="s">
        <v>3022</v>
      </c>
      <c r="O62" s="291" t="s">
        <v>2835</v>
      </c>
      <c r="P62" s="296"/>
    </row>
    <row r="63" spans="1:16" ht="25.35" customHeight="1" x14ac:dyDescent="0.2">
      <c r="A63" s="281" t="s">
        <v>3233</v>
      </c>
      <c r="B63" s="286">
        <v>42207</v>
      </c>
      <c r="C63" s="289" t="s">
        <v>3234</v>
      </c>
      <c r="D63" s="289" t="s">
        <v>3225</v>
      </c>
      <c r="E63" s="291" t="s">
        <v>2971</v>
      </c>
      <c r="F63" s="291" t="s">
        <v>3220</v>
      </c>
      <c r="G63" s="47" t="s">
        <v>2846</v>
      </c>
      <c r="H63" s="291" t="s">
        <v>2106</v>
      </c>
      <c r="I63" s="291" t="s">
        <v>229</v>
      </c>
      <c r="J63" s="286">
        <v>42308</v>
      </c>
      <c r="K63" s="291" t="s">
        <v>2853</v>
      </c>
      <c r="L63" s="291" t="s">
        <v>3022</v>
      </c>
      <c r="M63" s="286">
        <v>42321</v>
      </c>
      <c r="N63" s="291" t="s">
        <v>3022</v>
      </c>
      <c r="O63" s="291" t="s">
        <v>2835</v>
      </c>
      <c r="P63" s="296"/>
    </row>
    <row r="64" spans="1:16" ht="25.35" customHeight="1" x14ac:dyDescent="0.2">
      <c r="A64" s="281" t="s">
        <v>3235</v>
      </c>
      <c r="B64" s="286">
        <v>42207</v>
      </c>
      <c r="C64" s="289" t="s">
        <v>3236</v>
      </c>
      <c r="D64" s="289" t="s">
        <v>3237</v>
      </c>
      <c r="E64" s="291" t="s">
        <v>2971</v>
      </c>
      <c r="F64" s="291" t="s">
        <v>3220</v>
      </c>
      <c r="G64" s="47" t="s">
        <v>2846</v>
      </c>
      <c r="H64" s="291" t="s">
        <v>727</v>
      </c>
      <c r="I64" s="291" t="s">
        <v>229</v>
      </c>
      <c r="J64" s="286">
        <v>42247</v>
      </c>
      <c r="K64" s="291" t="s">
        <v>2853</v>
      </c>
      <c r="L64" s="291" t="s">
        <v>3022</v>
      </c>
      <c r="M64" s="286">
        <v>42320</v>
      </c>
      <c r="N64" s="291" t="s">
        <v>3022</v>
      </c>
      <c r="O64" s="291" t="s">
        <v>2835</v>
      </c>
      <c r="P64" s="296"/>
    </row>
    <row r="65" spans="1:16" ht="25.35" customHeight="1" x14ac:dyDescent="0.2">
      <c r="A65" s="281" t="s">
        <v>3238</v>
      </c>
      <c r="B65" s="286">
        <v>42207</v>
      </c>
      <c r="C65" s="289" t="s">
        <v>3239</v>
      </c>
      <c r="D65" s="289" t="s">
        <v>3225</v>
      </c>
      <c r="E65" s="291" t="s">
        <v>2971</v>
      </c>
      <c r="F65" s="291" t="s">
        <v>3220</v>
      </c>
      <c r="G65" s="47" t="s">
        <v>2846</v>
      </c>
      <c r="H65" s="291" t="s">
        <v>486</v>
      </c>
      <c r="I65" s="291" t="s">
        <v>229</v>
      </c>
      <c r="J65" s="286">
        <v>42247</v>
      </c>
      <c r="K65" s="299" t="s">
        <v>2853</v>
      </c>
      <c r="L65" s="291" t="s">
        <v>3022</v>
      </c>
      <c r="M65" s="286">
        <v>42503</v>
      </c>
      <c r="N65" s="291" t="s">
        <v>3022</v>
      </c>
      <c r="O65" s="291" t="s">
        <v>2837</v>
      </c>
      <c r="P65" s="296"/>
    </row>
    <row r="66" spans="1:16" ht="44.85" customHeight="1" x14ac:dyDescent="0.2">
      <c r="A66" s="281" t="s">
        <v>3240</v>
      </c>
      <c r="B66" s="286">
        <v>42216</v>
      </c>
      <c r="C66" s="288" t="s">
        <v>3242</v>
      </c>
      <c r="D66" s="289" t="s">
        <v>3241</v>
      </c>
      <c r="E66" s="291" t="s">
        <v>2971</v>
      </c>
      <c r="F66" s="291" t="s">
        <v>3220</v>
      </c>
      <c r="G66" s="47" t="s">
        <v>2880</v>
      </c>
      <c r="H66" s="291" t="s">
        <v>685</v>
      </c>
      <c r="I66" s="291" t="s">
        <v>441</v>
      </c>
      <c r="J66" s="318">
        <v>42277</v>
      </c>
      <c r="K66" s="299" t="s">
        <v>2853</v>
      </c>
      <c r="L66" s="291" t="s">
        <v>3022</v>
      </c>
      <c r="M66" s="286">
        <v>42277</v>
      </c>
      <c r="N66" s="291" t="s">
        <v>3061</v>
      </c>
      <c r="O66" s="291" t="s">
        <v>2832</v>
      </c>
      <c r="P66" s="296"/>
    </row>
    <row r="67" spans="1:16" ht="44.85" customHeight="1" x14ac:dyDescent="0.2">
      <c r="A67" s="281" t="s">
        <v>3243</v>
      </c>
      <c r="B67" s="286">
        <v>42221</v>
      </c>
      <c r="C67" s="303" t="s">
        <v>3244</v>
      </c>
      <c r="D67" s="289" t="s">
        <v>3245</v>
      </c>
      <c r="E67" s="291" t="s">
        <v>3252</v>
      </c>
      <c r="F67" s="291" t="s">
        <v>3220</v>
      </c>
      <c r="G67" s="47" t="s">
        <v>2852</v>
      </c>
      <c r="H67" s="291" t="s">
        <v>685</v>
      </c>
      <c r="I67" s="291" t="s">
        <v>3211</v>
      </c>
      <c r="J67" s="286">
        <v>42251</v>
      </c>
      <c r="K67" s="291" t="s">
        <v>2853</v>
      </c>
      <c r="L67" s="291" t="s">
        <v>2088</v>
      </c>
      <c r="M67" s="286">
        <v>42220</v>
      </c>
      <c r="N67" s="291" t="s">
        <v>3061</v>
      </c>
      <c r="O67" s="291" t="s">
        <v>2829</v>
      </c>
      <c r="P67" s="296"/>
    </row>
    <row r="68" spans="1:16" ht="44.85" customHeight="1" x14ac:dyDescent="0.2">
      <c r="A68" s="281" t="s">
        <v>3246</v>
      </c>
      <c r="B68" s="286">
        <v>42221</v>
      </c>
      <c r="C68" s="303" t="s">
        <v>3250</v>
      </c>
      <c r="D68" s="289" t="s">
        <v>3251</v>
      </c>
      <c r="E68" s="291" t="s">
        <v>2879</v>
      </c>
      <c r="F68" s="291" t="s">
        <v>3220</v>
      </c>
      <c r="G68" s="47" t="s">
        <v>2852</v>
      </c>
      <c r="H68" s="291" t="s">
        <v>685</v>
      </c>
      <c r="I68" s="291" t="s">
        <v>3211</v>
      </c>
      <c r="J68" s="286">
        <v>42251</v>
      </c>
      <c r="K68" s="291" t="s">
        <v>2853</v>
      </c>
      <c r="L68" s="291" t="s">
        <v>2088</v>
      </c>
      <c r="M68" s="286">
        <v>42234</v>
      </c>
      <c r="N68" s="291" t="s">
        <v>3061</v>
      </c>
      <c r="O68" s="291" t="s">
        <v>2829</v>
      </c>
      <c r="P68" s="296"/>
    </row>
    <row r="69" spans="1:16" ht="44.85" customHeight="1" x14ac:dyDescent="0.2">
      <c r="A69" s="281" t="s">
        <v>3247</v>
      </c>
      <c r="B69" s="286">
        <v>42221</v>
      </c>
      <c r="C69" s="303" t="s">
        <v>3248</v>
      </c>
      <c r="D69" s="289" t="s">
        <v>3249</v>
      </c>
      <c r="E69" s="291" t="s">
        <v>2971</v>
      </c>
      <c r="F69" s="291" t="s">
        <v>3220</v>
      </c>
      <c r="G69" s="47" t="s">
        <v>2880</v>
      </c>
      <c r="H69" s="291" t="s">
        <v>685</v>
      </c>
      <c r="I69" s="291" t="s">
        <v>441</v>
      </c>
      <c r="J69" s="286">
        <v>42223</v>
      </c>
      <c r="K69" s="291" t="s">
        <v>2853</v>
      </c>
      <c r="L69" s="291" t="s">
        <v>3022</v>
      </c>
      <c r="M69" s="286">
        <v>42298</v>
      </c>
      <c r="N69" s="291" t="s">
        <v>3022</v>
      </c>
      <c r="O69" s="291" t="s">
        <v>2832</v>
      </c>
      <c r="P69" s="304" t="s">
        <v>3364</v>
      </c>
    </row>
    <row r="70" spans="1:16" ht="44.85" customHeight="1" x14ac:dyDescent="0.2">
      <c r="A70" s="281" t="s">
        <v>3253</v>
      </c>
      <c r="B70" s="286">
        <v>42222</v>
      </c>
      <c r="C70" s="303" t="s">
        <v>3254</v>
      </c>
      <c r="D70" s="289" t="s">
        <v>3255</v>
      </c>
      <c r="E70" s="291" t="s">
        <v>2971</v>
      </c>
      <c r="F70" s="291" t="s">
        <v>3220</v>
      </c>
      <c r="G70" s="47" t="s">
        <v>2972</v>
      </c>
      <c r="H70" s="291" t="s">
        <v>2067</v>
      </c>
      <c r="I70" s="291" t="s">
        <v>441</v>
      </c>
      <c r="J70" s="286">
        <v>42277</v>
      </c>
      <c r="K70" s="291" t="s">
        <v>2853</v>
      </c>
      <c r="L70" s="291" t="s">
        <v>2088</v>
      </c>
      <c r="M70" s="286">
        <v>42258</v>
      </c>
      <c r="N70" s="291" t="s">
        <v>3061</v>
      </c>
      <c r="O70" s="291" t="s">
        <v>2832</v>
      </c>
      <c r="P70" s="304"/>
    </row>
    <row r="71" spans="1:16" ht="44.85" customHeight="1" x14ac:dyDescent="0.2">
      <c r="A71" s="281" t="s">
        <v>3278</v>
      </c>
      <c r="B71" s="286">
        <v>42227</v>
      </c>
      <c r="C71" s="303" t="s">
        <v>3256</v>
      </c>
      <c r="D71" s="289" t="s">
        <v>3257</v>
      </c>
      <c r="E71" s="291" t="s">
        <v>3210</v>
      </c>
      <c r="F71" s="291" t="s">
        <v>3220</v>
      </c>
      <c r="G71" s="47" t="s">
        <v>2852</v>
      </c>
      <c r="H71" s="291" t="s">
        <v>3167</v>
      </c>
      <c r="I71" s="291" t="s">
        <v>3211</v>
      </c>
      <c r="J71" s="286">
        <v>42258</v>
      </c>
      <c r="K71" s="299" t="s">
        <v>2853</v>
      </c>
      <c r="L71" s="291" t="s">
        <v>2088</v>
      </c>
      <c r="M71" s="286">
        <v>42509</v>
      </c>
      <c r="N71" s="291" t="s">
        <v>3022</v>
      </c>
      <c r="O71" s="291" t="s">
        <v>2837</v>
      </c>
      <c r="P71" s="304"/>
    </row>
    <row r="72" spans="1:16" ht="44.85" customHeight="1" x14ac:dyDescent="0.2">
      <c r="A72" s="281" t="s">
        <v>3279</v>
      </c>
      <c r="B72" s="286">
        <v>42228</v>
      </c>
      <c r="C72" s="303" t="s">
        <v>3258</v>
      </c>
      <c r="D72" s="289" t="s">
        <v>3251</v>
      </c>
      <c r="E72" s="291" t="s">
        <v>3259</v>
      </c>
      <c r="F72" s="291" t="s">
        <v>3220</v>
      </c>
      <c r="G72" s="47" t="s">
        <v>2852</v>
      </c>
      <c r="H72" s="291" t="s">
        <v>3167</v>
      </c>
      <c r="I72" s="291" t="s">
        <v>3211</v>
      </c>
      <c r="J72" s="286">
        <v>42259</v>
      </c>
      <c r="K72" s="291" t="s">
        <v>2853</v>
      </c>
      <c r="L72" s="291" t="s">
        <v>2088</v>
      </c>
      <c r="M72" s="286">
        <v>42233</v>
      </c>
      <c r="N72" s="291" t="s">
        <v>3061</v>
      </c>
      <c r="O72" s="291" t="s">
        <v>2829</v>
      </c>
      <c r="P72" s="304"/>
    </row>
    <row r="73" spans="1:16" ht="44.85" customHeight="1" x14ac:dyDescent="0.2">
      <c r="A73" s="281" t="s">
        <v>3280</v>
      </c>
      <c r="B73" s="286">
        <v>42234</v>
      </c>
      <c r="C73" s="303" t="s">
        <v>3264</v>
      </c>
      <c r="D73" s="289" t="s">
        <v>3251</v>
      </c>
      <c r="E73" s="291" t="s">
        <v>2879</v>
      </c>
      <c r="F73" s="291" t="s">
        <v>3220</v>
      </c>
      <c r="G73" s="47" t="s">
        <v>2852</v>
      </c>
      <c r="H73" s="291" t="s">
        <v>2106</v>
      </c>
      <c r="I73" s="291" t="s">
        <v>3211</v>
      </c>
      <c r="J73" s="286">
        <v>42260</v>
      </c>
      <c r="K73" s="299" t="s">
        <v>2853</v>
      </c>
      <c r="L73" s="291" t="s">
        <v>2088</v>
      </c>
      <c r="M73" s="286">
        <v>42312</v>
      </c>
      <c r="N73" s="291" t="s">
        <v>3022</v>
      </c>
      <c r="O73" s="291" t="s">
        <v>2832</v>
      </c>
      <c r="P73" s="304"/>
    </row>
    <row r="74" spans="1:16" ht="44.85" customHeight="1" x14ac:dyDescent="0.2">
      <c r="A74" s="281" t="s">
        <v>3281</v>
      </c>
      <c r="B74" s="286">
        <v>42235</v>
      </c>
      <c r="C74" s="289" t="s">
        <v>3260</v>
      </c>
      <c r="D74" s="289" t="s">
        <v>3262</v>
      </c>
      <c r="E74" s="291" t="s">
        <v>2971</v>
      </c>
      <c r="F74" s="291" t="s">
        <v>3220</v>
      </c>
      <c r="G74" s="47" t="s">
        <v>3261</v>
      </c>
      <c r="H74" s="291" t="s">
        <v>3227</v>
      </c>
      <c r="I74" s="291" t="s">
        <v>3211</v>
      </c>
      <c r="J74" s="286">
        <v>42235</v>
      </c>
      <c r="K74" s="291" t="s">
        <v>2853</v>
      </c>
      <c r="L74" s="291" t="s">
        <v>2088</v>
      </c>
      <c r="M74" s="286">
        <v>42262</v>
      </c>
      <c r="N74" s="291" t="s">
        <v>3022</v>
      </c>
      <c r="O74" s="291" t="s">
        <v>2829</v>
      </c>
      <c r="P74" s="304"/>
    </row>
    <row r="75" spans="1:16" ht="44.85" customHeight="1" x14ac:dyDescent="0.2">
      <c r="A75" s="281" t="s">
        <v>3282</v>
      </c>
      <c r="B75" s="286">
        <v>42237</v>
      </c>
      <c r="C75" s="289" t="s">
        <v>3263</v>
      </c>
      <c r="D75" s="289" t="s">
        <v>3177</v>
      </c>
      <c r="E75" s="291" t="s">
        <v>2971</v>
      </c>
      <c r="F75" s="291" t="s">
        <v>3220</v>
      </c>
      <c r="G75" s="47" t="s">
        <v>2846</v>
      </c>
      <c r="H75" s="291" t="s">
        <v>229</v>
      </c>
      <c r="I75" s="291" t="s">
        <v>229</v>
      </c>
      <c r="J75" s="286">
        <v>42277</v>
      </c>
      <c r="K75" s="299" t="s">
        <v>2853</v>
      </c>
      <c r="L75" s="291" t="s">
        <v>3022</v>
      </c>
      <c r="M75" s="286">
        <v>42704</v>
      </c>
      <c r="N75" s="291" t="s">
        <v>3022</v>
      </c>
      <c r="O75" s="291" t="s">
        <v>2839</v>
      </c>
      <c r="P75" s="304"/>
    </row>
    <row r="76" spans="1:16" ht="44.85" customHeight="1" x14ac:dyDescent="0.2">
      <c r="A76" s="281" t="s">
        <v>3277</v>
      </c>
      <c r="B76" s="286">
        <v>42237</v>
      </c>
      <c r="C76" s="289" t="s">
        <v>3265</v>
      </c>
      <c r="D76" s="289" t="s">
        <v>3187</v>
      </c>
      <c r="E76" s="291" t="s">
        <v>2971</v>
      </c>
      <c r="F76" s="291" t="s">
        <v>3220</v>
      </c>
      <c r="G76" s="47" t="s">
        <v>2846</v>
      </c>
      <c r="H76" s="291" t="s">
        <v>229</v>
      </c>
      <c r="I76" s="291" t="s">
        <v>229</v>
      </c>
      <c r="J76" s="286">
        <v>42277</v>
      </c>
      <c r="K76" s="291" t="s">
        <v>2853</v>
      </c>
      <c r="L76" s="291" t="s">
        <v>3022</v>
      </c>
      <c r="M76" s="286">
        <v>42293</v>
      </c>
      <c r="N76" s="291" t="s">
        <v>3022</v>
      </c>
      <c r="O76" s="291" t="s">
        <v>2832</v>
      </c>
      <c r="P76" s="304"/>
    </row>
    <row r="77" spans="1:16" ht="44.85" customHeight="1" x14ac:dyDescent="0.2">
      <c r="A77" s="281" t="s">
        <v>3276</v>
      </c>
      <c r="B77" s="286">
        <v>42237</v>
      </c>
      <c r="C77" s="289" t="s">
        <v>3266</v>
      </c>
      <c r="D77" s="289" t="s">
        <v>3177</v>
      </c>
      <c r="E77" s="291" t="s">
        <v>2971</v>
      </c>
      <c r="F77" s="291" t="s">
        <v>3220</v>
      </c>
      <c r="G77" s="47" t="s">
        <v>2846</v>
      </c>
      <c r="H77" s="291" t="s">
        <v>229</v>
      </c>
      <c r="I77" s="291" t="s">
        <v>229</v>
      </c>
      <c r="J77" s="286">
        <v>42277</v>
      </c>
      <c r="K77" s="291" t="s">
        <v>2853</v>
      </c>
      <c r="L77" s="291" t="s">
        <v>3022</v>
      </c>
      <c r="M77" s="286">
        <v>42293</v>
      </c>
      <c r="N77" s="291" t="s">
        <v>3022</v>
      </c>
      <c r="O77" s="291" t="s">
        <v>2832</v>
      </c>
      <c r="P77" s="304"/>
    </row>
    <row r="78" spans="1:16" ht="44.85" customHeight="1" x14ac:dyDescent="0.2">
      <c r="A78" s="281" t="s">
        <v>3275</v>
      </c>
      <c r="B78" s="286">
        <v>42237</v>
      </c>
      <c r="C78" s="289" t="s">
        <v>3267</v>
      </c>
      <c r="D78" s="289" t="s">
        <v>3177</v>
      </c>
      <c r="E78" s="291" t="s">
        <v>2971</v>
      </c>
      <c r="F78" s="291" t="s">
        <v>3220</v>
      </c>
      <c r="G78" s="47" t="s">
        <v>2846</v>
      </c>
      <c r="H78" s="291" t="s">
        <v>229</v>
      </c>
      <c r="I78" s="291" t="s">
        <v>229</v>
      </c>
      <c r="J78" s="286">
        <v>42277</v>
      </c>
      <c r="K78" s="299" t="s">
        <v>2853</v>
      </c>
      <c r="L78" s="291" t="s">
        <v>3022</v>
      </c>
      <c r="M78" s="286">
        <v>42478</v>
      </c>
      <c r="N78" s="291" t="s">
        <v>3022</v>
      </c>
      <c r="O78" s="291" t="s">
        <v>2837</v>
      </c>
      <c r="P78" s="304"/>
    </row>
    <row r="79" spans="1:16" ht="44.85" customHeight="1" x14ac:dyDescent="0.2">
      <c r="A79" s="281" t="s">
        <v>3274</v>
      </c>
      <c r="B79" s="286">
        <v>42240</v>
      </c>
      <c r="C79" s="289" t="s">
        <v>3269</v>
      </c>
      <c r="D79" s="289" t="s">
        <v>3251</v>
      </c>
      <c r="E79" s="291" t="s">
        <v>3049</v>
      </c>
      <c r="F79" s="291" t="s">
        <v>3220</v>
      </c>
      <c r="G79" s="47" t="s">
        <v>2846</v>
      </c>
      <c r="H79" s="291" t="s">
        <v>3215</v>
      </c>
      <c r="I79" s="291" t="s">
        <v>3211</v>
      </c>
      <c r="J79" s="286">
        <v>42271</v>
      </c>
      <c r="K79" s="291" t="s">
        <v>2853</v>
      </c>
      <c r="L79" s="291" t="s">
        <v>2088</v>
      </c>
      <c r="M79" s="286">
        <v>42242</v>
      </c>
      <c r="N79" s="291" t="s">
        <v>3061</v>
      </c>
      <c r="O79" s="291" t="s">
        <v>2829</v>
      </c>
      <c r="P79" s="304"/>
    </row>
    <row r="80" spans="1:16" ht="44.85" customHeight="1" x14ac:dyDescent="0.2">
      <c r="A80" s="281" t="s">
        <v>3273</v>
      </c>
      <c r="B80" s="286">
        <v>42241</v>
      </c>
      <c r="C80" s="289" t="s">
        <v>3270</v>
      </c>
      <c r="D80" s="289" t="s">
        <v>3271</v>
      </c>
      <c r="E80" s="291" t="s">
        <v>2971</v>
      </c>
      <c r="F80" s="291" t="s">
        <v>3220</v>
      </c>
      <c r="G80" s="47" t="s">
        <v>2880</v>
      </c>
      <c r="H80" s="291" t="s">
        <v>516</v>
      </c>
      <c r="I80" s="291" t="s">
        <v>229</v>
      </c>
      <c r="J80" s="286">
        <v>42247</v>
      </c>
      <c r="K80" s="291" t="s">
        <v>2853</v>
      </c>
      <c r="L80" s="291" t="s">
        <v>2088</v>
      </c>
      <c r="M80" s="286">
        <v>42241</v>
      </c>
      <c r="N80" s="291" t="s">
        <v>3061</v>
      </c>
      <c r="O80" s="291" t="s">
        <v>2829</v>
      </c>
      <c r="P80" s="304"/>
    </row>
    <row r="81" spans="1:16" ht="44.85" customHeight="1" x14ac:dyDescent="0.2">
      <c r="A81" s="281" t="s">
        <v>3272</v>
      </c>
      <c r="B81" s="286">
        <v>42242</v>
      </c>
      <c r="C81" s="289" t="s">
        <v>3283</v>
      </c>
      <c r="D81" s="289" t="s">
        <v>3284</v>
      </c>
      <c r="E81" s="291" t="s">
        <v>2971</v>
      </c>
      <c r="F81" s="291" t="s">
        <v>3220</v>
      </c>
      <c r="G81" s="47" t="s">
        <v>2852</v>
      </c>
      <c r="H81" s="291" t="s">
        <v>2106</v>
      </c>
      <c r="I81" s="291" t="s">
        <v>229</v>
      </c>
      <c r="J81" s="286">
        <v>42247</v>
      </c>
      <c r="K81" s="291" t="s">
        <v>2853</v>
      </c>
      <c r="L81" s="291" t="s">
        <v>2088</v>
      </c>
      <c r="M81" s="286">
        <v>42244</v>
      </c>
      <c r="N81" s="291" t="s">
        <v>3061</v>
      </c>
      <c r="O81" s="291" t="s">
        <v>2829</v>
      </c>
      <c r="P81" s="304"/>
    </row>
    <row r="82" spans="1:16" ht="44.85" customHeight="1" x14ac:dyDescent="0.2">
      <c r="A82" s="281" t="s">
        <v>3285</v>
      </c>
      <c r="B82" s="286">
        <v>42249</v>
      </c>
      <c r="C82" s="289" t="s">
        <v>3287</v>
      </c>
      <c r="D82" s="289" t="s">
        <v>3324</v>
      </c>
      <c r="E82" s="291" t="s">
        <v>3290</v>
      </c>
      <c r="F82" s="291" t="s">
        <v>3220</v>
      </c>
      <c r="G82" s="47" t="s">
        <v>2852</v>
      </c>
      <c r="H82" s="291" t="s">
        <v>615</v>
      </c>
      <c r="I82" s="291" t="s">
        <v>3211</v>
      </c>
      <c r="J82" s="286">
        <v>42284</v>
      </c>
      <c r="K82" s="291" t="s">
        <v>2853</v>
      </c>
      <c r="L82" s="291" t="s">
        <v>2088</v>
      </c>
      <c r="M82" s="286">
        <v>42283</v>
      </c>
      <c r="N82" s="291" t="s">
        <v>3061</v>
      </c>
      <c r="O82" s="291" t="s">
        <v>2829</v>
      </c>
      <c r="P82" s="304"/>
    </row>
    <row r="83" spans="1:16" ht="44.85" customHeight="1" x14ac:dyDescent="0.2">
      <c r="A83" s="281" t="s">
        <v>3286</v>
      </c>
      <c r="B83" s="286">
        <v>42251</v>
      </c>
      <c r="C83" s="289" t="s">
        <v>3288</v>
      </c>
      <c r="D83" s="289" t="s">
        <v>3289</v>
      </c>
      <c r="E83" s="291" t="s">
        <v>3291</v>
      </c>
      <c r="F83" s="291" t="s">
        <v>3220</v>
      </c>
      <c r="G83" s="47" t="s">
        <v>2852</v>
      </c>
      <c r="H83" s="291" t="s">
        <v>615</v>
      </c>
      <c r="I83" s="291" t="s">
        <v>3211</v>
      </c>
      <c r="J83" s="286">
        <v>42258</v>
      </c>
      <c r="K83" s="291" t="s">
        <v>2853</v>
      </c>
      <c r="L83" s="291" t="s">
        <v>2088</v>
      </c>
      <c r="M83" s="286">
        <v>42251</v>
      </c>
      <c r="N83" s="291" t="s">
        <v>3061</v>
      </c>
      <c r="O83" s="291" t="s">
        <v>2829</v>
      </c>
      <c r="P83" s="304"/>
    </row>
    <row r="84" spans="1:16" ht="44.85" customHeight="1" x14ac:dyDescent="0.2">
      <c r="A84" s="281" t="s">
        <v>3292</v>
      </c>
      <c r="B84" s="286">
        <v>42258</v>
      </c>
      <c r="C84" s="289" t="s">
        <v>3293</v>
      </c>
      <c r="D84" s="289" t="s">
        <v>3294</v>
      </c>
      <c r="E84" s="291" t="s">
        <v>2971</v>
      </c>
      <c r="F84" s="291" t="s">
        <v>3220</v>
      </c>
      <c r="G84" s="47" t="s">
        <v>2846</v>
      </c>
      <c r="H84" s="291" t="s">
        <v>229</v>
      </c>
      <c r="I84" s="291" t="s">
        <v>229</v>
      </c>
      <c r="J84" s="286">
        <v>42287</v>
      </c>
      <c r="K84" s="291" t="s">
        <v>2853</v>
      </c>
      <c r="L84" s="291" t="s">
        <v>2088</v>
      </c>
      <c r="M84" s="286">
        <v>42258</v>
      </c>
      <c r="N84" s="291" t="s">
        <v>3061</v>
      </c>
      <c r="O84" s="291" t="s">
        <v>2829</v>
      </c>
      <c r="P84" s="304"/>
    </row>
    <row r="85" spans="1:16" ht="44.85" customHeight="1" x14ac:dyDescent="0.2">
      <c r="A85" s="281" t="s">
        <v>3295</v>
      </c>
      <c r="B85" s="286">
        <v>42258</v>
      </c>
      <c r="C85" s="289" t="s">
        <v>3296</v>
      </c>
      <c r="D85" s="289" t="s">
        <v>3297</v>
      </c>
      <c r="E85" s="291" t="s">
        <v>3049</v>
      </c>
      <c r="F85" s="291" t="s">
        <v>3220</v>
      </c>
      <c r="G85" s="47" t="s">
        <v>2846</v>
      </c>
      <c r="H85" s="291" t="s">
        <v>2428</v>
      </c>
      <c r="I85" s="291" t="s">
        <v>3211</v>
      </c>
      <c r="J85" s="286">
        <v>42265</v>
      </c>
      <c r="K85" s="291" t="s">
        <v>2853</v>
      </c>
      <c r="L85" s="291" t="s">
        <v>2088</v>
      </c>
      <c r="M85" s="286">
        <v>42258</v>
      </c>
      <c r="N85" s="291" t="s">
        <v>3061</v>
      </c>
      <c r="O85" s="291" t="s">
        <v>2829</v>
      </c>
      <c r="P85" s="304"/>
    </row>
    <row r="86" spans="1:16" ht="44.85" customHeight="1" x14ac:dyDescent="0.2">
      <c r="A86" s="281" t="s">
        <v>3298</v>
      </c>
      <c r="B86" s="286">
        <v>42261</v>
      </c>
      <c r="C86" s="289" t="s">
        <v>3299</v>
      </c>
      <c r="D86" s="289" t="s">
        <v>3225</v>
      </c>
      <c r="E86" s="291" t="s">
        <v>2971</v>
      </c>
      <c r="F86" s="291" t="s">
        <v>3220</v>
      </c>
      <c r="G86" s="47" t="s">
        <v>2846</v>
      </c>
      <c r="H86" s="291" t="s">
        <v>3227</v>
      </c>
      <c r="I86" s="291" t="s">
        <v>229</v>
      </c>
      <c r="J86" s="286">
        <v>42429</v>
      </c>
      <c r="K86" s="291" t="s">
        <v>2853</v>
      </c>
      <c r="L86" s="291" t="s">
        <v>2088</v>
      </c>
      <c r="M86" s="286">
        <v>42356</v>
      </c>
      <c r="N86" s="291" t="s">
        <v>3061</v>
      </c>
      <c r="O86" s="291" t="s">
        <v>2835</v>
      </c>
      <c r="P86" s="304"/>
    </row>
    <row r="87" spans="1:16" ht="44.85" customHeight="1" x14ac:dyDescent="0.2">
      <c r="A87" s="281" t="s">
        <v>3300</v>
      </c>
      <c r="B87" s="286">
        <v>42261</v>
      </c>
      <c r="C87" s="289" t="s">
        <v>3303</v>
      </c>
      <c r="D87" s="289" t="s">
        <v>3306</v>
      </c>
      <c r="E87" s="291" t="s">
        <v>2971</v>
      </c>
      <c r="F87" s="291" t="s">
        <v>3220</v>
      </c>
      <c r="G87" s="47" t="s">
        <v>2846</v>
      </c>
      <c r="H87" s="291" t="s">
        <v>1203</v>
      </c>
      <c r="I87" s="291" t="s">
        <v>229</v>
      </c>
      <c r="J87" s="286">
        <v>42338</v>
      </c>
      <c r="K87" s="291" t="s">
        <v>2853</v>
      </c>
      <c r="L87" s="291" t="s">
        <v>3022</v>
      </c>
      <c r="M87" s="286">
        <v>42342</v>
      </c>
      <c r="N87" s="291" t="s">
        <v>3022</v>
      </c>
      <c r="O87" s="291" t="s">
        <v>2832</v>
      </c>
      <c r="P87" s="304"/>
    </row>
    <row r="88" spans="1:16" ht="44.85" customHeight="1" x14ac:dyDescent="0.2">
      <c r="A88" s="281" t="s">
        <v>3301</v>
      </c>
      <c r="B88" s="286">
        <v>42261</v>
      </c>
      <c r="C88" s="289" t="s">
        <v>3304</v>
      </c>
      <c r="D88" s="289" t="s">
        <v>3307</v>
      </c>
      <c r="E88" s="291" t="s">
        <v>2971</v>
      </c>
      <c r="F88" s="291" t="s">
        <v>3220</v>
      </c>
      <c r="G88" s="47" t="s">
        <v>2846</v>
      </c>
      <c r="H88" s="291" t="s">
        <v>2067</v>
      </c>
      <c r="I88" s="291" t="s">
        <v>229</v>
      </c>
      <c r="J88" s="286">
        <v>42338</v>
      </c>
      <c r="K88" s="291" t="s">
        <v>2853</v>
      </c>
      <c r="L88" s="291" t="s">
        <v>2088</v>
      </c>
      <c r="M88" s="286">
        <v>42300</v>
      </c>
      <c r="N88" s="291" t="s">
        <v>3061</v>
      </c>
      <c r="O88" s="291" t="s">
        <v>2832</v>
      </c>
      <c r="P88" s="304"/>
    </row>
    <row r="89" spans="1:16" ht="44.85" customHeight="1" x14ac:dyDescent="0.2">
      <c r="A89" s="281" t="s">
        <v>3302</v>
      </c>
      <c r="B89" s="286">
        <v>42261</v>
      </c>
      <c r="C89" s="289" t="s">
        <v>3305</v>
      </c>
      <c r="D89" s="289" t="s">
        <v>3308</v>
      </c>
      <c r="E89" s="291" t="s">
        <v>2971</v>
      </c>
      <c r="F89" s="291" t="s">
        <v>3220</v>
      </c>
      <c r="G89" s="47" t="s">
        <v>2846</v>
      </c>
      <c r="H89" s="291" t="s">
        <v>685</v>
      </c>
      <c r="I89" s="291" t="s">
        <v>229</v>
      </c>
      <c r="J89" s="286">
        <v>42338</v>
      </c>
      <c r="K89" s="291" t="s">
        <v>2853</v>
      </c>
      <c r="L89" s="291" t="s">
        <v>2088</v>
      </c>
      <c r="M89" s="286">
        <v>42320</v>
      </c>
      <c r="N89" s="291" t="s">
        <v>3061</v>
      </c>
      <c r="O89" s="291" t="s">
        <v>2832</v>
      </c>
      <c r="P89" s="304"/>
    </row>
    <row r="90" spans="1:16" ht="44.85" customHeight="1" x14ac:dyDescent="0.2">
      <c r="A90" s="281" t="s">
        <v>3313</v>
      </c>
      <c r="B90" s="286">
        <v>42261</v>
      </c>
      <c r="C90" s="289" t="s">
        <v>3309</v>
      </c>
      <c r="D90" s="289" t="s">
        <v>3310</v>
      </c>
      <c r="E90" s="291" t="s">
        <v>3049</v>
      </c>
      <c r="F90" s="291" t="s">
        <v>3220</v>
      </c>
      <c r="G90" s="47" t="s">
        <v>2852</v>
      </c>
      <c r="H90" s="291" t="s">
        <v>2428</v>
      </c>
      <c r="I90" s="291" t="s">
        <v>3211</v>
      </c>
      <c r="J90" s="286">
        <v>42272</v>
      </c>
      <c r="K90" s="299" t="s">
        <v>2853</v>
      </c>
      <c r="L90" s="291" t="s">
        <v>2088</v>
      </c>
      <c r="M90" s="286">
        <v>42265</v>
      </c>
      <c r="N90" s="291" t="s">
        <v>3061</v>
      </c>
      <c r="O90" s="291" t="s">
        <v>2829</v>
      </c>
      <c r="P90" s="304"/>
    </row>
    <row r="91" spans="1:16" ht="44.85" customHeight="1" x14ac:dyDescent="0.2">
      <c r="A91" s="281" t="s">
        <v>3312</v>
      </c>
      <c r="B91" s="286">
        <v>42263</v>
      </c>
      <c r="C91" s="289" t="s">
        <v>3311</v>
      </c>
      <c r="D91" s="289" t="s">
        <v>3289</v>
      </c>
      <c r="E91" s="291" t="s">
        <v>3084</v>
      </c>
      <c r="F91" s="291" t="s">
        <v>3220</v>
      </c>
      <c r="G91" s="47" t="s">
        <v>2852</v>
      </c>
      <c r="H91" s="291" t="s">
        <v>615</v>
      </c>
      <c r="I91" s="291" t="s">
        <v>3211</v>
      </c>
      <c r="J91" s="286">
        <v>42270</v>
      </c>
      <c r="K91" s="291" t="s">
        <v>2853</v>
      </c>
      <c r="L91" s="291" t="s">
        <v>2088</v>
      </c>
      <c r="M91" s="286">
        <v>42268</v>
      </c>
      <c r="N91" s="291" t="s">
        <v>3061</v>
      </c>
      <c r="O91" s="291" t="s">
        <v>2829</v>
      </c>
      <c r="P91" s="304"/>
    </row>
    <row r="92" spans="1:16" ht="44.85" customHeight="1" x14ac:dyDescent="0.2">
      <c r="A92" s="281" t="s">
        <v>3314</v>
      </c>
      <c r="B92" s="286">
        <v>42272</v>
      </c>
      <c r="C92" s="289" t="s">
        <v>3315</v>
      </c>
      <c r="D92" s="289" t="s">
        <v>3316</v>
      </c>
      <c r="E92" s="291" t="s">
        <v>2971</v>
      </c>
      <c r="F92" s="291" t="s">
        <v>3220</v>
      </c>
      <c r="G92" s="47" t="s">
        <v>2880</v>
      </c>
      <c r="H92" s="291" t="s">
        <v>685</v>
      </c>
      <c r="I92" s="291" t="s">
        <v>229</v>
      </c>
      <c r="J92" s="286">
        <v>42307</v>
      </c>
      <c r="K92" s="299" t="s">
        <v>2853</v>
      </c>
      <c r="L92" s="291" t="s">
        <v>2088</v>
      </c>
      <c r="M92" s="286">
        <v>42307</v>
      </c>
      <c r="N92" s="291" t="s">
        <v>3061</v>
      </c>
      <c r="O92" s="291" t="s">
        <v>2829</v>
      </c>
      <c r="P92" s="304"/>
    </row>
    <row r="93" spans="1:16" ht="44.85" customHeight="1" x14ac:dyDescent="0.2">
      <c r="A93" s="281" t="s">
        <v>3318</v>
      </c>
      <c r="B93" s="286">
        <v>41907</v>
      </c>
      <c r="C93" s="289" t="s">
        <v>3321</v>
      </c>
      <c r="D93" s="289" t="s">
        <v>3322</v>
      </c>
      <c r="E93" s="291" t="s">
        <v>3323</v>
      </c>
      <c r="F93" s="291" t="s">
        <v>3220</v>
      </c>
      <c r="G93" s="47" t="s">
        <v>2852</v>
      </c>
      <c r="H93" s="291" t="s">
        <v>3227</v>
      </c>
      <c r="I93" s="291" t="s">
        <v>3211</v>
      </c>
      <c r="J93" s="286">
        <v>42279</v>
      </c>
      <c r="K93" s="291" t="s">
        <v>2853</v>
      </c>
      <c r="L93" s="291" t="s">
        <v>2088</v>
      </c>
      <c r="M93" s="286">
        <v>42275</v>
      </c>
      <c r="N93" s="291" t="s">
        <v>3061</v>
      </c>
      <c r="O93" s="291" t="s">
        <v>2829</v>
      </c>
      <c r="P93" s="304"/>
    </row>
    <row r="94" spans="1:16" ht="44.85" customHeight="1" x14ac:dyDescent="0.2">
      <c r="A94" s="281" t="s">
        <v>3317</v>
      </c>
      <c r="B94" s="286">
        <v>42276</v>
      </c>
      <c r="C94" s="289" t="s">
        <v>3320</v>
      </c>
      <c r="D94" s="289" t="s">
        <v>3319</v>
      </c>
      <c r="E94" s="291" t="s">
        <v>3049</v>
      </c>
      <c r="F94" s="291" t="s">
        <v>3220</v>
      </c>
      <c r="G94" s="47" t="s">
        <v>2852</v>
      </c>
      <c r="H94" s="291" t="s">
        <v>685</v>
      </c>
      <c r="I94" s="291" t="s">
        <v>3211</v>
      </c>
      <c r="J94" s="286">
        <v>42306</v>
      </c>
      <c r="K94" s="291" t="s">
        <v>2853</v>
      </c>
      <c r="L94" s="291" t="s">
        <v>2088</v>
      </c>
      <c r="M94" s="286">
        <v>42276</v>
      </c>
      <c r="N94" s="291" t="s">
        <v>3061</v>
      </c>
      <c r="O94" s="291" t="s">
        <v>2829</v>
      </c>
      <c r="P94" s="304"/>
    </row>
    <row r="95" spans="1:16" ht="44.85" customHeight="1" x14ac:dyDescent="0.2">
      <c r="A95" s="281" t="s">
        <v>3325</v>
      </c>
      <c r="B95" s="278">
        <v>42278</v>
      </c>
      <c r="C95" s="288" t="s">
        <v>3334</v>
      </c>
      <c r="D95" s="289" t="s">
        <v>3337</v>
      </c>
      <c r="E95" s="291" t="s">
        <v>3335</v>
      </c>
      <c r="F95" s="291" t="s">
        <v>3226</v>
      </c>
      <c r="G95" s="47" t="s">
        <v>2852</v>
      </c>
      <c r="H95" s="291" t="s">
        <v>3336</v>
      </c>
      <c r="I95" s="291" t="s">
        <v>3211</v>
      </c>
      <c r="J95" s="286">
        <v>42291</v>
      </c>
      <c r="K95" s="291" t="s">
        <v>2853</v>
      </c>
      <c r="L95" s="291" t="s">
        <v>2088</v>
      </c>
      <c r="M95" s="286">
        <v>42279</v>
      </c>
      <c r="N95" s="291" t="s">
        <v>3061</v>
      </c>
      <c r="O95" s="291" t="s">
        <v>2829</v>
      </c>
      <c r="P95" s="304"/>
    </row>
    <row r="96" spans="1:16" ht="44.85" customHeight="1" x14ac:dyDescent="0.2">
      <c r="A96" s="281" t="s">
        <v>3327</v>
      </c>
      <c r="B96" s="286">
        <v>42279</v>
      </c>
      <c r="C96" s="289" t="s">
        <v>3326</v>
      </c>
      <c r="D96" s="289" t="s">
        <v>3328</v>
      </c>
      <c r="E96" s="291" t="s">
        <v>2971</v>
      </c>
      <c r="F96" s="291" t="s">
        <v>3220</v>
      </c>
      <c r="G96" s="47" t="s">
        <v>2880</v>
      </c>
      <c r="H96" s="291" t="s">
        <v>516</v>
      </c>
      <c r="I96" s="291" t="s">
        <v>229</v>
      </c>
      <c r="J96" s="286">
        <v>42307</v>
      </c>
      <c r="K96" s="299" t="s">
        <v>1056</v>
      </c>
      <c r="L96" s="291" t="s">
        <v>2088</v>
      </c>
      <c r="M96" s="286" t="s">
        <v>2088</v>
      </c>
      <c r="N96" s="291" t="s">
        <v>2088</v>
      </c>
      <c r="O96" s="291" t="s">
        <v>2088</v>
      </c>
      <c r="P96" s="304"/>
    </row>
    <row r="97" spans="1:17" ht="44.85" customHeight="1" x14ac:dyDescent="0.2">
      <c r="A97" s="281" t="s">
        <v>3329</v>
      </c>
      <c r="B97" s="286">
        <v>42282</v>
      </c>
      <c r="C97" s="289" t="s">
        <v>3332</v>
      </c>
      <c r="D97" s="289" t="s">
        <v>3306</v>
      </c>
      <c r="E97" s="291" t="s">
        <v>2971</v>
      </c>
      <c r="F97" s="291" t="s">
        <v>3220</v>
      </c>
      <c r="G97" s="47" t="s">
        <v>2846</v>
      </c>
      <c r="H97" s="291" t="s">
        <v>3144</v>
      </c>
      <c r="I97" s="291" t="s">
        <v>229</v>
      </c>
      <c r="J97" s="286">
        <v>42400</v>
      </c>
      <c r="K97" s="330" t="s">
        <v>4555</v>
      </c>
      <c r="L97" s="291" t="s">
        <v>3022</v>
      </c>
      <c r="M97" s="286">
        <v>43376</v>
      </c>
      <c r="N97" s="291" t="s">
        <v>3022</v>
      </c>
      <c r="O97" s="291" t="s">
        <v>2839</v>
      </c>
      <c r="P97" s="304"/>
    </row>
    <row r="98" spans="1:17" ht="44.85" customHeight="1" x14ac:dyDescent="0.2">
      <c r="A98" s="281" t="s">
        <v>3330</v>
      </c>
      <c r="B98" s="286">
        <v>42282</v>
      </c>
      <c r="C98" s="289" t="s">
        <v>3363</v>
      </c>
      <c r="D98" s="289" t="s">
        <v>3306</v>
      </c>
      <c r="E98" s="291" t="s">
        <v>2971</v>
      </c>
      <c r="F98" s="291" t="s">
        <v>3220</v>
      </c>
      <c r="G98" s="47" t="s">
        <v>2846</v>
      </c>
      <c r="H98" s="291" t="s">
        <v>229</v>
      </c>
      <c r="I98" s="291" t="s">
        <v>229</v>
      </c>
      <c r="J98" s="286">
        <v>42400</v>
      </c>
      <c r="K98" s="291" t="s">
        <v>2853</v>
      </c>
      <c r="L98" s="291" t="s">
        <v>2088</v>
      </c>
      <c r="M98" s="286">
        <v>42321</v>
      </c>
      <c r="N98" s="291" t="s">
        <v>3061</v>
      </c>
      <c r="O98" s="291" t="s">
        <v>2832</v>
      </c>
      <c r="P98" s="304"/>
    </row>
    <row r="99" spans="1:17" ht="44.85" customHeight="1" x14ac:dyDescent="0.2">
      <c r="A99" s="281" t="s">
        <v>3331</v>
      </c>
      <c r="B99" s="286">
        <v>42282</v>
      </c>
      <c r="C99" s="289" t="s">
        <v>3333</v>
      </c>
      <c r="D99" s="289" t="s">
        <v>3306</v>
      </c>
      <c r="E99" s="291" t="s">
        <v>2971</v>
      </c>
      <c r="F99" s="291" t="s">
        <v>3220</v>
      </c>
      <c r="G99" s="47" t="s">
        <v>2846</v>
      </c>
      <c r="H99" s="291" t="s">
        <v>229</v>
      </c>
      <c r="I99" s="291" t="s">
        <v>229</v>
      </c>
      <c r="J99" s="286">
        <v>42400</v>
      </c>
      <c r="K99" s="291" t="s">
        <v>2853</v>
      </c>
      <c r="L99" s="291" t="s">
        <v>2088</v>
      </c>
      <c r="M99" s="286">
        <v>42320</v>
      </c>
      <c r="N99" s="291" t="s">
        <v>3061</v>
      </c>
      <c r="O99" s="291" t="s">
        <v>2832</v>
      </c>
      <c r="P99" s="304"/>
    </row>
    <row r="100" spans="1:17" ht="44.85" customHeight="1" x14ac:dyDescent="0.2">
      <c r="A100" s="281" t="s">
        <v>3338</v>
      </c>
      <c r="B100" s="286">
        <v>42286</v>
      </c>
      <c r="C100" s="289" t="s">
        <v>3339</v>
      </c>
      <c r="D100" s="289" t="s">
        <v>3340</v>
      </c>
      <c r="E100" s="291" t="s">
        <v>2971</v>
      </c>
      <c r="F100" s="291" t="s">
        <v>3220</v>
      </c>
      <c r="G100" s="47" t="s">
        <v>2927</v>
      </c>
      <c r="H100" s="291" t="s">
        <v>2067</v>
      </c>
      <c r="I100" s="291" t="s">
        <v>229</v>
      </c>
      <c r="J100" s="286">
        <v>42314</v>
      </c>
      <c r="K100" s="299" t="s">
        <v>2853</v>
      </c>
      <c r="L100" s="291" t="s">
        <v>2088</v>
      </c>
      <c r="M100" s="286">
        <v>42289</v>
      </c>
      <c r="N100" s="291" t="s">
        <v>3061</v>
      </c>
      <c r="O100" s="291" t="s">
        <v>2829</v>
      </c>
      <c r="P100" s="304"/>
    </row>
    <row r="101" spans="1:17" ht="44.85" customHeight="1" x14ac:dyDescent="0.2">
      <c r="A101" s="281" t="s">
        <v>3341</v>
      </c>
      <c r="B101" s="286">
        <v>42289</v>
      </c>
      <c r="C101" s="289" t="s">
        <v>3342</v>
      </c>
      <c r="D101" s="289" t="s">
        <v>3343</v>
      </c>
      <c r="E101" s="291" t="s">
        <v>2971</v>
      </c>
      <c r="F101" s="291" t="s">
        <v>3220</v>
      </c>
      <c r="G101" s="47" t="s">
        <v>2927</v>
      </c>
      <c r="H101" s="291" t="s">
        <v>2067</v>
      </c>
      <c r="I101" s="291" t="s">
        <v>229</v>
      </c>
      <c r="J101" s="286">
        <v>42293</v>
      </c>
      <c r="K101" s="291" t="s">
        <v>2853</v>
      </c>
      <c r="L101" s="291" t="s">
        <v>2088</v>
      </c>
      <c r="M101" s="286">
        <v>42290</v>
      </c>
      <c r="N101" s="291" t="s">
        <v>3061</v>
      </c>
      <c r="O101" s="291" t="s">
        <v>2829</v>
      </c>
      <c r="P101" s="304"/>
    </row>
    <row r="102" spans="1:17" ht="44.85" customHeight="1" x14ac:dyDescent="0.2">
      <c r="A102" s="281" t="s">
        <v>3344</v>
      </c>
      <c r="B102" s="286">
        <v>42296</v>
      </c>
      <c r="C102" s="289" t="s">
        <v>3345</v>
      </c>
      <c r="D102" s="289" t="s">
        <v>3346</v>
      </c>
      <c r="E102" s="291" t="s">
        <v>2971</v>
      </c>
      <c r="F102" s="291" t="s">
        <v>3220</v>
      </c>
      <c r="G102" s="47" t="s">
        <v>2880</v>
      </c>
      <c r="H102" s="291" t="s">
        <v>685</v>
      </c>
      <c r="I102" s="291" t="s">
        <v>229</v>
      </c>
      <c r="J102" s="286">
        <v>42307</v>
      </c>
      <c r="K102" s="291" t="s">
        <v>2853</v>
      </c>
      <c r="L102" s="291" t="s">
        <v>2088</v>
      </c>
      <c r="M102" s="286">
        <v>42297</v>
      </c>
      <c r="N102" s="291" t="s">
        <v>3061</v>
      </c>
      <c r="O102" s="291" t="s">
        <v>2829</v>
      </c>
      <c r="P102" s="304"/>
    </row>
    <row r="103" spans="1:17" ht="44.85" customHeight="1" x14ac:dyDescent="0.2">
      <c r="A103" s="281" t="s">
        <v>3347</v>
      </c>
      <c r="B103" s="286">
        <v>42297</v>
      </c>
      <c r="C103" s="289" t="s">
        <v>3348</v>
      </c>
      <c r="D103" s="289" t="s">
        <v>3349</v>
      </c>
      <c r="E103" s="291" t="s">
        <v>2971</v>
      </c>
      <c r="F103" s="291" t="s">
        <v>3220</v>
      </c>
      <c r="G103" s="47" t="s">
        <v>2927</v>
      </c>
      <c r="H103" s="291" t="s">
        <v>685</v>
      </c>
      <c r="I103" s="291" t="s">
        <v>229</v>
      </c>
      <c r="J103" s="286">
        <v>42328</v>
      </c>
      <c r="K103" s="324" t="s">
        <v>2853</v>
      </c>
      <c r="L103" s="291" t="s">
        <v>2088</v>
      </c>
      <c r="M103" s="286">
        <v>42320</v>
      </c>
      <c r="N103" s="291" t="s">
        <v>3061</v>
      </c>
      <c r="O103" s="291" t="s">
        <v>2829</v>
      </c>
      <c r="P103" s="304"/>
    </row>
    <row r="104" spans="1:17" ht="44.85" customHeight="1" x14ac:dyDescent="0.2">
      <c r="A104" s="281" t="s">
        <v>3350</v>
      </c>
      <c r="B104" s="286">
        <v>42299</v>
      </c>
      <c r="C104" s="289" t="s">
        <v>3351</v>
      </c>
      <c r="D104" s="289" t="s">
        <v>3352</v>
      </c>
      <c r="E104" s="291" t="s">
        <v>3335</v>
      </c>
      <c r="F104" s="291" t="s">
        <v>3220</v>
      </c>
      <c r="G104" s="47" t="s">
        <v>2852</v>
      </c>
      <c r="H104" s="291" t="s">
        <v>3167</v>
      </c>
      <c r="I104" s="291" t="s">
        <v>3211</v>
      </c>
      <c r="J104" s="286">
        <v>42330</v>
      </c>
      <c r="K104" s="291" t="s">
        <v>2853</v>
      </c>
      <c r="L104" s="291" t="s">
        <v>2088</v>
      </c>
      <c r="M104" s="286">
        <v>42303</v>
      </c>
      <c r="N104" s="291" t="s">
        <v>3061</v>
      </c>
      <c r="O104" s="291" t="s">
        <v>2829</v>
      </c>
      <c r="P104" s="304"/>
    </row>
    <row r="105" spans="1:17" ht="44.85" customHeight="1" x14ac:dyDescent="0.2">
      <c r="A105" s="281" t="s">
        <v>3353</v>
      </c>
      <c r="B105" s="286">
        <v>42300</v>
      </c>
      <c r="C105" s="289" t="s">
        <v>3354</v>
      </c>
      <c r="D105" s="289" t="s">
        <v>3337</v>
      </c>
      <c r="E105" s="291" t="s">
        <v>3335</v>
      </c>
      <c r="F105" s="291" t="s">
        <v>3220</v>
      </c>
      <c r="G105" s="47" t="s">
        <v>2852</v>
      </c>
      <c r="H105" s="291" t="s">
        <v>3167</v>
      </c>
      <c r="I105" s="291" t="s">
        <v>3211</v>
      </c>
      <c r="J105" s="286">
        <v>42331</v>
      </c>
      <c r="K105" s="291" t="s">
        <v>2853</v>
      </c>
      <c r="L105" s="291" t="s">
        <v>2088</v>
      </c>
      <c r="M105" s="286">
        <v>42300</v>
      </c>
      <c r="N105" s="291" t="s">
        <v>3061</v>
      </c>
      <c r="O105" s="291" t="s">
        <v>2829</v>
      </c>
      <c r="P105" s="304"/>
    </row>
    <row r="106" spans="1:17" ht="44.85" customHeight="1" x14ac:dyDescent="0.2">
      <c r="A106" s="281" t="s">
        <v>3355</v>
      </c>
      <c r="B106" s="286">
        <v>42300</v>
      </c>
      <c r="C106" s="288" t="s">
        <v>3356</v>
      </c>
      <c r="D106" s="305" t="s">
        <v>3357</v>
      </c>
      <c r="E106" s="291" t="s">
        <v>2971</v>
      </c>
      <c r="F106" s="291" t="s">
        <v>3220</v>
      </c>
      <c r="G106" s="47" t="s">
        <v>2922</v>
      </c>
      <c r="H106" s="291" t="s">
        <v>229</v>
      </c>
      <c r="I106" s="291" t="s">
        <v>229</v>
      </c>
      <c r="J106" s="286">
        <v>42460</v>
      </c>
      <c r="K106" s="299" t="s">
        <v>2853</v>
      </c>
      <c r="L106" s="291" t="s">
        <v>2088</v>
      </c>
      <c r="M106" s="286">
        <v>42677</v>
      </c>
      <c r="N106" s="291" t="s">
        <v>3022</v>
      </c>
      <c r="O106" s="291" t="s">
        <v>2839</v>
      </c>
      <c r="P106" s="304"/>
    </row>
    <row r="107" spans="1:17" ht="44.85" customHeight="1" x14ac:dyDescent="0.2">
      <c r="A107" s="281" t="s">
        <v>3359</v>
      </c>
      <c r="B107" s="286">
        <v>42303</v>
      </c>
      <c r="C107" s="303" t="s">
        <v>3360</v>
      </c>
      <c r="D107" s="289" t="s">
        <v>3352</v>
      </c>
      <c r="E107" s="291" t="s">
        <v>3335</v>
      </c>
      <c r="F107" s="291" t="s">
        <v>3220</v>
      </c>
      <c r="G107" s="47" t="s">
        <v>2852</v>
      </c>
      <c r="H107" s="291" t="s">
        <v>3167</v>
      </c>
      <c r="I107" s="291" t="s">
        <v>3211</v>
      </c>
      <c r="J107" s="286">
        <v>42334</v>
      </c>
      <c r="K107" s="291" t="s">
        <v>2853</v>
      </c>
      <c r="L107" s="291" t="s">
        <v>2088</v>
      </c>
      <c r="M107" s="286">
        <v>42303</v>
      </c>
      <c r="N107" s="291" t="s">
        <v>3061</v>
      </c>
      <c r="O107" s="291" t="s">
        <v>2829</v>
      </c>
      <c r="P107" s="304"/>
    </row>
    <row r="108" spans="1:17" ht="44.85" customHeight="1" x14ac:dyDescent="0.2">
      <c r="A108" s="281" t="s">
        <v>3361</v>
      </c>
      <c r="B108" s="286">
        <v>42305</v>
      </c>
      <c r="C108" s="303" t="s">
        <v>3362</v>
      </c>
      <c r="D108" s="289" t="s">
        <v>3337</v>
      </c>
      <c r="E108" s="291" t="s">
        <v>3049</v>
      </c>
      <c r="F108" s="291" t="s">
        <v>3220</v>
      </c>
      <c r="G108" s="47" t="s">
        <v>2852</v>
      </c>
      <c r="H108" s="291" t="s">
        <v>685</v>
      </c>
      <c r="I108" s="291" t="s">
        <v>3211</v>
      </c>
      <c r="J108" s="286">
        <v>42336</v>
      </c>
      <c r="K108" s="291" t="s">
        <v>2853</v>
      </c>
      <c r="L108" s="291" t="s">
        <v>2088</v>
      </c>
      <c r="M108" s="286">
        <v>42307</v>
      </c>
      <c r="N108" s="291" t="s">
        <v>3061</v>
      </c>
      <c r="O108" s="291" t="s">
        <v>2829</v>
      </c>
      <c r="P108" s="304"/>
    </row>
    <row r="109" spans="1:17" ht="55.35" customHeight="1" x14ac:dyDescent="0.2">
      <c r="A109" s="281" t="s">
        <v>3365</v>
      </c>
      <c r="B109" s="286">
        <v>42305</v>
      </c>
      <c r="C109" s="303" t="s">
        <v>3366</v>
      </c>
      <c r="D109" s="289" t="s">
        <v>3368</v>
      </c>
      <c r="E109" s="291" t="s">
        <v>3367</v>
      </c>
      <c r="F109" s="291" t="s">
        <v>3220</v>
      </c>
      <c r="G109" s="47" t="s">
        <v>2922</v>
      </c>
      <c r="H109" s="291" t="s">
        <v>3144</v>
      </c>
      <c r="I109" s="291" t="s">
        <v>3144</v>
      </c>
      <c r="J109" s="286">
        <v>42311</v>
      </c>
      <c r="K109" s="291" t="s">
        <v>2853</v>
      </c>
      <c r="L109" s="291" t="s">
        <v>2088</v>
      </c>
      <c r="M109" s="286">
        <v>42311</v>
      </c>
      <c r="N109" s="291" t="s">
        <v>3061</v>
      </c>
      <c r="O109" s="291" t="s">
        <v>2829</v>
      </c>
      <c r="P109" s="304"/>
    </row>
    <row r="110" spans="1:17" ht="51" x14ac:dyDescent="0.2">
      <c r="A110" s="281" t="s">
        <v>3369</v>
      </c>
      <c r="B110" s="286">
        <v>42317</v>
      </c>
      <c r="C110" s="303" t="s">
        <v>3370</v>
      </c>
      <c r="D110" s="289" t="s">
        <v>3371</v>
      </c>
      <c r="E110" s="291" t="s">
        <v>2971</v>
      </c>
      <c r="F110" s="291" t="s">
        <v>3220</v>
      </c>
      <c r="G110" s="47" t="s">
        <v>2880</v>
      </c>
      <c r="H110" s="291" t="s">
        <v>516</v>
      </c>
      <c r="I110" s="291" t="s">
        <v>441</v>
      </c>
      <c r="J110" s="286">
        <v>42369</v>
      </c>
      <c r="K110" s="291" t="s">
        <v>2853</v>
      </c>
      <c r="L110" s="291" t="s">
        <v>2088</v>
      </c>
      <c r="M110" s="286">
        <v>42703</v>
      </c>
      <c r="N110" s="291" t="s">
        <v>3061</v>
      </c>
      <c r="O110" s="291" t="s">
        <v>2829</v>
      </c>
      <c r="P110" s="304"/>
    </row>
    <row r="111" spans="1:17" ht="38.25" x14ac:dyDescent="0.2">
      <c r="A111" s="281" t="s">
        <v>3372</v>
      </c>
      <c r="B111" s="286">
        <v>42318</v>
      </c>
      <c r="C111" s="303" t="s">
        <v>3377</v>
      </c>
      <c r="D111" s="289" t="s">
        <v>3373</v>
      </c>
      <c r="E111" s="291" t="s">
        <v>2971</v>
      </c>
      <c r="F111" s="291" t="s">
        <v>3220</v>
      </c>
      <c r="G111" s="47" t="s">
        <v>2880</v>
      </c>
      <c r="H111" s="291" t="s">
        <v>516</v>
      </c>
      <c r="I111" s="291" t="s">
        <v>229</v>
      </c>
      <c r="J111" s="286">
        <v>42369</v>
      </c>
      <c r="K111" s="291" t="s">
        <v>2853</v>
      </c>
      <c r="L111" s="291" t="s">
        <v>2088</v>
      </c>
      <c r="M111" s="286">
        <v>42333</v>
      </c>
      <c r="N111" s="291" t="s">
        <v>3061</v>
      </c>
      <c r="O111" s="291" t="s">
        <v>2829</v>
      </c>
      <c r="P111" s="304"/>
    </row>
    <row r="112" spans="1:17" ht="12.75" x14ac:dyDescent="0.2">
      <c r="A112" s="281" t="s">
        <v>3374</v>
      </c>
      <c r="B112" s="286">
        <v>42319</v>
      </c>
      <c r="C112" s="303" t="s">
        <v>3375</v>
      </c>
      <c r="D112" s="289" t="s">
        <v>3376</v>
      </c>
      <c r="E112" s="291" t="s">
        <v>2971</v>
      </c>
      <c r="F112" s="291" t="s">
        <v>3220</v>
      </c>
      <c r="G112" s="47" t="s">
        <v>2880</v>
      </c>
      <c r="H112" s="291" t="s">
        <v>516</v>
      </c>
      <c r="I112" s="291" t="s">
        <v>229</v>
      </c>
      <c r="J112" s="286">
        <v>42369</v>
      </c>
      <c r="K112" s="299" t="s">
        <v>2853</v>
      </c>
      <c r="L112" s="291" t="s">
        <v>2088</v>
      </c>
      <c r="M112" s="286">
        <v>42709</v>
      </c>
      <c r="N112" s="291" t="s">
        <v>3061</v>
      </c>
      <c r="O112" s="291" t="s">
        <v>2829</v>
      </c>
      <c r="P112" s="304"/>
      <c r="Q112" s="71" t="s">
        <v>3410</v>
      </c>
    </row>
    <row r="113" spans="1:16" ht="25.5" x14ac:dyDescent="0.2">
      <c r="A113" s="281" t="s">
        <v>3378</v>
      </c>
      <c r="B113" s="286">
        <v>42327</v>
      </c>
      <c r="C113" s="303" t="s">
        <v>3379</v>
      </c>
      <c r="D113" s="289" t="s">
        <v>2172</v>
      </c>
      <c r="E113" s="291" t="s">
        <v>2971</v>
      </c>
      <c r="F113" s="291" t="s">
        <v>3220</v>
      </c>
      <c r="G113" s="47" t="s">
        <v>2846</v>
      </c>
      <c r="H113" s="291" t="s">
        <v>486</v>
      </c>
      <c r="I113" s="291" t="s">
        <v>229</v>
      </c>
      <c r="J113" s="286">
        <v>42369</v>
      </c>
      <c r="K113" s="299" t="s">
        <v>2853</v>
      </c>
      <c r="L113" s="291" t="s">
        <v>3022</v>
      </c>
      <c r="M113" s="286">
        <v>42436</v>
      </c>
      <c r="N113" s="291" t="s">
        <v>3022</v>
      </c>
      <c r="O113" s="291" t="s">
        <v>2835</v>
      </c>
      <c r="P113" s="304"/>
    </row>
    <row r="114" spans="1:16" ht="12.75" x14ac:dyDescent="0.2">
      <c r="A114" s="281" t="s">
        <v>3380</v>
      </c>
      <c r="B114" s="286">
        <v>42333</v>
      </c>
      <c r="C114" s="303" t="s">
        <v>3381</v>
      </c>
      <c r="D114" s="289" t="s">
        <v>3382</v>
      </c>
      <c r="E114" s="291" t="s">
        <v>2971</v>
      </c>
      <c r="F114" s="291" t="s">
        <v>3220</v>
      </c>
      <c r="G114" s="47" t="s">
        <v>2880</v>
      </c>
      <c r="H114" s="291" t="s">
        <v>516</v>
      </c>
      <c r="I114" s="291" t="s">
        <v>229</v>
      </c>
      <c r="J114" s="286">
        <v>42400</v>
      </c>
      <c r="K114" s="291" t="s">
        <v>2853</v>
      </c>
      <c r="L114" s="291" t="s">
        <v>2088</v>
      </c>
      <c r="M114" s="286">
        <v>42394</v>
      </c>
      <c r="N114" s="291" t="s">
        <v>3061</v>
      </c>
      <c r="O114" s="291" t="s">
        <v>2832</v>
      </c>
      <c r="P114" s="304"/>
    </row>
    <row r="115" spans="1:16" ht="25.5" x14ac:dyDescent="0.2">
      <c r="A115" s="281" t="s">
        <v>3383</v>
      </c>
      <c r="B115" s="286">
        <v>42345</v>
      </c>
      <c r="C115" s="303" t="s">
        <v>3384</v>
      </c>
      <c r="D115" s="289" t="s">
        <v>3385</v>
      </c>
      <c r="E115" s="291" t="s">
        <v>3386</v>
      </c>
      <c r="F115" s="291" t="s">
        <v>3220</v>
      </c>
      <c r="G115" s="47" t="s">
        <v>2852</v>
      </c>
      <c r="H115" s="291" t="s">
        <v>615</v>
      </c>
      <c r="I115" s="291" t="s">
        <v>3211</v>
      </c>
      <c r="J115" s="286">
        <v>42359</v>
      </c>
      <c r="K115" s="291" t="s">
        <v>2853</v>
      </c>
      <c r="L115" s="291" t="s">
        <v>2088</v>
      </c>
      <c r="M115" s="286">
        <v>42345</v>
      </c>
      <c r="N115" s="291" t="s">
        <v>3061</v>
      </c>
      <c r="O115" s="291" t="s">
        <v>2829</v>
      </c>
      <c r="P115" s="304"/>
    </row>
    <row r="116" spans="1:16" ht="38.25" x14ac:dyDescent="0.2">
      <c r="A116" s="281" t="s">
        <v>3388</v>
      </c>
      <c r="B116" s="286">
        <v>42346</v>
      </c>
      <c r="C116" s="303" t="s">
        <v>3389</v>
      </c>
      <c r="D116" s="289" t="s">
        <v>3390</v>
      </c>
      <c r="E116" s="291" t="s">
        <v>2971</v>
      </c>
      <c r="F116" s="291" t="s">
        <v>3220</v>
      </c>
      <c r="G116" s="47" t="s">
        <v>2922</v>
      </c>
      <c r="H116" s="291" t="s">
        <v>3143</v>
      </c>
      <c r="I116" s="291" t="s">
        <v>3144</v>
      </c>
      <c r="J116" s="286">
        <v>42369</v>
      </c>
      <c r="K116" s="299" t="s">
        <v>2853</v>
      </c>
      <c r="L116" s="291" t="s">
        <v>2088</v>
      </c>
      <c r="M116" s="286">
        <v>42375</v>
      </c>
      <c r="N116" s="291" t="s">
        <v>3061</v>
      </c>
      <c r="O116" s="291" t="s">
        <v>2829</v>
      </c>
      <c r="P116" s="304" t="s">
        <v>4765</v>
      </c>
    </row>
    <row r="117" spans="1:16" ht="63.75" x14ac:dyDescent="0.2">
      <c r="A117" s="281" t="s">
        <v>3391</v>
      </c>
      <c r="B117" s="286">
        <v>42347</v>
      </c>
      <c r="C117" s="303" t="s">
        <v>3392</v>
      </c>
      <c r="D117" s="289" t="s">
        <v>3393</v>
      </c>
      <c r="E117" s="291" t="s">
        <v>2971</v>
      </c>
      <c r="F117" s="291" t="s">
        <v>3220</v>
      </c>
      <c r="G117" s="47" t="s">
        <v>2880</v>
      </c>
      <c r="H117" s="291" t="s">
        <v>516</v>
      </c>
      <c r="I117" s="291" t="s">
        <v>229</v>
      </c>
      <c r="J117" s="286">
        <v>42429</v>
      </c>
      <c r="K117" s="299" t="s">
        <v>1056</v>
      </c>
      <c r="L117" s="291" t="s">
        <v>2088</v>
      </c>
      <c r="M117" s="286" t="s">
        <v>2088</v>
      </c>
      <c r="N117" s="291" t="s">
        <v>2088</v>
      </c>
      <c r="O117" s="291" t="s">
        <v>2088</v>
      </c>
      <c r="P117" s="304"/>
    </row>
    <row r="118" spans="1:16" ht="25.5" x14ac:dyDescent="0.2">
      <c r="A118" s="281" t="s">
        <v>3394</v>
      </c>
      <c r="B118" s="286">
        <v>42347</v>
      </c>
      <c r="C118" s="234" t="s">
        <v>2574</v>
      </c>
      <c r="D118" s="306" t="s">
        <v>2575</v>
      </c>
      <c r="E118" s="291" t="s">
        <v>2971</v>
      </c>
      <c r="F118" s="291" t="s">
        <v>3220</v>
      </c>
      <c r="G118" s="47" t="s">
        <v>2922</v>
      </c>
      <c r="H118" s="291" t="s">
        <v>3144</v>
      </c>
      <c r="I118" s="291" t="s">
        <v>229</v>
      </c>
      <c r="J118" s="286">
        <v>42522</v>
      </c>
      <c r="K118" s="330" t="s">
        <v>4756</v>
      </c>
      <c r="L118" s="291" t="s">
        <v>2088</v>
      </c>
      <c r="M118" s="334" t="s">
        <v>2088</v>
      </c>
      <c r="N118" s="291" t="s">
        <v>2088</v>
      </c>
      <c r="O118" s="291" t="s">
        <v>2088</v>
      </c>
      <c r="P118" s="304"/>
    </row>
    <row r="119" spans="1:16" ht="38.25" x14ac:dyDescent="0.2">
      <c r="A119" s="281" t="s">
        <v>3396</v>
      </c>
      <c r="B119" s="286">
        <v>42352</v>
      </c>
      <c r="C119" s="308" t="s">
        <v>3397</v>
      </c>
      <c r="D119" s="309" t="s">
        <v>3398</v>
      </c>
      <c r="E119" s="291" t="s">
        <v>2971</v>
      </c>
      <c r="F119" s="291" t="s">
        <v>3220</v>
      </c>
      <c r="G119" s="292" t="s">
        <v>2880</v>
      </c>
      <c r="H119" s="291" t="s">
        <v>481</v>
      </c>
      <c r="I119" s="291" t="s">
        <v>229</v>
      </c>
      <c r="J119" s="286">
        <v>42369</v>
      </c>
      <c r="K119" s="299" t="s">
        <v>2853</v>
      </c>
      <c r="L119" s="291" t="s">
        <v>3022</v>
      </c>
      <c r="M119" s="286">
        <v>42369</v>
      </c>
      <c r="N119" s="291" t="s">
        <v>3061</v>
      </c>
      <c r="O119" s="291" t="s">
        <v>2829</v>
      </c>
      <c r="P119" s="304"/>
    </row>
    <row r="120" spans="1:16" ht="38.25" x14ac:dyDescent="0.2">
      <c r="A120" s="281" t="s">
        <v>3399</v>
      </c>
      <c r="B120" s="286">
        <v>42354</v>
      </c>
      <c r="C120" s="308" t="s">
        <v>3401</v>
      </c>
      <c r="D120" s="309" t="s">
        <v>3402</v>
      </c>
      <c r="E120" s="291" t="s">
        <v>3400</v>
      </c>
      <c r="F120" s="291" t="s">
        <v>3220</v>
      </c>
      <c r="G120" s="291" t="s">
        <v>2852</v>
      </c>
      <c r="H120" s="291" t="s">
        <v>615</v>
      </c>
      <c r="I120" s="291" t="s">
        <v>3211</v>
      </c>
      <c r="J120" s="286">
        <v>42368</v>
      </c>
      <c r="K120" s="291" t="s">
        <v>2853</v>
      </c>
      <c r="L120" s="291" t="s">
        <v>2088</v>
      </c>
      <c r="M120" s="286">
        <v>42355</v>
      </c>
      <c r="N120" s="291" t="s">
        <v>3061</v>
      </c>
      <c r="O120" s="291" t="s">
        <v>2829</v>
      </c>
      <c r="P120" s="304"/>
    </row>
    <row r="121" spans="1:16" ht="12.75" x14ac:dyDescent="0.2">
      <c r="A121" s="281" t="s">
        <v>3403</v>
      </c>
      <c r="B121" s="286">
        <v>42361</v>
      </c>
      <c r="C121" s="308" t="s">
        <v>3404</v>
      </c>
      <c r="D121" s="309" t="s">
        <v>3405</v>
      </c>
      <c r="E121" s="291" t="s">
        <v>2971</v>
      </c>
      <c r="F121" s="291" t="s">
        <v>3220</v>
      </c>
      <c r="G121" s="291" t="s">
        <v>2927</v>
      </c>
      <c r="H121" s="291" t="s">
        <v>441</v>
      </c>
      <c r="I121" s="291" t="s">
        <v>441</v>
      </c>
      <c r="J121" s="286">
        <v>42400</v>
      </c>
      <c r="K121" s="291" t="s">
        <v>2853</v>
      </c>
      <c r="L121" s="291" t="s">
        <v>2088</v>
      </c>
      <c r="M121" s="286">
        <v>42369</v>
      </c>
      <c r="N121" s="291" t="s">
        <v>3061</v>
      </c>
      <c r="O121" s="291" t="s">
        <v>2829</v>
      </c>
      <c r="P121" s="304"/>
    </row>
    <row r="122" spans="1:16" ht="12.75" customHeight="1" x14ac:dyDescent="0.2">
      <c r="A122" s="532" t="s">
        <v>3048</v>
      </c>
      <c r="B122" s="532"/>
      <c r="C122" s="532"/>
      <c r="D122" s="532"/>
      <c r="E122" s="532"/>
      <c r="F122" s="293" t="s">
        <v>2825</v>
      </c>
      <c r="G122" s="293" t="s">
        <v>2826</v>
      </c>
      <c r="H122" s="294"/>
      <c r="I122" s="294"/>
      <c r="J122" s="297"/>
      <c r="K122" s="294"/>
      <c r="L122" s="294"/>
      <c r="M122" s="297"/>
      <c r="N122" s="294"/>
      <c r="O122" s="266" t="s">
        <v>2825</v>
      </c>
      <c r="P122" s="254"/>
    </row>
    <row r="123" spans="1:16" ht="13.5" x14ac:dyDescent="0.2">
      <c r="A123" s="282"/>
      <c r="B123" s="285"/>
      <c r="C123" s="248"/>
      <c r="D123" s="248"/>
      <c r="E123" s="249"/>
      <c r="F123" s="301" t="s">
        <v>2827</v>
      </c>
      <c r="G123" s="295" t="s">
        <v>2828</v>
      </c>
      <c r="I123" s="249"/>
      <c r="J123" s="285"/>
      <c r="K123" s="249"/>
      <c r="L123" s="249"/>
      <c r="M123" s="285"/>
      <c r="N123" s="249">
        <f>COUNTIF($O$2:$O$118,O123)</f>
        <v>58</v>
      </c>
      <c r="O123" s="253" t="s">
        <v>2829</v>
      </c>
      <c r="P123" s="251"/>
    </row>
    <row r="124" spans="1:16" ht="13.5" x14ac:dyDescent="0.2">
      <c r="A124" s="282"/>
      <c r="B124" s="285"/>
      <c r="C124" s="248"/>
      <c r="D124" s="248"/>
      <c r="E124" s="249"/>
      <c r="F124" s="301" t="s">
        <v>2830</v>
      </c>
      <c r="G124" s="295" t="s">
        <v>2831</v>
      </c>
      <c r="H124" s="249"/>
      <c r="I124" s="249"/>
      <c r="J124" s="285"/>
      <c r="K124" s="249"/>
      <c r="L124" s="249"/>
      <c r="M124" s="285"/>
      <c r="N124" s="249">
        <f t="shared" ref="N124:N127" si="0">COUNTIF($O$2:$O$118,O124)</f>
        <v>25</v>
      </c>
      <c r="O124" s="253" t="s">
        <v>2832</v>
      </c>
      <c r="P124" s="251"/>
    </row>
    <row r="125" spans="1:16" ht="13.5" x14ac:dyDescent="0.2">
      <c r="A125" s="282"/>
      <c r="B125" s="285"/>
      <c r="C125" s="248"/>
      <c r="D125" s="248"/>
      <c r="E125" s="249"/>
      <c r="F125" s="301" t="s">
        <v>2833</v>
      </c>
      <c r="G125" s="295" t="s">
        <v>2834</v>
      </c>
      <c r="H125" s="249"/>
      <c r="I125" s="249"/>
      <c r="J125" s="285"/>
      <c r="K125" s="249"/>
      <c r="L125" s="249"/>
      <c r="M125" s="285"/>
      <c r="N125" s="249">
        <f t="shared" si="0"/>
        <v>14</v>
      </c>
      <c r="O125" s="253" t="s">
        <v>2835</v>
      </c>
      <c r="P125" s="251"/>
    </row>
    <row r="126" spans="1:16" ht="13.5" x14ac:dyDescent="0.2">
      <c r="A126" s="282"/>
      <c r="B126" s="285"/>
      <c r="C126" s="248"/>
      <c r="D126" s="248"/>
      <c r="E126" s="249"/>
      <c r="F126" s="295" t="s">
        <v>3220</v>
      </c>
      <c r="G126" s="295" t="s">
        <v>2836</v>
      </c>
      <c r="H126" s="249"/>
      <c r="I126" s="249"/>
      <c r="J126" s="285"/>
      <c r="K126" s="249"/>
      <c r="L126" s="249"/>
      <c r="M126" s="285"/>
      <c r="N126" s="249">
        <f t="shared" si="0"/>
        <v>7</v>
      </c>
      <c r="O126" s="253" t="s">
        <v>2837</v>
      </c>
      <c r="P126" s="251"/>
    </row>
    <row r="127" spans="1:16" ht="13.5" x14ac:dyDescent="0.2">
      <c r="A127" s="282"/>
      <c r="B127" s="285"/>
      <c r="C127" s="248"/>
      <c r="D127" s="248"/>
      <c r="E127" s="249"/>
      <c r="F127" s="295" t="s">
        <v>3226</v>
      </c>
      <c r="G127" s="295" t="s">
        <v>2838</v>
      </c>
      <c r="H127" s="249"/>
      <c r="I127" s="249"/>
      <c r="J127" s="285"/>
      <c r="K127" s="249"/>
      <c r="L127" s="249"/>
      <c r="M127" s="285"/>
      <c r="N127" s="249">
        <f t="shared" si="0"/>
        <v>9</v>
      </c>
      <c r="O127" s="253" t="s">
        <v>2839</v>
      </c>
      <c r="P127" s="251"/>
    </row>
    <row r="128" spans="1:16" ht="13.5" x14ac:dyDescent="0.2">
      <c r="A128" s="282"/>
      <c r="B128" s="285"/>
      <c r="C128" s="248"/>
      <c r="D128" s="248"/>
      <c r="E128" s="249"/>
      <c r="F128" s="295"/>
      <c r="G128" s="295" t="s">
        <v>2840</v>
      </c>
      <c r="H128" s="249"/>
      <c r="I128" s="249"/>
      <c r="J128" s="285"/>
      <c r="K128" s="249"/>
      <c r="L128" s="249"/>
      <c r="M128" s="285"/>
      <c r="N128" s="249"/>
      <c r="O128" s="249"/>
      <c r="P128" s="251"/>
    </row>
    <row r="129" spans="1:16" ht="13.5" x14ac:dyDescent="0.2">
      <c r="A129" s="282"/>
      <c r="B129" s="285"/>
      <c r="C129" s="248"/>
      <c r="D129" s="248"/>
      <c r="E129" s="249"/>
      <c r="F129" s="295"/>
      <c r="G129" s="295" t="s">
        <v>2841</v>
      </c>
      <c r="H129" s="249"/>
      <c r="I129" s="249"/>
      <c r="J129" s="285"/>
      <c r="K129" s="249"/>
      <c r="L129" s="249"/>
      <c r="M129" s="285"/>
      <c r="N129" s="249"/>
      <c r="O129" s="249"/>
      <c r="P129" s="251"/>
    </row>
    <row r="131" spans="1:16" ht="25.35" customHeight="1" x14ac:dyDescent="0.2">
      <c r="E131" s="279" t="s">
        <v>2833</v>
      </c>
      <c r="F131" s="279">
        <f>COUNTIF($F$2:$F$118,E131)</f>
        <v>54</v>
      </c>
      <c r="G131" s="279" t="s">
        <v>2852</v>
      </c>
      <c r="H131" s="307">
        <f>COUNTIF($G$2:$G$118,G131)</f>
        <v>32</v>
      </c>
      <c r="J131" s="224" t="s">
        <v>2847</v>
      </c>
      <c r="K131" s="279">
        <f>COUNTIF(K2:K121,"open")</f>
        <v>0</v>
      </c>
    </row>
    <row r="132" spans="1:16" ht="25.35" customHeight="1" x14ac:dyDescent="0.2">
      <c r="E132" s="279" t="s">
        <v>2830</v>
      </c>
      <c r="F132" s="307">
        <f t="shared" ref="F132:F135" si="1">COUNTIF($F$2:$F$118,E132)</f>
        <v>1</v>
      </c>
      <c r="G132" s="279" t="s">
        <v>3080</v>
      </c>
      <c r="H132" s="307">
        <f t="shared" ref="H132:H137" si="2">COUNTIF($G$2:$G$118,G132)</f>
        <v>1</v>
      </c>
    </row>
    <row r="133" spans="1:16" ht="25.35" customHeight="1" x14ac:dyDescent="0.2">
      <c r="E133" s="279" t="s">
        <v>2827</v>
      </c>
      <c r="F133" s="307">
        <f t="shared" si="1"/>
        <v>0</v>
      </c>
      <c r="G133" s="279" t="s">
        <v>2922</v>
      </c>
      <c r="H133" s="307">
        <f t="shared" si="2"/>
        <v>6</v>
      </c>
    </row>
    <row r="134" spans="1:16" ht="25.35" customHeight="1" x14ac:dyDescent="0.2">
      <c r="E134" s="279" t="s">
        <v>3220</v>
      </c>
      <c r="F134" s="307">
        <f t="shared" si="1"/>
        <v>61</v>
      </c>
      <c r="G134" s="279" t="s">
        <v>2972</v>
      </c>
      <c r="H134" s="307">
        <f t="shared" si="2"/>
        <v>8</v>
      </c>
    </row>
    <row r="135" spans="1:16" ht="25.35" customHeight="1" x14ac:dyDescent="0.2">
      <c r="E135" s="279" t="s">
        <v>3226</v>
      </c>
      <c r="F135" s="307">
        <f t="shared" si="1"/>
        <v>1</v>
      </c>
      <c r="G135" s="279" t="s">
        <v>2880</v>
      </c>
      <c r="H135" s="307">
        <f t="shared" si="2"/>
        <v>15</v>
      </c>
    </row>
    <row r="136" spans="1:16" ht="25.35" customHeight="1" x14ac:dyDescent="0.2">
      <c r="G136" s="279" t="s">
        <v>2927</v>
      </c>
      <c r="H136" s="307">
        <f t="shared" si="2"/>
        <v>7</v>
      </c>
    </row>
    <row r="137" spans="1:16" ht="25.35" customHeight="1" x14ac:dyDescent="0.2">
      <c r="G137" s="279" t="s">
        <v>2846</v>
      </c>
      <c r="H137" s="307">
        <f t="shared" si="2"/>
        <v>47</v>
      </c>
    </row>
    <row r="139" spans="1:16" ht="25.35" customHeight="1" x14ac:dyDescent="0.2">
      <c r="F139" s="307">
        <f>SUM(F131:F137)</f>
        <v>117</v>
      </c>
      <c r="H139" s="279">
        <f>SUM(H131:H137)</f>
        <v>116</v>
      </c>
    </row>
  </sheetData>
  <autoFilter ref="A1:Q129" xr:uid="{00000000-0009-0000-0000-000007000000}"/>
  <dataConsolidate/>
  <mergeCells count="1">
    <mergeCell ref="A122:E122"/>
  </mergeCells>
  <pageMargins left="0.7" right="0.7" top="0.75" bottom="0.75" header="0.3" footer="0.3"/>
  <pageSetup scale="45"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P79"/>
  <sheetViews>
    <sheetView zoomScale="90" zoomScaleNormal="90" workbookViewId="0">
      <pane xSplit="2" ySplit="1" topLeftCell="C56" activePane="bottomRight" state="frozen"/>
      <selection pane="topRight" activeCell="C1" sqref="C1"/>
      <selection pane="bottomLeft" activeCell="A2" sqref="A2"/>
      <selection pane="bottomRight" activeCell="E1" sqref="E1"/>
    </sheetView>
  </sheetViews>
  <sheetFormatPr defaultRowHeight="13.5" x14ac:dyDescent="0.2"/>
  <cols>
    <col min="1" max="1" width="13" style="247" customWidth="1"/>
    <col min="2" max="2" width="14" style="262" customWidth="1"/>
    <col min="3" max="3" width="35.5703125" style="255" customWidth="1"/>
    <col min="4" max="4" width="43.42578125" style="255" customWidth="1"/>
    <col min="5" max="5" width="21.42578125" style="249" customWidth="1"/>
    <col min="6" max="6" width="14.5703125" style="249" customWidth="1"/>
    <col min="7" max="7" width="19.42578125" style="249" customWidth="1"/>
    <col min="8" max="8" width="14.5703125" style="249" customWidth="1"/>
    <col min="9" max="9" width="10.5703125" style="249" customWidth="1"/>
    <col min="10" max="10" width="12.42578125" style="250" customWidth="1"/>
    <col min="11" max="11" width="10.5703125" style="249" customWidth="1"/>
    <col min="12" max="12" width="13.42578125" style="249" customWidth="1"/>
    <col min="13" max="13" width="10.5703125" style="262" customWidth="1"/>
    <col min="14" max="14" width="9.5703125" style="249" customWidth="1"/>
    <col min="15" max="15" width="12.42578125" style="249" customWidth="1"/>
    <col min="16" max="16" width="22.5703125" style="251" customWidth="1"/>
  </cols>
  <sheetData>
    <row r="1" spans="1:16" ht="40.5" x14ac:dyDescent="0.2">
      <c r="A1" s="258" t="s">
        <v>2808</v>
      </c>
      <c r="B1" s="261" t="s">
        <v>2809</v>
      </c>
      <c r="C1" s="258" t="s">
        <v>2810</v>
      </c>
      <c r="D1" s="258" t="s">
        <v>2811</v>
      </c>
      <c r="E1" s="258" t="s">
        <v>2812</v>
      </c>
      <c r="F1" s="258" t="s">
        <v>2813</v>
      </c>
      <c r="G1" s="258" t="s">
        <v>2814</v>
      </c>
      <c r="H1" s="258" t="s">
        <v>2815</v>
      </c>
      <c r="I1" s="258" t="s">
        <v>2816</v>
      </c>
      <c r="J1" s="259" t="s">
        <v>2817</v>
      </c>
      <c r="K1" s="258" t="s">
        <v>2818</v>
      </c>
      <c r="L1" s="260" t="s">
        <v>2819</v>
      </c>
      <c r="M1" s="263" t="s">
        <v>2820</v>
      </c>
      <c r="N1" s="260" t="s">
        <v>2821</v>
      </c>
      <c r="O1" s="260" t="s">
        <v>2822</v>
      </c>
      <c r="P1" s="92" t="s">
        <v>2823</v>
      </c>
    </row>
    <row r="2" spans="1:16" s="257" customFormat="1" x14ac:dyDescent="0.2">
      <c r="A2" s="247" t="s">
        <v>2842</v>
      </c>
      <c r="B2" s="262" t="s">
        <v>2843</v>
      </c>
      <c r="C2" s="248" t="s">
        <v>2844</v>
      </c>
      <c r="D2" s="248" t="s">
        <v>2845</v>
      </c>
      <c r="E2" s="249" t="s">
        <v>1139</v>
      </c>
      <c r="F2" s="249" t="s">
        <v>2833</v>
      </c>
      <c r="G2" s="249" t="s">
        <v>2846</v>
      </c>
      <c r="H2" s="249" t="s">
        <v>999</v>
      </c>
      <c r="I2" s="249" t="s">
        <v>441</v>
      </c>
      <c r="J2" s="250">
        <v>41759</v>
      </c>
      <c r="K2" s="249" t="s">
        <v>2853</v>
      </c>
      <c r="L2" s="249" t="s">
        <v>3022</v>
      </c>
      <c r="M2" s="262">
        <v>41974</v>
      </c>
      <c r="N2" s="249" t="s">
        <v>2751</v>
      </c>
      <c r="O2" s="249" t="s">
        <v>2837</v>
      </c>
      <c r="P2" s="251"/>
    </row>
    <row r="3" spans="1:16" s="257" customFormat="1" x14ac:dyDescent="0.2">
      <c r="A3" s="247" t="s">
        <v>2848</v>
      </c>
      <c r="B3" s="262" t="s">
        <v>2854</v>
      </c>
      <c r="C3" s="248" t="s">
        <v>2849</v>
      </c>
      <c r="D3" s="248" t="s">
        <v>2850</v>
      </c>
      <c r="E3" s="249" t="s">
        <v>2851</v>
      </c>
      <c r="F3" s="249" t="s">
        <v>2833</v>
      </c>
      <c r="G3" s="249" t="s">
        <v>2852</v>
      </c>
      <c r="H3" s="249" t="s">
        <v>2106</v>
      </c>
      <c r="I3" s="249" t="s">
        <v>229</v>
      </c>
      <c r="J3" s="250">
        <v>41670</v>
      </c>
      <c r="K3" s="249" t="s">
        <v>2853</v>
      </c>
      <c r="L3" s="249" t="s">
        <v>1139</v>
      </c>
      <c r="M3" s="262">
        <v>41646</v>
      </c>
      <c r="N3" s="249" t="s">
        <v>2750</v>
      </c>
      <c r="O3" s="249" t="s">
        <v>2829</v>
      </c>
      <c r="P3" s="251"/>
    </row>
    <row r="4" spans="1:16" s="257" customFormat="1" x14ac:dyDescent="0.2">
      <c r="A4" s="247" t="s">
        <v>2855</v>
      </c>
      <c r="B4" s="262" t="s">
        <v>2856</v>
      </c>
      <c r="C4" s="248" t="s">
        <v>2857</v>
      </c>
      <c r="D4" s="248" t="s">
        <v>2858</v>
      </c>
      <c r="E4" s="249" t="s">
        <v>1139</v>
      </c>
      <c r="F4" s="249" t="s">
        <v>2833</v>
      </c>
      <c r="G4" s="249" t="s">
        <v>2846</v>
      </c>
      <c r="H4" s="249" t="s">
        <v>1339</v>
      </c>
      <c r="I4" s="249" t="s">
        <v>999</v>
      </c>
      <c r="J4" s="250">
        <v>41729</v>
      </c>
      <c r="K4" s="249" t="s">
        <v>2853</v>
      </c>
      <c r="L4" s="249" t="s">
        <v>1139</v>
      </c>
      <c r="M4" s="262">
        <v>41667</v>
      </c>
      <c r="N4" s="249" t="s">
        <v>2750</v>
      </c>
      <c r="O4" s="249" t="s">
        <v>2829</v>
      </c>
      <c r="P4" s="251"/>
    </row>
    <row r="5" spans="1:16" x14ac:dyDescent="0.2">
      <c r="A5" s="247" t="s">
        <v>2859</v>
      </c>
      <c r="B5" s="262" t="s">
        <v>2860</v>
      </c>
      <c r="C5" s="248" t="s">
        <v>2861</v>
      </c>
      <c r="D5" s="248" t="s">
        <v>2858</v>
      </c>
      <c r="E5" s="249" t="s">
        <v>1139</v>
      </c>
      <c r="F5" s="249" t="s">
        <v>2833</v>
      </c>
      <c r="G5" s="249" t="s">
        <v>2846</v>
      </c>
      <c r="H5" s="249" t="s">
        <v>486</v>
      </c>
      <c r="I5" s="249" t="s">
        <v>999</v>
      </c>
      <c r="J5" s="250">
        <v>41759</v>
      </c>
      <c r="K5" s="249" t="s">
        <v>2853</v>
      </c>
      <c r="L5" s="249" t="s">
        <v>1139</v>
      </c>
      <c r="M5" s="262">
        <v>41695</v>
      </c>
      <c r="N5" s="249" t="s">
        <v>2750</v>
      </c>
      <c r="O5" s="249" t="s">
        <v>2829</v>
      </c>
    </row>
    <row r="6" spans="1:16" ht="27" x14ac:dyDescent="0.2">
      <c r="A6" s="247" t="s">
        <v>2863</v>
      </c>
      <c r="B6" s="262" t="s">
        <v>2864</v>
      </c>
      <c r="C6" s="248" t="s">
        <v>2865</v>
      </c>
      <c r="D6" s="248" t="s">
        <v>2866</v>
      </c>
      <c r="E6" s="249" t="s">
        <v>1139</v>
      </c>
      <c r="F6" s="249" t="s">
        <v>2833</v>
      </c>
      <c r="G6" s="249" t="s">
        <v>2880</v>
      </c>
      <c r="H6" s="249" t="s">
        <v>685</v>
      </c>
      <c r="I6" s="249" t="s">
        <v>441</v>
      </c>
      <c r="J6" s="250">
        <v>41789</v>
      </c>
      <c r="K6" s="249" t="s">
        <v>2853</v>
      </c>
      <c r="L6" s="249" t="s">
        <v>3022</v>
      </c>
      <c r="M6" s="262">
        <v>42228</v>
      </c>
      <c r="N6" s="249" t="s">
        <v>2751</v>
      </c>
      <c r="O6" s="249" t="s">
        <v>2839</v>
      </c>
    </row>
    <row r="7" spans="1:16" x14ac:dyDescent="0.2">
      <c r="A7" s="247" t="s">
        <v>2867</v>
      </c>
      <c r="B7" s="262">
        <v>41677</v>
      </c>
      <c r="C7" s="248" t="s">
        <v>2868</v>
      </c>
      <c r="D7" s="248" t="s">
        <v>2850</v>
      </c>
      <c r="E7" s="249" t="s">
        <v>2869</v>
      </c>
      <c r="F7" s="249" t="s">
        <v>2833</v>
      </c>
      <c r="G7" s="249" t="s">
        <v>2852</v>
      </c>
      <c r="H7" s="249" t="s">
        <v>2067</v>
      </c>
      <c r="I7" s="249" t="s">
        <v>229</v>
      </c>
      <c r="J7" s="250">
        <v>41717</v>
      </c>
      <c r="K7" s="249" t="s">
        <v>2853</v>
      </c>
      <c r="L7" s="249" t="s">
        <v>1139</v>
      </c>
      <c r="M7" s="262">
        <v>41719</v>
      </c>
      <c r="N7" s="249" t="s">
        <v>2751</v>
      </c>
      <c r="O7" s="249" t="s">
        <v>2832</v>
      </c>
    </row>
    <row r="8" spans="1:16" x14ac:dyDescent="0.2">
      <c r="A8" s="247" t="s">
        <v>2870</v>
      </c>
      <c r="B8" s="262">
        <v>41680</v>
      </c>
      <c r="C8" s="248" t="s">
        <v>2881</v>
      </c>
      <c r="D8" s="248" t="s">
        <v>2858</v>
      </c>
      <c r="E8" s="249" t="s">
        <v>1139</v>
      </c>
      <c r="F8" s="249" t="s">
        <v>2833</v>
      </c>
      <c r="G8" s="249" t="s">
        <v>2846</v>
      </c>
      <c r="H8" s="249" t="s">
        <v>486</v>
      </c>
      <c r="I8" s="249" t="s">
        <v>999</v>
      </c>
      <c r="J8" s="250">
        <v>41759</v>
      </c>
      <c r="K8" s="249" t="s">
        <v>2853</v>
      </c>
      <c r="L8" s="249" t="s">
        <v>3022</v>
      </c>
      <c r="M8" s="262">
        <v>41984</v>
      </c>
      <c r="N8" s="249" t="s">
        <v>2751</v>
      </c>
      <c r="O8" s="249" t="s">
        <v>2837</v>
      </c>
    </row>
    <row r="9" spans="1:16" x14ac:dyDescent="0.2">
      <c r="A9" s="247" t="s">
        <v>2871</v>
      </c>
      <c r="B9" s="262">
        <v>41680</v>
      </c>
      <c r="C9" s="248" t="s">
        <v>2882</v>
      </c>
      <c r="D9" s="248" t="s">
        <v>2858</v>
      </c>
      <c r="E9" s="249" t="s">
        <v>1139</v>
      </c>
      <c r="F9" s="249" t="s">
        <v>2833</v>
      </c>
      <c r="G9" s="249" t="s">
        <v>2846</v>
      </c>
      <c r="H9" s="249" t="s">
        <v>486</v>
      </c>
      <c r="I9" s="249" t="s">
        <v>999</v>
      </c>
      <c r="J9" s="250">
        <v>41759</v>
      </c>
      <c r="K9" s="249" t="s">
        <v>2853</v>
      </c>
      <c r="L9" s="249" t="s">
        <v>1139</v>
      </c>
      <c r="M9" s="262">
        <v>41746</v>
      </c>
      <c r="N9" s="249" t="s">
        <v>2750</v>
      </c>
      <c r="O9" s="249" t="s">
        <v>2832</v>
      </c>
    </row>
    <row r="10" spans="1:16" x14ac:dyDescent="0.2">
      <c r="A10" s="247" t="s">
        <v>2872</v>
      </c>
      <c r="B10" s="262">
        <v>41680</v>
      </c>
      <c r="C10" s="248" t="s">
        <v>2873</v>
      </c>
      <c r="D10" s="248" t="s">
        <v>2874</v>
      </c>
      <c r="E10" s="249" t="s">
        <v>2875</v>
      </c>
      <c r="F10" s="249" t="s">
        <v>2833</v>
      </c>
      <c r="G10" s="249" t="s">
        <v>2852</v>
      </c>
      <c r="H10" s="249" t="s">
        <v>2106</v>
      </c>
      <c r="I10" s="249" t="s">
        <v>229</v>
      </c>
      <c r="J10" s="250">
        <v>41683</v>
      </c>
      <c r="K10" s="249" t="s">
        <v>2853</v>
      </c>
      <c r="L10" s="249" t="s">
        <v>1139</v>
      </c>
      <c r="M10" s="262">
        <v>41680</v>
      </c>
      <c r="N10" s="249" t="s">
        <v>2750</v>
      </c>
      <c r="O10" s="249" t="s">
        <v>2829</v>
      </c>
    </row>
    <row r="11" spans="1:16" x14ac:dyDescent="0.2">
      <c r="A11" s="247" t="s">
        <v>2876</v>
      </c>
      <c r="B11" s="262">
        <v>41682</v>
      </c>
      <c r="C11" s="248" t="s">
        <v>2877</v>
      </c>
      <c r="D11" s="248" t="s">
        <v>2878</v>
      </c>
      <c r="E11" s="249" t="s">
        <v>2879</v>
      </c>
      <c r="F11" s="249" t="s">
        <v>2833</v>
      </c>
      <c r="G11" s="249" t="s">
        <v>2852</v>
      </c>
      <c r="H11" s="249" t="s">
        <v>727</v>
      </c>
      <c r="I11" s="249" t="s">
        <v>229</v>
      </c>
      <c r="J11" s="250">
        <v>41688</v>
      </c>
      <c r="K11" s="249" t="s">
        <v>2853</v>
      </c>
      <c r="L11" s="249" t="s">
        <v>2912</v>
      </c>
      <c r="M11" s="262">
        <v>41690</v>
      </c>
      <c r="N11" s="249" t="s">
        <v>2751</v>
      </c>
      <c r="O11" s="249" t="s">
        <v>2829</v>
      </c>
      <c r="P11" s="251" t="s">
        <v>2913</v>
      </c>
    </row>
    <row r="12" spans="1:16" x14ac:dyDescent="0.2">
      <c r="A12" s="247" t="s">
        <v>2883</v>
      </c>
      <c r="B12" s="262">
        <v>41691</v>
      </c>
      <c r="C12" s="248" t="s">
        <v>2884</v>
      </c>
      <c r="D12" s="248" t="s">
        <v>2885</v>
      </c>
      <c r="E12" s="249" t="s">
        <v>1139</v>
      </c>
      <c r="F12" s="249" t="s">
        <v>2833</v>
      </c>
      <c r="G12" s="249" t="s">
        <v>2846</v>
      </c>
      <c r="H12" s="249" t="s">
        <v>2282</v>
      </c>
      <c r="I12" s="249" t="s">
        <v>999</v>
      </c>
      <c r="J12" s="250">
        <v>41882</v>
      </c>
      <c r="K12" s="249" t="s">
        <v>2853</v>
      </c>
      <c r="L12" s="249" t="s">
        <v>2912</v>
      </c>
      <c r="M12" s="262">
        <v>42046</v>
      </c>
      <c r="N12" s="249" t="s">
        <v>2751</v>
      </c>
      <c r="O12" s="249" t="s">
        <v>2837</v>
      </c>
    </row>
    <row r="13" spans="1:16" x14ac:dyDescent="0.2">
      <c r="A13" s="247" t="s">
        <v>2886</v>
      </c>
      <c r="B13" s="262">
        <v>41696</v>
      </c>
      <c r="C13" s="248" t="s">
        <v>2887</v>
      </c>
      <c r="D13" s="248" t="s">
        <v>2858</v>
      </c>
      <c r="E13" s="249" t="s">
        <v>1139</v>
      </c>
      <c r="F13" s="249" t="s">
        <v>2833</v>
      </c>
      <c r="G13" s="249" t="s">
        <v>2846</v>
      </c>
      <c r="H13" s="249" t="s">
        <v>727</v>
      </c>
      <c r="I13" s="249" t="s">
        <v>999</v>
      </c>
      <c r="J13" s="250">
        <v>41912</v>
      </c>
      <c r="K13" s="249" t="s">
        <v>2853</v>
      </c>
      <c r="L13" s="249" t="s">
        <v>2912</v>
      </c>
      <c r="M13" s="262">
        <v>42003</v>
      </c>
      <c r="N13" s="249" t="s">
        <v>2751</v>
      </c>
      <c r="O13" s="249" t="s">
        <v>2837</v>
      </c>
    </row>
    <row r="14" spans="1:16" x14ac:dyDescent="0.2">
      <c r="A14" s="247" t="s">
        <v>2888</v>
      </c>
      <c r="B14" s="262">
        <v>41698</v>
      </c>
      <c r="C14" s="248" t="s">
        <v>2889</v>
      </c>
      <c r="D14" s="248" t="s">
        <v>2890</v>
      </c>
      <c r="E14" s="249" t="s">
        <v>1139</v>
      </c>
      <c r="F14" s="249" t="s">
        <v>2833</v>
      </c>
      <c r="G14" s="249" t="s">
        <v>2846</v>
      </c>
      <c r="H14" s="249" t="s">
        <v>2106</v>
      </c>
      <c r="I14" s="249" t="s">
        <v>229</v>
      </c>
      <c r="J14" s="250">
        <v>41790</v>
      </c>
      <c r="K14" s="249" t="s">
        <v>2853</v>
      </c>
      <c r="L14" s="249" t="s">
        <v>1139</v>
      </c>
      <c r="M14" s="262">
        <v>41760</v>
      </c>
      <c r="N14" s="249" t="s">
        <v>2750</v>
      </c>
      <c r="O14" s="249" t="s">
        <v>2832</v>
      </c>
    </row>
    <row r="15" spans="1:16" x14ac:dyDescent="0.2">
      <c r="A15" s="247" t="s">
        <v>2891</v>
      </c>
      <c r="B15" s="262">
        <v>41704</v>
      </c>
      <c r="C15" s="248" t="s">
        <v>2893</v>
      </c>
      <c r="D15" s="248" t="s">
        <v>2858</v>
      </c>
      <c r="E15" s="249" t="s">
        <v>1139</v>
      </c>
      <c r="F15" s="249" t="s">
        <v>2833</v>
      </c>
      <c r="G15" s="249" t="s">
        <v>2846</v>
      </c>
      <c r="H15" s="249" t="s">
        <v>2106</v>
      </c>
      <c r="I15" s="249" t="s">
        <v>999</v>
      </c>
      <c r="J15" s="250">
        <v>41820</v>
      </c>
      <c r="K15" s="249" t="s">
        <v>2853</v>
      </c>
      <c r="L15" s="249" t="s">
        <v>1139</v>
      </c>
      <c r="M15" s="262">
        <v>41760</v>
      </c>
      <c r="N15" s="249" t="s">
        <v>2750</v>
      </c>
      <c r="O15" s="249" t="s">
        <v>2832</v>
      </c>
    </row>
    <row r="16" spans="1:16" x14ac:dyDescent="0.2">
      <c r="A16" s="247" t="s">
        <v>2892</v>
      </c>
      <c r="B16" s="262">
        <v>41704</v>
      </c>
      <c r="C16" s="248" t="s">
        <v>2894</v>
      </c>
      <c r="D16" s="248" t="s">
        <v>2858</v>
      </c>
      <c r="E16" s="249" t="s">
        <v>1139</v>
      </c>
      <c r="F16" s="249" t="s">
        <v>2833</v>
      </c>
      <c r="G16" s="249" t="s">
        <v>2846</v>
      </c>
      <c r="H16" s="249" t="s">
        <v>2106</v>
      </c>
      <c r="I16" s="249" t="s">
        <v>999</v>
      </c>
      <c r="J16" s="250">
        <v>41943</v>
      </c>
      <c r="K16" s="249" t="s">
        <v>2853</v>
      </c>
      <c r="L16" s="249" t="s">
        <v>2912</v>
      </c>
      <c r="M16" s="262">
        <v>42111</v>
      </c>
      <c r="N16" s="249" t="s">
        <v>2751</v>
      </c>
      <c r="O16" s="249" t="s">
        <v>2839</v>
      </c>
    </row>
    <row r="17" spans="1:15" x14ac:dyDescent="0.2">
      <c r="A17" s="247" t="s">
        <v>2895</v>
      </c>
      <c r="B17" s="262">
        <v>41708</v>
      </c>
      <c r="C17" s="248" t="s">
        <v>2900</v>
      </c>
      <c r="D17" s="248" t="s">
        <v>2858</v>
      </c>
      <c r="E17" s="249" t="s">
        <v>1139</v>
      </c>
      <c r="F17" s="249" t="s">
        <v>2833</v>
      </c>
      <c r="G17" s="249" t="s">
        <v>2846</v>
      </c>
      <c r="H17" s="249" t="s">
        <v>486</v>
      </c>
      <c r="I17" s="249" t="s">
        <v>999</v>
      </c>
      <c r="J17" s="250">
        <v>42004</v>
      </c>
      <c r="K17" s="249" t="s">
        <v>2853</v>
      </c>
      <c r="L17" s="249" t="s">
        <v>1139</v>
      </c>
      <c r="M17" s="262">
        <v>41816</v>
      </c>
      <c r="N17" s="249" t="s">
        <v>2750</v>
      </c>
      <c r="O17" s="249" t="s">
        <v>2835</v>
      </c>
    </row>
    <row r="18" spans="1:15" x14ac:dyDescent="0.2">
      <c r="A18" s="247" t="s">
        <v>2896</v>
      </c>
      <c r="B18" s="262">
        <v>41708</v>
      </c>
      <c r="C18" s="248" t="s">
        <v>2901</v>
      </c>
      <c r="D18" s="248" t="s">
        <v>2858</v>
      </c>
      <c r="E18" s="249" t="s">
        <v>1139</v>
      </c>
      <c r="F18" s="249" t="s">
        <v>2833</v>
      </c>
      <c r="G18" s="249" t="s">
        <v>2846</v>
      </c>
      <c r="H18" s="249" t="s">
        <v>486</v>
      </c>
      <c r="I18" s="249" t="s">
        <v>999</v>
      </c>
      <c r="J18" s="250">
        <v>42004</v>
      </c>
      <c r="K18" s="249" t="s">
        <v>2853</v>
      </c>
      <c r="L18" s="249" t="s">
        <v>2912</v>
      </c>
      <c r="M18" s="262">
        <v>42485</v>
      </c>
      <c r="N18" s="249" t="s">
        <v>2751</v>
      </c>
      <c r="O18" s="249" t="s">
        <v>2839</v>
      </c>
    </row>
    <row r="19" spans="1:15" x14ac:dyDescent="0.2">
      <c r="A19" s="247" t="s">
        <v>2897</v>
      </c>
      <c r="B19" s="262">
        <v>41708</v>
      </c>
      <c r="C19" s="248" t="s">
        <v>2902</v>
      </c>
      <c r="D19" s="248" t="s">
        <v>2858</v>
      </c>
      <c r="E19" s="249" t="s">
        <v>1139</v>
      </c>
      <c r="F19" s="249" t="s">
        <v>2833</v>
      </c>
      <c r="G19" s="249" t="s">
        <v>2846</v>
      </c>
      <c r="H19" s="249" t="s">
        <v>486</v>
      </c>
      <c r="I19" s="249" t="s">
        <v>999</v>
      </c>
      <c r="J19" s="250">
        <v>42004</v>
      </c>
      <c r="K19" s="249" t="s">
        <v>2853</v>
      </c>
      <c r="L19" s="249" t="s">
        <v>2912</v>
      </c>
      <c r="M19" s="262">
        <v>42124</v>
      </c>
      <c r="N19" s="249" t="s">
        <v>2751</v>
      </c>
      <c r="O19" s="249" t="s">
        <v>2839</v>
      </c>
    </row>
    <row r="20" spans="1:15" x14ac:dyDescent="0.2">
      <c r="A20" s="247" t="s">
        <v>2898</v>
      </c>
      <c r="B20" s="262">
        <v>41708</v>
      </c>
      <c r="C20" s="248" t="s">
        <v>2903</v>
      </c>
      <c r="D20" s="248" t="s">
        <v>2858</v>
      </c>
      <c r="E20" s="249" t="s">
        <v>1139</v>
      </c>
      <c r="F20" s="249" t="s">
        <v>2833</v>
      </c>
      <c r="G20" s="249" t="s">
        <v>2846</v>
      </c>
      <c r="H20" s="249" t="s">
        <v>486</v>
      </c>
      <c r="I20" s="249" t="s">
        <v>999</v>
      </c>
      <c r="J20" s="250">
        <v>42004</v>
      </c>
      <c r="K20" s="249" t="s">
        <v>2853</v>
      </c>
      <c r="L20" s="249" t="s">
        <v>2912</v>
      </c>
      <c r="M20" s="262">
        <v>42153</v>
      </c>
      <c r="N20" s="249" t="s">
        <v>2751</v>
      </c>
      <c r="O20" s="249" t="s">
        <v>2839</v>
      </c>
    </row>
    <row r="21" spans="1:15" ht="27" x14ac:dyDescent="0.2">
      <c r="A21" s="247" t="s">
        <v>2899</v>
      </c>
      <c r="B21" s="262">
        <v>41708</v>
      </c>
      <c r="C21" s="248" t="s">
        <v>2904</v>
      </c>
      <c r="D21" s="248" t="s">
        <v>2910</v>
      </c>
      <c r="E21" s="249" t="s">
        <v>1139</v>
      </c>
      <c r="F21" s="249" t="s">
        <v>2833</v>
      </c>
      <c r="G21" s="249" t="s">
        <v>2846</v>
      </c>
      <c r="H21" s="249" t="s">
        <v>486</v>
      </c>
      <c r="I21" s="249" t="s">
        <v>999</v>
      </c>
      <c r="J21" s="250">
        <v>41851</v>
      </c>
      <c r="K21" s="249" t="s">
        <v>2853</v>
      </c>
      <c r="L21" s="249" t="s">
        <v>1139</v>
      </c>
      <c r="M21" s="262">
        <v>41796</v>
      </c>
      <c r="N21" s="249" t="s">
        <v>2750</v>
      </c>
      <c r="O21" s="249" t="s">
        <v>2832</v>
      </c>
    </row>
    <row r="22" spans="1:15" ht="27" x14ac:dyDescent="0.2">
      <c r="A22" s="247" t="s">
        <v>2906</v>
      </c>
      <c r="B22" s="262">
        <v>41709</v>
      </c>
      <c r="C22" s="248" t="s">
        <v>2908</v>
      </c>
      <c r="D22" s="248" t="s">
        <v>2909</v>
      </c>
      <c r="E22" s="249" t="s">
        <v>1139</v>
      </c>
      <c r="F22" s="249" t="s">
        <v>2833</v>
      </c>
      <c r="G22" s="249" t="s">
        <v>2846</v>
      </c>
      <c r="H22" s="249" t="s">
        <v>727</v>
      </c>
      <c r="I22" s="249" t="s">
        <v>999</v>
      </c>
      <c r="J22" s="250">
        <v>42004</v>
      </c>
      <c r="K22" s="249" t="s">
        <v>2853</v>
      </c>
      <c r="L22" s="249" t="s">
        <v>2912</v>
      </c>
      <c r="M22" s="262">
        <v>42255</v>
      </c>
      <c r="N22" s="249" t="s">
        <v>2751</v>
      </c>
      <c r="O22" s="249" t="s">
        <v>2839</v>
      </c>
    </row>
    <row r="23" spans="1:15" x14ac:dyDescent="0.2">
      <c r="A23" s="247" t="s">
        <v>2907</v>
      </c>
      <c r="B23" s="262">
        <v>41709</v>
      </c>
      <c r="C23" s="248" t="s">
        <v>2911</v>
      </c>
      <c r="D23" s="248" t="s">
        <v>2858</v>
      </c>
      <c r="E23" s="249" t="s">
        <v>1139</v>
      </c>
      <c r="F23" s="249" t="s">
        <v>2833</v>
      </c>
      <c r="G23" s="249" t="s">
        <v>2846</v>
      </c>
      <c r="H23" s="249" t="s">
        <v>727</v>
      </c>
      <c r="I23" s="249" t="s">
        <v>999</v>
      </c>
      <c r="J23" s="250">
        <v>42004</v>
      </c>
      <c r="K23" s="249" t="s">
        <v>2853</v>
      </c>
      <c r="L23" s="249" t="s">
        <v>2912</v>
      </c>
      <c r="M23" s="262">
        <v>42500</v>
      </c>
      <c r="N23" s="249" t="s">
        <v>2751</v>
      </c>
      <c r="O23" s="249" t="s">
        <v>2839</v>
      </c>
    </row>
    <row r="24" spans="1:15" ht="27" x14ac:dyDescent="0.2">
      <c r="A24" s="247" t="s">
        <v>2914</v>
      </c>
      <c r="B24" s="262">
        <v>41709</v>
      </c>
      <c r="C24" s="248" t="s">
        <v>2915</v>
      </c>
      <c r="D24" s="248" t="s">
        <v>2916</v>
      </c>
      <c r="E24" s="249" t="s">
        <v>2917</v>
      </c>
      <c r="F24" s="249" t="s">
        <v>2830</v>
      </c>
      <c r="G24" s="249" t="s">
        <v>2852</v>
      </c>
      <c r="H24" s="249" t="s">
        <v>486</v>
      </c>
      <c r="I24" s="249" t="s">
        <v>229</v>
      </c>
      <c r="J24" s="250">
        <v>41759</v>
      </c>
      <c r="K24" s="249" t="s">
        <v>2853</v>
      </c>
      <c r="L24" s="249" t="s">
        <v>1139</v>
      </c>
      <c r="M24" s="262">
        <v>41712</v>
      </c>
      <c r="N24" s="249" t="s">
        <v>2750</v>
      </c>
      <c r="O24" s="249" t="s">
        <v>2829</v>
      </c>
    </row>
    <row r="25" spans="1:15" x14ac:dyDescent="0.2">
      <c r="A25" s="247" t="s">
        <v>2919</v>
      </c>
      <c r="B25" s="262">
        <v>41709</v>
      </c>
      <c r="C25" s="248" t="s">
        <v>2918</v>
      </c>
      <c r="D25" s="248" t="s">
        <v>2916</v>
      </c>
      <c r="E25" s="249" t="s">
        <v>2917</v>
      </c>
      <c r="F25" s="249" t="s">
        <v>2833</v>
      </c>
      <c r="G25" s="249" t="s">
        <v>2852</v>
      </c>
      <c r="H25" s="249" t="s">
        <v>486</v>
      </c>
      <c r="I25" s="249" t="s">
        <v>229</v>
      </c>
      <c r="J25" s="250">
        <v>41759</v>
      </c>
      <c r="K25" s="249" t="s">
        <v>2853</v>
      </c>
      <c r="L25" s="249" t="s">
        <v>2088</v>
      </c>
      <c r="M25" s="262">
        <v>41729</v>
      </c>
      <c r="N25" s="249" t="s">
        <v>2750</v>
      </c>
      <c r="O25" s="249" t="s">
        <v>2829</v>
      </c>
    </row>
    <row r="26" spans="1:15" ht="54" x14ac:dyDescent="0.2">
      <c r="A26" s="247" t="s">
        <v>2920</v>
      </c>
      <c r="B26" s="262">
        <v>41710</v>
      </c>
      <c r="C26" s="248" t="s">
        <v>2921</v>
      </c>
      <c r="D26" s="248" t="s">
        <v>2923</v>
      </c>
      <c r="E26" s="249" t="s">
        <v>1139</v>
      </c>
      <c r="F26" s="249" t="s">
        <v>2833</v>
      </c>
      <c r="G26" s="249" t="s">
        <v>2922</v>
      </c>
      <c r="H26" s="249" t="s">
        <v>794</v>
      </c>
      <c r="I26" s="249" t="s">
        <v>229</v>
      </c>
      <c r="J26" s="250">
        <v>41710</v>
      </c>
      <c r="K26" s="249" t="s">
        <v>2853</v>
      </c>
      <c r="L26" s="249" t="s">
        <v>2088</v>
      </c>
      <c r="M26" s="262">
        <v>41710</v>
      </c>
      <c r="N26" s="249" t="s">
        <v>2750</v>
      </c>
      <c r="O26" s="249" t="s">
        <v>2829</v>
      </c>
    </row>
    <row r="27" spans="1:15" ht="54" x14ac:dyDescent="0.2">
      <c r="A27" s="247" t="s">
        <v>2924</v>
      </c>
      <c r="B27" s="262">
        <v>41710</v>
      </c>
      <c r="C27" s="248" t="s">
        <v>2925</v>
      </c>
      <c r="D27" s="248" t="s">
        <v>2926</v>
      </c>
      <c r="E27" s="249" t="s">
        <v>2917</v>
      </c>
      <c r="F27" s="249" t="s">
        <v>2830</v>
      </c>
      <c r="G27" s="249" t="s">
        <v>2927</v>
      </c>
      <c r="H27" s="249" t="s">
        <v>486</v>
      </c>
      <c r="I27" s="249" t="s">
        <v>229</v>
      </c>
      <c r="J27" s="250">
        <v>41790</v>
      </c>
      <c r="K27" s="249" t="s">
        <v>2853</v>
      </c>
      <c r="L27" s="249" t="s">
        <v>2088</v>
      </c>
      <c r="M27" s="262">
        <v>41820</v>
      </c>
      <c r="N27" s="249" t="s">
        <v>2751</v>
      </c>
      <c r="O27" s="249" t="s">
        <v>2835</v>
      </c>
    </row>
    <row r="28" spans="1:15" x14ac:dyDescent="0.2">
      <c r="A28" s="247" t="s">
        <v>2931</v>
      </c>
      <c r="B28" s="262">
        <v>41711</v>
      </c>
      <c r="C28" s="248" t="s">
        <v>2932</v>
      </c>
      <c r="D28" s="248" t="s">
        <v>2858</v>
      </c>
      <c r="E28" s="249" t="s">
        <v>1139</v>
      </c>
      <c r="F28" s="249" t="s">
        <v>2833</v>
      </c>
      <c r="G28" s="249" t="s">
        <v>2846</v>
      </c>
      <c r="H28" s="249" t="s">
        <v>1339</v>
      </c>
      <c r="I28" s="249" t="s">
        <v>999</v>
      </c>
      <c r="J28" s="250">
        <v>42004</v>
      </c>
      <c r="K28" s="249" t="s">
        <v>2853</v>
      </c>
      <c r="L28" s="249" t="s">
        <v>2088</v>
      </c>
      <c r="M28" s="262">
        <v>41985</v>
      </c>
      <c r="N28" s="249" t="s">
        <v>2750</v>
      </c>
      <c r="O28" s="249" t="s">
        <v>2837</v>
      </c>
    </row>
    <row r="29" spans="1:15" x14ac:dyDescent="0.2">
      <c r="A29" s="247" t="s">
        <v>2930</v>
      </c>
      <c r="B29" s="262">
        <v>41718</v>
      </c>
      <c r="C29" s="248" t="s">
        <v>2928</v>
      </c>
      <c r="D29" s="248" t="s">
        <v>2929</v>
      </c>
      <c r="E29" s="249" t="s">
        <v>2869</v>
      </c>
      <c r="F29" s="249" t="s">
        <v>2833</v>
      </c>
      <c r="G29" s="249" t="s">
        <v>2852</v>
      </c>
      <c r="H29" s="249" t="s">
        <v>2331</v>
      </c>
      <c r="I29" s="249" t="s">
        <v>229</v>
      </c>
      <c r="J29" s="250">
        <v>41729</v>
      </c>
      <c r="K29" s="249" t="s">
        <v>2853</v>
      </c>
      <c r="L29" s="249" t="s">
        <v>2088</v>
      </c>
      <c r="M29" s="262">
        <v>41719</v>
      </c>
      <c r="N29" s="249" t="s">
        <v>2750</v>
      </c>
      <c r="O29" s="249" t="s">
        <v>2829</v>
      </c>
    </row>
    <row r="30" spans="1:15" ht="27" x14ac:dyDescent="0.2">
      <c r="A30" s="247" t="s">
        <v>2933</v>
      </c>
      <c r="B30" s="262">
        <v>41724</v>
      </c>
      <c r="C30" s="248" t="s">
        <v>2934</v>
      </c>
      <c r="D30" s="248" t="s">
        <v>2935</v>
      </c>
      <c r="E30" s="249" t="s">
        <v>2936</v>
      </c>
      <c r="F30" s="249" t="s">
        <v>2833</v>
      </c>
      <c r="G30" s="249" t="s">
        <v>2852</v>
      </c>
      <c r="H30" s="249" t="s">
        <v>2067</v>
      </c>
      <c r="I30" s="249" t="s">
        <v>229</v>
      </c>
      <c r="J30" s="250">
        <v>41733</v>
      </c>
      <c r="K30" s="249" t="s">
        <v>2853</v>
      </c>
      <c r="L30" s="249" t="s">
        <v>2088</v>
      </c>
      <c r="M30" s="262">
        <v>41724</v>
      </c>
      <c r="N30" s="249" t="s">
        <v>2750</v>
      </c>
      <c r="O30" s="249" t="s">
        <v>2829</v>
      </c>
    </row>
    <row r="31" spans="1:15" x14ac:dyDescent="0.2">
      <c r="A31" s="247" t="s">
        <v>2937</v>
      </c>
      <c r="B31" s="262">
        <v>41729</v>
      </c>
      <c r="C31" s="248" t="s">
        <v>2938</v>
      </c>
      <c r="D31" s="248" t="s">
        <v>2939</v>
      </c>
      <c r="E31" s="249" t="s">
        <v>1139</v>
      </c>
      <c r="F31" s="249" t="s">
        <v>2833</v>
      </c>
      <c r="G31" s="249" t="s">
        <v>2846</v>
      </c>
      <c r="H31" s="249" t="s">
        <v>2282</v>
      </c>
      <c r="I31" s="249" t="s">
        <v>999</v>
      </c>
      <c r="J31" s="250">
        <v>42004</v>
      </c>
      <c r="K31" s="249" t="s">
        <v>2853</v>
      </c>
      <c r="L31" s="249" t="s">
        <v>3022</v>
      </c>
      <c r="M31" s="262">
        <v>42046</v>
      </c>
      <c r="N31" s="249" t="s">
        <v>2751</v>
      </c>
      <c r="O31" s="249" t="s">
        <v>2837</v>
      </c>
    </row>
    <row r="32" spans="1:15" x14ac:dyDescent="0.2">
      <c r="A32" s="247" t="s">
        <v>2940</v>
      </c>
      <c r="B32" s="262">
        <v>41733</v>
      </c>
      <c r="C32" s="248" t="s">
        <v>2942</v>
      </c>
      <c r="D32" s="248" t="s">
        <v>2941</v>
      </c>
      <c r="E32" s="249" t="s">
        <v>1139</v>
      </c>
      <c r="F32" s="249" t="s">
        <v>2833</v>
      </c>
      <c r="G32" s="249" t="s">
        <v>2846</v>
      </c>
      <c r="H32" s="249" t="s">
        <v>1339</v>
      </c>
      <c r="I32" s="249" t="s">
        <v>229</v>
      </c>
      <c r="J32" s="250">
        <v>41851</v>
      </c>
      <c r="K32" s="249" t="s">
        <v>2853</v>
      </c>
      <c r="L32" s="249" t="s">
        <v>2088</v>
      </c>
      <c r="M32" s="262">
        <v>41815</v>
      </c>
      <c r="N32" s="249" t="s">
        <v>2750</v>
      </c>
      <c r="O32" s="249" t="s">
        <v>2832</v>
      </c>
    </row>
    <row r="33" spans="1:16" x14ac:dyDescent="0.2">
      <c r="A33" s="247" t="s">
        <v>2943</v>
      </c>
      <c r="B33" s="262">
        <v>41736</v>
      </c>
      <c r="C33" s="248" t="s">
        <v>2944</v>
      </c>
      <c r="D33" s="248" t="s">
        <v>2945</v>
      </c>
      <c r="E33" s="249" t="s">
        <v>1139</v>
      </c>
      <c r="F33" s="249" t="s">
        <v>2833</v>
      </c>
      <c r="G33" s="249" t="s">
        <v>2846</v>
      </c>
      <c r="H33" s="249" t="s">
        <v>999</v>
      </c>
      <c r="I33" s="249" t="s">
        <v>229</v>
      </c>
      <c r="J33" s="250">
        <v>41820</v>
      </c>
      <c r="K33" s="249" t="s">
        <v>2853</v>
      </c>
      <c r="L33" s="249" t="s">
        <v>2088</v>
      </c>
      <c r="M33" s="262">
        <v>41786</v>
      </c>
      <c r="N33" s="249" t="s">
        <v>2750</v>
      </c>
      <c r="O33" s="249" t="s">
        <v>2832</v>
      </c>
    </row>
    <row r="34" spans="1:16" ht="40.5" x14ac:dyDescent="0.2">
      <c r="A34" s="247" t="s">
        <v>2946</v>
      </c>
      <c r="B34" s="262">
        <v>41736</v>
      </c>
      <c r="C34" s="248" t="s">
        <v>2947</v>
      </c>
      <c r="D34" s="248" t="s">
        <v>2948</v>
      </c>
      <c r="E34" s="249" t="s">
        <v>2949</v>
      </c>
      <c r="F34" s="249" t="s">
        <v>2833</v>
      </c>
      <c r="G34" s="249" t="s">
        <v>2852</v>
      </c>
      <c r="H34" s="249" t="s">
        <v>2106</v>
      </c>
      <c r="I34" s="249" t="s">
        <v>229</v>
      </c>
      <c r="J34" s="250">
        <v>41740</v>
      </c>
      <c r="K34" s="249" t="s">
        <v>2853</v>
      </c>
      <c r="L34" s="249" t="s">
        <v>2088</v>
      </c>
      <c r="M34" s="262">
        <v>41736</v>
      </c>
      <c r="N34" s="249" t="s">
        <v>2750</v>
      </c>
      <c r="O34" s="249" t="s">
        <v>2829</v>
      </c>
    </row>
    <row r="35" spans="1:16" x14ac:dyDescent="0.2">
      <c r="A35" s="247" t="s">
        <v>2953</v>
      </c>
      <c r="B35" s="262">
        <v>41743</v>
      </c>
      <c r="C35" s="248" t="s">
        <v>2952</v>
      </c>
      <c r="D35" s="248" t="s">
        <v>2858</v>
      </c>
      <c r="E35" s="249" t="s">
        <v>1139</v>
      </c>
      <c r="F35" s="249" t="s">
        <v>2833</v>
      </c>
      <c r="G35" s="249" t="s">
        <v>2846</v>
      </c>
      <c r="H35" s="249" t="s">
        <v>1339</v>
      </c>
      <c r="I35" s="249" t="s">
        <v>999</v>
      </c>
      <c r="J35" s="250">
        <v>42004</v>
      </c>
      <c r="K35" s="249" t="s">
        <v>2853</v>
      </c>
      <c r="L35" s="249" t="s">
        <v>3022</v>
      </c>
      <c r="M35" s="262">
        <v>42184</v>
      </c>
      <c r="N35" s="249" t="s">
        <v>2751</v>
      </c>
      <c r="O35" s="249" t="s">
        <v>2839</v>
      </c>
    </row>
    <row r="36" spans="1:16" ht="27" x14ac:dyDescent="0.2">
      <c r="A36" s="247" t="s">
        <v>2954</v>
      </c>
      <c r="B36" s="262">
        <v>41764</v>
      </c>
      <c r="C36" s="248" t="s">
        <v>2955</v>
      </c>
      <c r="D36" s="248" t="s">
        <v>2956</v>
      </c>
      <c r="E36" s="249" t="s">
        <v>1139</v>
      </c>
      <c r="F36" s="249" t="s">
        <v>2833</v>
      </c>
      <c r="G36" s="249" t="s">
        <v>2846</v>
      </c>
      <c r="H36" s="249" t="s">
        <v>516</v>
      </c>
      <c r="I36" s="249" t="s">
        <v>999</v>
      </c>
      <c r="J36" s="250">
        <v>41775</v>
      </c>
      <c r="K36" s="249" t="s">
        <v>2853</v>
      </c>
      <c r="L36" s="249" t="s">
        <v>2088</v>
      </c>
      <c r="M36" s="262">
        <v>41764</v>
      </c>
      <c r="N36" s="249" t="s">
        <v>2750</v>
      </c>
      <c r="O36" s="249" t="s">
        <v>2829</v>
      </c>
    </row>
    <row r="37" spans="1:16" x14ac:dyDescent="0.2">
      <c r="A37" s="247" t="s">
        <v>2959</v>
      </c>
      <c r="B37" s="262">
        <v>41766</v>
      </c>
      <c r="C37" s="248" t="s">
        <v>2960</v>
      </c>
      <c r="D37" s="248" t="s">
        <v>2858</v>
      </c>
      <c r="E37" s="249" t="s">
        <v>1139</v>
      </c>
      <c r="F37" s="249" t="s">
        <v>2833</v>
      </c>
      <c r="G37" s="249" t="s">
        <v>2846</v>
      </c>
      <c r="H37" s="249" t="s">
        <v>685</v>
      </c>
      <c r="I37" s="249" t="s">
        <v>999</v>
      </c>
      <c r="J37" s="250">
        <v>42004</v>
      </c>
      <c r="K37" s="249" t="s">
        <v>2853</v>
      </c>
      <c r="L37" s="249" t="s">
        <v>2088</v>
      </c>
      <c r="M37" s="262">
        <v>41984</v>
      </c>
      <c r="N37" s="249" t="s">
        <v>2750</v>
      </c>
      <c r="O37" s="249" t="s">
        <v>2837</v>
      </c>
    </row>
    <row r="38" spans="1:16" x14ac:dyDescent="0.2">
      <c r="A38" s="247" t="s">
        <v>2963</v>
      </c>
      <c r="B38" s="262">
        <v>41808</v>
      </c>
      <c r="C38" s="248" t="s">
        <v>2965</v>
      </c>
      <c r="D38" s="248" t="s">
        <v>2967</v>
      </c>
      <c r="E38" s="249" t="s">
        <v>2917</v>
      </c>
      <c r="F38" s="249" t="s">
        <v>2833</v>
      </c>
      <c r="G38" s="249" t="s">
        <v>2852</v>
      </c>
      <c r="H38" s="249" t="s">
        <v>2428</v>
      </c>
      <c r="I38" s="249" t="s">
        <v>229</v>
      </c>
      <c r="J38" s="250">
        <v>41810</v>
      </c>
      <c r="K38" s="249" t="s">
        <v>2853</v>
      </c>
      <c r="L38" s="249" t="s">
        <v>2088</v>
      </c>
      <c r="M38" s="262">
        <v>41810</v>
      </c>
      <c r="N38" s="249" t="s">
        <v>2750</v>
      </c>
      <c r="O38" s="249" t="s">
        <v>2829</v>
      </c>
    </row>
    <row r="39" spans="1:16" x14ac:dyDescent="0.2">
      <c r="A39" s="247" t="s">
        <v>2964</v>
      </c>
      <c r="B39" s="262">
        <v>41808</v>
      </c>
      <c r="C39" s="248" t="s">
        <v>2966</v>
      </c>
      <c r="D39" s="248" t="s">
        <v>2967</v>
      </c>
      <c r="E39" s="249" t="s">
        <v>2917</v>
      </c>
      <c r="F39" s="249" t="s">
        <v>2833</v>
      </c>
      <c r="G39" s="249" t="s">
        <v>2852</v>
      </c>
      <c r="H39" s="249" t="s">
        <v>2428</v>
      </c>
      <c r="I39" s="249" t="s">
        <v>229</v>
      </c>
      <c r="J39" s="250">
        <v>41810</v>
      </c>
      <c r="K39" s="249" t="s">
        <v>2853</v>
      </c>
      <c r="L39" s="249" t="s">
        <v>2088</v>
      </c>
      <c r="M39" s="262">
        <v>41810</v>
      </c>
      <c r="N39" s="249" t="s">
        <v>2750</v>
      </c>
      <c r="O39" s="249" t="s">
        <v>2829</v>
      </c>
    </row>
    <row r="40" spans="1:16" ht="40.5" x14ac:dyDescent="0.2">
      <c r="A40" s="247" t="s">
        <v>2968</v>
      </c>
      <c r="B40" s="262">
        <v>41810</v>
      </c>
      <c r="C40" s="248" t="s">
        <v>2969</v>
      </c>
      <c r="D40" s="248" t="s">
        <v>2970</v>
      </c>
      <c r="E40" s="249" t="s">
        <v>2971</v>
      </c>
      <c r="F40" s="249" t="s">
        <v>2833</v>
      </c>
      <c r="G40" s="249" t="s">
        <v>2972</v>
      </c>
      <c r="H40" s="249" t="s">
        <v>441</v>
      </c>
      <c r="I40" s="249" t="s">
        <v>229</v>
      </c>
      <c r="J40" s="250">
        <v>41820</v>
      </c>
      <c r="K40" s="249" t="s">
        <v>2853</v>
      </c>
      <c r="L40" s="249" t="s">
        <v>2088</v>
      </c>
      <c r="M40" s="262">
        <v>41820</v>
      </c>
      <c r="N40" s="249" t="s">
        <v>2750</v>
      </c>
      <c r="O40" s="249" t="s">
        <v>2829</v>
      </c>
    </row>
    <row r="41" spans="1:16" x14ac:dyDescent="0.2">
      <c r="A41" s="247" t="s">
        <v>2973</v>
      </c>
      <c r="B41" s="262">
        <v>41834</v>
      </c>
      <c r="C41" s="255" t="s">
        <v>2975</v>
      </c>
      <c r="D41" s="248" t="s">
        <v>2974</v>
      </c>
      <c r="E41" s="249" t="s">
        <v>2971</v>
      </c>
      <c r="F41" s="249" t="s">
        <v>2833</v>
      </c>
      <c r="G41" s="249" t="s">
        <v>2880</v>
      </c>
      <c r="H41" s="249" t="s">
        <v>516</v>
      </c>
      <c r="I41" s="249" t="s">
        <v>229</v>
      </c>
      <c r="J41" s="250">
        <v>41851</v>
      </c>
      <c r="K41" s="249" t="s">
        <v>2853</v>
      </c>
      <c r="L41" s="249" t="s">
        <v>2088</v>
      </c>
      <c r="M41" s="262">
        <v>41841</v>
      </c>
      <c r="N41" s="249" t="s">
        <v>2750</v>
      </c>
      <c r="O41" s="249" t="s">
        <v>2829</v>
      </c>
    </row>
    <row r="42" spans="1:16" ht="27" x14ac:dyDescent="0.2">
      <c r="A42" s="247" t="s">
        <v>2976</v>
      </c>
      <c r="B42" s="262">
        <v>41841</v>
      </c>
      <c r="C42" s="255" t="s">
        <v>2977</v>
      </c>
      <c r="D42" s="248" t="s">
        <v>2978</v>
      </c>
      <c r="E42" s="249" t="s">
        <v>2971</v>
      </c>
      <c r="F42" s="249" t="s">
        <v>2833</v>
      </c>
      <c r="G42" s="249" t="s">
        <v>2972</v>
      </c>
      <c r="H42" s="249" t="s">
        <v>685</v>
      </c>
      <c r="I42" s="249" t="s">
        <v>229</v>
      </c>
      <c r="J42" s="250">
        <v>41851</v>
      </c>
      <c r="K42" s="249" t="s">
        <v>2853</v>
      </c>
      <c r="L42" s="249" t="s">
        <v>2088</v>
      </c>
      <c r="M42" s="262">
        <v>41841</v>
      </c>
      <c r="N42" s="249" t="s">
        <v>2750</v>
      </c>
      <c r="O42" s="249" t="s">
        <v>2829</v>
      </c>
    </row>
    <row r="43" spans="1:16" x14ac:dyDescent="0.2">
      <c r="A43" s="247" t="s">
        <v>2980</v>
      </c>
      <c r="B43" s="262">
        <v>41880</v>
      </c>
      <c r="C43" s="255" t="s">
        <v>2981</v>
      </c>
      <c r="D43" s="248" t="s">
        <v>3046</v>
      </c>
      <c r="E43" s="249" t="s">
        <v>2971</v>
      </c>
      <c r="F43" s="249" t="s">
        <v>2833</v>
      </c>
      <c r="G43" s="249" t="s">
        <v>2880</v>
      </c>
      <c r="H43" s="249" t="s">
        <v>685</v>
      </c>
      <c r="I43" s="249" t="s">
        <v>229</v>
      </c>
      <c r="J43" s="250">
        <v>41911</v>
      </c>
      <c r="K43" s="249" t="s">
        <v>2853</v>
      </c>
      <c r="L43" s="249" t="s">
        <v>2088</v>
      </c>
      <c r="M43" s="262">
        <v>42004</v>
      </c>
      <c r="N43" s="249" t="s">
        <v>2750</v>
      </c>
      <c r="O43" s="249" t="s">
        <v>2829</v>
      </c>
    </row>
    <row r="44" spans="1:16" x14ac:dyDescent="0.2">
      <c r="A44" s="247" t="s">
        <v>2982</v>
      </c>
      <c r="B44" s="262">
        <v>41890</v>
      </c>
      <c r="C44" s="255" t="s">
        <v>2204</v>
      </c>
      <c r="D44" s="248" t="s">
        <v>2983</v>
      </c>
      <c r="E44" s="249" t="s">
        <v>2971</v>
      </c>
      <c r="F44" s="249" t="s">
        <v>2833</v>
      </c>
      <c r="G44" s="249" t="s">
        <v>2927</v>
      </c>
      <c r="H44" s="249" t="s">
        <v>441</v>
      </c>
      <c r="I44" s="249" t="s">
        <v>229</v>
      </c>
      <c r="J44" s="250">
        <v>41905</v>
      </c>
      <c r="K44" s="249" t="s">
        <v>2853</v>
      </c>
      <c r="L44" s="249" t="s">
        <v>2088</v>
      </c>
      <c r="M44" s="262">
        <v>41894</v>
      </c>
      <c r="N44" s="249" t="s">
        <v>2750</v>
      </c>
      <c r="O44" s="249" t="s">
        <v>2829</v>
      </c>
    </row>
    <row r="45" spans="1:16" ht="27" x14ac:dyDescent="0.2">
      <c r="A45" s="247" t="s">
        <v>2984</v>
      </c>
      <c r="B45" s="262">
        <v>41891</v>
      </c>
      <c r="C45" s="255" t="s">
        <v>2985</v>
      </c>
      <c r="D45" s="248" t="s">
        <v>2986</v>
      </c>
      <c r="E45" s="249" t="s">
        <v>2971</v>
      </c>
      <c r="F45" s="249" t="s">
        <v>2833</v>
      </c>
      <c r="G45" s="249" t="s">
        <v>2846</v>
      </c>
      <c r="H45" s="249" t="s">
        <v>229</v>
      </c>
      <c r="I45" s="249" t="s">
        <v>229</v>
      </c>
      <c r="J45" s="250">
        <v>41943</v>
      </c>
      <c r="K45" s="249" t="s">
        <v>2853</v>
      </c>
      <c r="L45" s="249" t="s">
        <v>2088</v>
      </c>
      <c r="M45" s="262">
        <v>42201</v>
      </c>
      <c r="N45" s="249" t="s">
        <v>2751</v>
      </c>
      <c r="O45" s="300" t="s">
        <v>2837</v>
      </c>
    </row>
    <row r="46" spans="1:16" ht="27" x14ac:dyDescent="0.2">
      <c r="A46" s="247" t="s">
        <v>2987</v>
      </c>
      <c r="B46" s="262">
        <v>41893</v>
      </c>
      <c r="C46" s="255" t="s">
        <v>2988</v>
      </c>
      <c r="D46" s="248" t="s">
        <v>2990</v>
      </c>
      <c r="E46" s="249" t="s">
        <v>2989</v>
      </c>
      <c r="F46" s="249" t="s">
        <v>2833</v>
      </c>
      <c r="G46" s="249" t="s">
        <v>2852</v>
      </c>
      <c r="H46" s="249" t="s">
        <v>2067</v>
      </c>
      <c r="I46" s="249" t="s">
        <v>2428</v>
      </c>
      <c r="J46" s="250">
        <v>41893</v>
      </c>
      <c r="K46" s="249" t="s">
        <v>2853</v>
      </c>
      <c r="L46" s="249" t="s">
        <v>2088</v>
      </c>
      <c r="M46" s="262">
        <v>41893</v>
      </c>
      <c r="N46" s="249" t="s">
        <v>2750</v>
      </c>
      <c r="O46" s="249" t="s">
        <v>2829</v>
      </c>
    </row>
    <row r="47" spans="1:16" ht="40.5" x14ac:dyDescent="0.2">
      <c r="A47" s="247" t="s">
        <v>2991</v>
      </c>
      <c r="B47" s="262">
        <v>41922</v>
      </c>
      <c r="C47" s="255" t="s">
        <v>2994</v>
      </c>
      <c r="D47" s="248" t="s">
        <v>2992</v>
      </c>
      <c r="E47" s="249" t="s">
        <v>2993</v>
      </c>
      <c r="F47" s="249" t="s">
        <v>2833</v>
      </c>
      <c r="G47" s="249" t="s">
        <v>2927</v>
      </c>
      <c r="H47" s="249" t="s">
        <v>441</v>
      </c>
      <c r="I47" s="249" t="s">
        <v>229</v>
      </c>
      <c r="J47" s="250">
        <v>41943</v>
      </c>
      <c r="K47" s="249" t="s">
        <v>2853</v>
      </c>
      <c r="L47" s="249" t="s">
        <v>2088</v>
      </c>
      <c r="M47" s="262">
        <v>41926</v>
      </c>
      <c r="N47" s="249" t="s">
        <v>2750</v>
      </c>
      <c r="O47" s="249" t="s">
        <v>2829</v>
      </c>
    </row>
    <row r="48" spans="1:16" ht="40.5" x14ac:dyDescent="0.2">
      <c r="A48" s="247" t="s">
        <v>3000</v>
      </c>
      <c r="B48" s="262">
        <v>41927</v>
      </c>
      <c r="C48" s="255" t="s">
        <v>3003</v>
      </c>
      <c r="D48" s="248" t="s">
        <v>3001</v>
      </c>
      <c r="E48" s="249" t="s">
        <v>2971</v>
      </c>
      <c r="F48" s="249" t="s">
        <v>2833</v>
      </c>
      <c r="G48" s="249" t="s">
        <v>2927</v>
      </c>
      <c r="H48" s="249" t="s">
        <v>999</v>
      </c>
      <c r="I48" s="249" t="s">
        <v>229</v>
      </c>
      <c r="J48" s="250">
        <v>41775</v>
      </c>
      <c r="K48" s="249" t="s">
        <v>2853</v>
      </c>
      <c r="L48" s="249" t="s">
        <v>2088</v>
      </c>
      <c r="M48" s="262">
        <v>41775</v>
      </c>
      <c r="N48" s="249" t="s">
        <v>2750</v>
      </c>
      <c r="O48" s="249" t="s">
        <v>2829</v>
      </c>
      <c r="P48" s="248" t="s">
        <v>3002</v>
      </c>
    </row>
    <row r="49" spans="1:16" ht="27" x14ac:dyDescent="0.2">
      <c r="A49" s="247" t="s">
        <v>3004</v>
      </c>
      <c r="B49" s="262">
        <v>41928</v>
      </c>
      <c r="C49" s="255" t="s">
        <v>3005</v>
      </c>
      <c r="D49" s="248" t="s">
        <v>3006</v>
      </c>
      <c r="E49" s="249" t="s">
        <v>2879</v>
      </c>
      <c r="F49" s="249" t="s">
        <v>2833</v>
      </c>
      <c r="G49" s="249" t="s">
        <v>2927</v>
      </c>
      <c r="H49" s="249" t="s">
        <v>2106</v>
      </c>
      <c r="I49" s="249" t="s">
        <v>229</v>
      </c>
      <c r="J49" s="250">
        <v>41943</v>
      </c>
      <c r="K49" s="249" t="s">
        <v>2853</v>
      </c>
      <c r="L49" s="249" t="s">
        <v>2088</v>
      </c>
      <c r="M49" s="262">
        <v>41929</v>
      </c>
      <c r="N49" s="249" t="s">
        <v>2750</v>
      </c>
      <c r="O49" s="249" t="s">
        <v>2829</v>
      </c>
      <c r="P49" s="248"/>
    </row>
    <row r="50" spans="1:16" x14ac:dyDescent="0.2">
      <c r="A50" s="247" t="s">
        <v>3007</v>
      </c>
      <c r="B50" s="262">
        <v>41928</v>
      </c>
      <c r="C50" s="255" t="s">
        <v>3008</v>
      </c>
      <c r="D50" s="248" t="s">
        <v>3009</v>
      </c>
      <c r="E50" s="249" t="s">
        <v>2879</v>
      </c>
      <c r="F50" s="249" t="s">
        <v>2833</v>
      </c>
      <c r="G50" s="249" t="s">
        <v>2927</v>
      </c>
      <c r="H50" s="249" t="s">
        <v>2106</v>
      </c>
      <c r="I50" s="249" t="s">
        <v>229</v>
      </c>
      <c r="J50" s="250">
        <v>41943</v>
      </c>
      <c r="K50" s="249" t="s">
        <v>2853</v>
      </c>
      <c r="L50" s="249" t="s">
        <v>2088</v>
      </c>
      <c r="M50" s="262">
        <v>41929</v>
      </c>
      <c r="N50" s="249" t="s">
        <v>2750</v>
      </c>
      <c r="O50" s="249" t="s">
        <v>2829</v>
      </c>
      <c r="P50" s="248"/>
    </row>
    <row r="51" spans="1:16" ht="27" x14ac:dyDescent="0.2">
      <c r="A51" s="247" t="s">
        <v>3010</v>
      </c>
      <c r="B51" s="262">
        <v>41934</v>
      </c>
      <c r="C51" s="255" t="s">
        <v>3016</v>
      </c>
      <c r="D51" s="248" t="s">
        <v>3011</v>
      </c>
      <c r="E51" s="249" t="s">
        <v>2971</v>
      </c>
      <c r="F51" s="249" t="s">
        <v>2833</v>
      </c>
      <c r="G51" s="249" t="s">
        <v>2846</v>
      </c>
      <c r="H51" s="249" t="s">
        <v>1339</v>
      </c>
      <c r="I51" s="249" t="s">
        <v>229</v>
      </c>
      <c r="J51" s="250">
        <v>41967</v>
      </c>
      <c r="K51" s="249" t="s">
        <v>2853</v>
      </c>
      <c r="L51" s="249" t="s">
        <v>2088</v>
      </c>
      <c r="M51" s="262">
        <v>41950</v>
      </c>
      <c r="N51" s="249" t="s">
        <v>2750</v>
      </c>
      <c r="O51" s="249" t="s">
        <v>2829</v>
      </c>
      <c r="P51" s="248"/>
    </row>
    <row r="52" spans="1:16" ht="40.5" x14ac:dyDescent="0.2">
      <c r="A52" s="247" t="s">
        <v>3012</v>
      </c>
      <c r="B52" s="262">
        <v>41936</v>
      </c>
      <c r="C52" s="255" t="s">
        <v>3013</v>
      </c>
      <c r="D52" s="248" t="s">
        <v>3014</v>
      </c>
      <c r="E52" s="249" t="s">
        <v>2971</v>
      </c>
      <c r="F52" s="249" t="s">
        <v>2830</v>
      </c>
      <c r="G52" s="249" t="s">
        <v>2922</v>
      </c>
      <c r="H52" s="249" t="s">
        <v>685</v>
      </c>
      <c r="I52" s="249" t="s">
        <v>229</v>
      </c>
      <c r="J52" s="250">
        <v>41936</v>
      </c>
      <c r="K52" s="249" t="s">
        <v>2853</v>
      </c>
      <c r="L52" s="249" t="s">
        <v>2088</v>
      </c>
      <c r="M52" s="262">
        <v>41936</v>
      </c>
      <c r="N52" s="249" t="s">
        <v>2750</v>
      </c>
      <c r="O52" s="249" t="s">
        <v>2829</v>
      </c>
      <c r="P52" s="248" t="s">
        <v>3015</v>
      </c>
    </row>
    <row r="53" spans="1:16" ht="27" x14ac:dyDescent="0.25">
      <c r="A53" s="247" t="s">
        <v>3017</v>
      </c>
      <c r="B53" s="262">
        <v>41949</v>
      </c>
      <c r="C53" s="255" t="s">
        <v>3018</v>
      </c>
      <c r="D53" s="98" t="s">
        <v>3019</v>
      </c>
      <c r="E53" s="249" t="s">
        <v>2971</v>
      </c>
      <c r="F53" s="249" t="s">
        <v>2833</v>
      </c>
      <c r="G53" s="249" t="s">
        <v>2922</v>
      </c>
      <c r="H53" s="249" t="s">
        <v>441</v>
      </c>
      <c r="I53" s="249" t="s">
        <v>229</v>
      </c>
      <c r="J53" s="250">
        <v>42009</v>
      </c>
      <c r="K53" s="249" t="s">
        <v>2853</v>
      </c>
      <c r="L53" s="249" t="s">
        <v>3022</v>
      </c>
      <c r="M53" s="262">
        <v>42300</v>
      </c>
      <c r="N53" s="249" t="s">
        <v>2751</v>
      </c>
      <c r="O53" s="249" t="s">
        <v>2837</v>
      </c>
      <c r="P53" s="248" t="s">
        <v>3358</v>
      </c>
    </row>
    <row r="54" spans="1:16" ht="27" x14ac:dyDescent="0.25">
      <c r="A54" s="247" t="s">
        <v>3020</v>
      </c>
      <c r="B54" s="262">
        <v>41963</v>
      </c>
      <c r="C54" s="255" t="s">
        <v>3042</v>
      </c>
      <c r="D54" s="98" t="s">
        <v>3021</v>
      </c>
      <c r="E54" s="249" t="s">
        <v>2949</v>
      </c>
      <c r="F54" s="249" t="s">
        <v>2827</v>
      </c>
      <c r="G54" s="249" t="s">
        <v>2852</v>
      </c>
      <c r="H54" s="249" t="s">
        <v>2106</v>
      </c>
      <c r="I54" s="249" t="s">
        <v>2428</v>
      </c>
      <c r="J54" s="250">
        <v>41993</v>
      </c>
      <c r="K54" s="249" t="s">
        <v>2853</v>
      </c>
      <c r="L54" s="249" t="s">
        <v>2088</v>
      </c>
      <c r="M54" s="262">
        <v>41967</v>
      </c>
      <c r="N54" s="249" t="s">
        <v>2750</v>
      </c>
      <c r="O54" s="249" t="s">
        <v>2829</v>
      </c>
      <c r="P54" s="248"/>
    </row>
    <row r="55" spans="1:16" x14ac:dyDescent="0.25">
      <c r="A55" s="247" t="s">
        <v>3031</v>
      </c>
      <c r="B55" s="262">
        <v>41978</v>
      </c>
      <c r="C55" s="255" t="s">
        <v>3032</v>
      </c>
      <c r="D55" s="98" t="s">
        <v>3034</v>
      </c>
      <c r="E55" s="249" t="s">
        <v>3033</v>
      </c>
      <c r="F55" s="249" t="s">
        <v>2833</v>
      </c>
      <c r="G55" s="249" t="s">
        <v>2852</v>
      </c>
      <c r="H55" s="249" t="s">
        <v>2067</v>
      </c>
      <c r="I55" s="249" t="s">
        <v>2428</v>
      </c>
      <c r="J55" s="250">
        <v>42004</v>
      </c>
      <c r="K55" s="249" t="s">
        <v>2853</v>
      </c>
      <c r="L55" s="249" t="s">
        <v>2088</v>
      </c>
      <c r="M55" s="262">
        <v>42003</v>
      </c>
      <c r="N55" s="249" t="s">
        <v>2750</v>
      </c>
      <c r="O55" s="249" t="s">
        <v>2829</v>
      </c>
      <c r="P55" s="248"/>
    </row>
    <row r="56" spans="1:16" ht="40.5" x14ac:dyDescent="0.2">
      <c r="A56" s="247" t="s">
        <v>3023</v>
      </c>
      <c r="B56" s="262">
        <v>41984</v>
      </c>
      <c r="C56" s="255" t="s">
        <v>3024</v>
      </c>
      <c r="D56" s="118" t="s">
        <v>3028</v>
      </c>
      <c r="E56" s="249" t="s">
        <v>2971</v>
      </c>
      <c r="F56" s="249" t="s">
        <v>2833</v>
      </c>
      <c r="G56" s="249" t="s">
        <v>2880</v>
      </c>
      <c r="H56" s="249" t="s">
        <v>685</v>
      </c>
      <c r="I56" s="249" t="s">
        <v>229</v>
      </c>
      <c r="J56" s="250">
        <v>42062</v>
      </c>
      <c r="K56" s="249" t="s">
        <v>2853</v>
      </c>
      <c r="L56" s="249" t="s">
        <v>2912</v>
      </c>
      <c r="M56" s="262">
        <v>42297</v>
      </c>
      <c r="N56" s="249" t="s">
        <v>2751</v>
      </c>
      <c r="O56" s="249" t="s">
        <v>2837</v>
      </c>
      <c r="P56" s="248"/>
    </row>
    <row r="57" spans="1:16" ht="27" x14ac:dyDescent="0.25">
      <c r="A57" s="247" t="s">
        <v>3025</v>
      </c>
      <c r="B57" s="262">
        <v>41985</v>
      </c>
      <c r="C57" s="255" t="s">
        <v>3026</v>
      </c>
      <c r="D57" s="98" t="s">
        <v>3027</v>
      </c>
      <c r="E57" s="249" t="s">
        <v>2971</v>
      </c>
      <c r="F57" s="249" t="s">
        <v>2833</v>
      </c>
      <c r="G57" s="249" t="s">
        <v>2846</v>
      </c>
      <c r="H57" s="249" t="s">
        <v>727</v>
      </c>
      <c r="I57" s="249" t="s">
        <v>229</v>
      </c>
      <c r="J57" s="250">
        <v>42094</v>
      </c>
      <c r="K57" s="249" t="s">
        <v>2853</v>
      </c>
      <c r="L57" s="249" t="s">
        <v>2912</v>
      </c>
      <c r="M57" s="262">
        <v>42125</v>
      </c>
      <c r="N57" s="249" t="s">
        <v>2751</v>
      </c>
      <c r="O57" s="249" t="s">
        <v>2835</v>
      </c>
      <c r="P57" s="248"/>
    </row>
    <row r="58" spans="1:16" x14ac:dyDescent="0.25">
      <c r="A58" s="247" t="s">
        <v>3029</v>
      </c>
      <c r="B58" s="262">
        <v>41997</v>
      </c>
      <c r="C58" s="255" t="s">
        <v>3035</v>
      </c>
      <c r="D58" s="98" t="s">
        <v>3040</v>
      </c>
      <c r="E58" s="249" t="s">
        <v>3041</v>
      </c>
      <c r="F58" s="249" t="s">
        <v>2833</v>
      </c>
      <c r="G58" s="249" t="s">
        <v>2852</v>
      </c>
      <c r="H58" s="249" t="s">
        <v>615</v>
      </c>
      <c r="I58" s="249" t="s">
        <v>2428</v>
      </c>
      <c r="J58" s="250">
        <v>42028</v>
      </c>
      <c r="K58" s="249" t="s">
        <v>2853</v>
      </c>
      <c r="L58" s="249" t="s">
        <v>2088</v>
      </c>
      <c r="M58" s="262">
        <v>42003</v>
      </c>
      <c r="N58" s="249" t="s">
        <v>2750</v>
      </c>
      <c r="O58" s="249" t="s">
        <v>2829</v>
      </c>
      <c r="P58" s="248"/>
    </row>
    <row r="59" spans="1:16" x14ac:dyDescent="0.25">
      <c r="A59" s="247" t="s">
        <v>3030</v>
      </c>
      <c r="B59" s="262">
        <v>41997</v>
      </c>
      <c r="C59" s="255" t="s">
        <v>3036</v>
      </c>
      <c r="D59" s="98" t="s">
        <v>3040</v>
      </c>
      <c r="E59" s="249" t="s">
        <v>3041</v>
      </c>
      <c r="F59" s="249" t="s">
        <v>2833</v>
      </c>
      <c r="G59" s="249" t="s">
        <v>2852</v>
      </c>
      <c r="H59" s="249" t="s">
        <v>615</v>
      </c>
      <c r="I59" s="249" t="s">
        <v>2428</v>
      </c>
      <c r="J59" s="250">
        <v>42028</v>
      </c>
      <c r="K59" s="249" t="s">
        <v>2853</v>
      </c>
      <c r="L59" s="249" t="s">
        <v>2088</v>
      </c>
      <c r="M59" s="262">
        <v>42003</v>
      </c>
      <c r="N59" s="249" t="s">
        <v>2750</v>
      </c>
      <c r="O59" s="249" t="s">
        <v>2829</v>
      </c>
      <c r="P59" s="248"/>
    </row>
    <row r="60" spans="1:16" x14ac:dyDescent="0.25">
      <c r="A60" s="247" t="s">
        <v>3037</v>
      </c>
      <c r="B60" s="262">
        <v>42003</v>
      </c>
      <c r="C60" s="255" t="s">
        <v>3038</v>
      </c>
      <c r="D60" s="98" t="s">
        <v>3039</v>
      </c>
      <c r="E60" s="249" t="s">
        <v>2971</v>
      </c>
      <c r="F60" s="249" t="s">
        <v>2833</v>
      </c>
      <c r="G60" s="249" t="s">
        <v>2846</v>
      </c>
      <c r="H60" s="249" t="s">
        <v>727</v>
      </c>
      <c r="I60" s="249" t="s">
        <v>229</v>
      </c>
      <c r="J60" s="250">
        <v>42155</v>
      </c>
      <c r="K60" s="249" t="s">
        <v>2853</v>
      </c>
      <c r="L60" s="249" t="s">
        <v>3022</v>
      </c>
      <c r="M60" s="262">
        <v>42212</v>
      </c>
      <c r="N60" s="249" t="s">
        <v>2751</v>
      </c>
      <c r="O60" s="249" t="s">
        <v>2837</v>
      </c>
      <c r="P60" s="248"/>
    </row>
    <row r="61" spans="1:16" x14ac:dyDescent="0.25">
      <c r="A61" s="247" t="s">
        <v>3045</v>
      </c>
      <c r="B61" s="262">
        <v>42003</v>
      </c>
      <c r="C61" s="255" t="s">
        <v>3043</v>
      </c>
      <c r="D61" s="98" t="s">
        <v>3044</v>
      </c>
      <c r="E61" s="249" t="s">
        <v>2971</v>
      </c>
      <c r="F61" s="249" t="s">
        <v>2833</v>
      </c>
      <c r="G61" s="249" t="s">
        <v>2880</v>
      </c>
      <c r="H61" s="249" t="s">
        <v>685</v>
      </c>
      <c r="I61" s="249" t="s">
        <v>229</v>
      </c>
      <c r="J61" s="250">
        <v>42277</v>
      </c>
      <c r="K61" s="249" t="s">
        <v>2853</v>
      </c>
      <c r="L61" s="249" t="s">
        <v>2088</v>
      </c>
      <c r="M61" s="262">
        <v>42202</v>
      </c>
      <c r="N61" s="249" t="s">
        <v>2750</v>
      </c>
      <c r="O61" s="249" t="s">
        <v>2837</v>
      </c>
      <c r="P61" s="248" t="s">
        <v>1056</v>
      </c>
    </row>
    <row r="62" spans="1:16" ht="13.5" customHeight="1" x14ac:dyDescent="0.2">
      <c r="A62" s="532" t="s">
        <v>2824</v>
      </c>
      <c r="B62" s="533"/>
      <c r="C62" s="533"/>
      <c r="D62" s="533"/>
      <c r="E62" s="533"/>
      <c r="F62" s="265" t="s">
        <v>2825</v>
      </c>
      <c r="G62" s="265" t="s">
        <v>2826</v>
      </c>
      <c r="H62" s="252"/>
      <c r="I62" s="252"/>
      <c r="J62" s="252"/>
      <c r="K62" s="252"/>
      <c r="L62" s="252"/>
      <c r="M62" s="264"/>
      <c r="N62" s="252"/>
      <c r="O62" s="266" t="s">
        <v>2825</v>
      </c>
      <c r="P62" s="254"/>
    </row>
    <row r="63" spans="1:16" x14ac:dyDescent="0.2">
      <c r="F63" s="256" t="s">
        <v>2827</v>
      </c>
      <c r="G63" s="256" t="s">
        <v>2828</v>
      </c>
      <c r="N63" s="249">
        <f>COUNTIF($O$2:$O$61,O63)</f>
        <v>30</v>
      </c>
      <c r="O63" s="253" t="s">
        <v>2829</v>
      </c>
    </row>
    <row r="64" spans="1:16" x14ac:dyDescent="0.2">
      <c r="F64" s="256" t="s">
        <v>2830</v>
      </c>
      <c r="G64" s="256" t="s">
        <v>2831</v>
      </c>
      <c r="N64" s="249">
        <f t="shared" ref="N64:N67" si="0">COUNTIF($O$2:$O$61,O64)</f>
        <v>7</v>
      </c>
      <c r="O64" s="253" t="s">
        <v>2832</v>
      </c>
    </row>
    <row r="65" spans="5:15" x14ac:dyDescent="0.2">
      <c r="F65" s="256" t="s">
        <v>2833</v>
      </c>
      <c r="G65" s="256" t="s">
        <v>2834</v>
      </c>
      <c r="N65" s="249">
        <f t="shared" si="0"/>
        <v>3</v>
      </c>
      <c r="O65" s="253" t="s">
        <v>2835</v>
      </c>
    </row>
    <row r="66" spans="5:15" x14ac:dyDescent="0.2">
      <c r="F66" s="256"/>
      <c r="G66" s="256" t="s">
        <v>2836</v>
      </c>
      <c r="N66" s="249">
        <f t="shared" si="0"/>
        <v>12</v>
      </c>
      <c r="O66" s="253" t="s">
        <v>2837</v>
      </c>
    </row>
    <row r="67" spans="5:15" x14ac:dyDescent="0.2">
      <c r="F67" s="256"/>
      <c r="G67" s="256" t="s">
        <v>2838</v>
      </c>
      <c r="N67" s="249">
        <f t="shared" si="0"/>
        <v>8</v>
      </c>
      <c r="O67" s="253" t="s">
        <v>2839</v>
      </c>
    </row>
    <row r="68" spans="5:15" x14ac:dyDescent="0.2">
      <c r="F68" s="256"/>
      <c r="G68" s="256" t="s">
        <v>2840</v>
      </c>
    </row>
    <row r="69" spans="5:15" x14ac:dyDescent="0.2">
      <c r="F69" s="256"/>
      <c r="G69" s="256" t="s">
        <v>2841</v>
      </c>
    </row>
    <row r="71" spans="5:15" x14ac:dyDescent="0.2">
      <c r="E71" s="307" t="s">
        <v>2833</v>
      </c>
      <c r="F71" s="307">
        <f>COUNTIF($F$2:$F$61,E71)</f>
        <v>56</v>
      </c>
      <c r="G71" s="307" t="s">
        <v>2852</v>
      </c>
      <c r="H71" s="307">
        <f>COUNTIF($G$2:$G$61,G71)</f>
        <v>16</v>
      </c>
      <c r="J71" s="224" t="s">
        <v>2847</v>
      </c>
      <c r="K71" s="311">
        <f>COUNTIF(K2:K61,"open")</f>
        <v>0</v>
      </c>
    </row>
    <row r="72" spans="5:15" x14ac:dyDescent="0.2">
      <c r="E72" s="307" t="s">
        <v>2830</v>
      </c>
      <c r="F72" s="307">
        <f t="shared" ref="F72:F73" si="1">COUNTIF($F$2:$F$61,E72)</f>
        <v>3</v>
      </c>
      <c r="G72" s="307" t="s">
        <v>3080</v>
      </c>
      <c r="H72" s="307">
        <f t="shared" ref="H72:H77" si="2">COUNTIF($G$2:$G$61,G72)</f>
        <v>0</v>
      </c>
    </row>
    <row r="73" spans="5:15" x14ac:dyDescent="0.2">
      <c r="E73" s="307" t="s">
        <v>2827</v>
      </c>
      <c r="F73" s="307">
        <f t="shared" si="1"/>
        <v>1</v>
      </c>
      <c r="G73" s="307" t="s">
        <v>2922</v>
      </c>
      <c r="H73" s="307">
        <f t="shared" si="2"/>
        <v>3</v>
      </c>
    </row>
    <row r="74" spans="5:15" x14ac:dyDescent="0.2">
      <c r="E74" s="307"/>
      <c r="F74" s="307"/>
      <c r="G74" s="307" t="s">
        <v>2972</v>
      </c>
      <c r="H74" s="307">
        <f t="shared" si="2"/>
        <v>2</v>
      </c>
    </row>
    <row r="75" spans="5:15" x14ac:dyDescent="0.2">
      <c r="E75" s="307"/>
      <c r="F75" s="307"/>
      <c r="G75" s="307" t="s">
        <v>2880</v>
      </c>
      <c r="H75" s="307">
        <f t="shared" si="2"/>
        <v>5</v>
      </c>
    </row>
    <row r="76" spans="5:15" x14ac:dyDescent="0.2">
      <c r="E76" s="307"/>
      <c r="F76" s="307"/>
      <c r="G76" s="307" t="s">
        <v>2927</v>
      </c>
      <c r="H76" s="307">
        <f t="shared" si="2"/>
        <v>6</v>
      </c>
    </row>
    <row r="77" spans="5:15" x14ac:dyDescent="0.2">
      <c r="E77" s="307"/>
      <c r="F77" s="307"/>
      <c r="G77" s="307" t="s">
        <v>2846</v>
      </c>
      <c r="H77" s="307">
        <f t="shared" si="2"/>
        <v>28</v>
      </c>
    </row>
    <row r="78" spans="5:15" x14ac:dyDescent="0.2">
      <c r="E78" s="307"/>
      <c r="F78" s="307"/>
      <c r="G78" s="307"/>
      <c r="H78" s="307"/>
    </row>
    <row r="79" spans="5:15" x14ac:dyDescent="0.2">
      <c r="E79" s="307"/>
      <c r="F79" s="307">
        <f>SUM(F71:F77)</f>
        <v>60</v>
      </c>
      <c r="G79" s="307"/>
      <c r="H79" s="307">
        <f>SUM(H71:H77)</f>
        <v>60</v>
      </c>
    </row>
  </sheetData>
  <autoFilter ref="A1:P69" xr:uid="{00000000-0009-0000-0000-000008000000}"/>
  <mergeCells count="1">
    <mergeCell ref="A62:E6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Z339"/>
  <sheetViews>
    <sheetView zoomScale="106" zoomScaleNormal="106" workbookViewId="0">
      <pane xSplit="2" ySplit="2" topLeftCell="C108" activePane="bottomRight" state="frozen"/>
      <selection pane="topRight" activeCell="C1" sqref="C1"/>
      <selection pane="bottomLeft" activeCell="A3" sqref="A3"/>
      <selection pane="bottomRight" activeCell="A123" sqref="A123:XFD123"/>
    </sheetView>
  </sheetViews>
  <sheetFormatPr defaultColWidth="24.5703125" defaultRowHeight="13.5" x14ac:dyDescent="0.25"/>
  <cols>
    <col min="1" max="1" width="10.42578125" style="118" bestFit="1" customWidth="1"/>
    <col min="2" max="2" width="13.5703125" style="158" bestFit="1" customWidth="1"/>
    <col min="3" max="3" width="40" style="118" customWidth="1"/>
    <col min="4" max="4" width="63" style="127" customWidth="1"/>
    <col min="5" max="6" width="10.5703125" style="116" customWidth="1"/>
    <col min="7" max="9" width="17.42578125" style="159" customWidth="1"/>
    <col min="10" max="10" width="23.5703125" style="117" customWidth="1"/>
    <col min="11" max="12" width="24.5703125" style="80" customWidth="1"/>
    <col min="13" max="26" width="24.5703125" style="81" customWidth="1"/>
    <col min="27" max="16384" width="24.5703125" style="82"/>
  </cols>
  <sheetData>
    <row r="1" spans="1:26" s="108" customFormat="1" ht="38.25" x14ac:dyDescent="0.25">
      <c r="A1" s="244" t="s">
        <v>2451</v>
      </c>
      <c r="B1" s="244"/>
      <c r="C1" s="244"/>
      <c r="D1" s="244"/>
      <c r="E1" s="244"/>
      <c r="F1" s="244"/>
      <c r="G1" s="244"/>
      <c r="H1" s="245"/>
      <c r="I1" s="245"/>
      <c r="J1" s="245"/>
      <c r="K1" s="80"/>
      <c r="L1" s="80"/>
      <c r="M1" s="107"/>
      <c r="N1" s="107"/>
      <c r="O1" s="107"/>
      <c r="P1" s="107"/>
      <c r="Q1" s="107"/>
      <c r="R1" s="107"/>
      <c r="S1" s="107"/>
      <c r="T1" s="107"/>
      <c r="U1" s="107"/>
      <c r="V1" s="107"/>
      <c r="W1" s="107"/>
      <c r="X1" s="107"/>
      <c r="Y1" s="107"/>
      <c r="Z1" s="107"/>
    </row>
    <row r="2" spans="1:26" s="108" customFormat="1" ht="38.25" x14ac:dyDescent="0.25">
      <c r="A2" s="109" t="s">
        <v>423</v>
      </c>
      <c r="B2" s="180" t="s">
        <v>2148</v>
      </c>
      <c r="C2" s="181" t="s">
        <v>1440</v>
      </c>
      <c r="D2" s="110" t="s">
        <v>426</v>
      </c>
      <c r="E2" s="109" t="s">
        <v>427</v>
      </c>
      <c r="F2" s="109" t="s">
        <v>428</v>
      </c>
      <c r="G2" s="148" t="s">
        <v>223</v>
      </c>
      <c r="H2" s="148" t="s">
        <v>1671</v>
      </c>
      <c r="I2" s="148" t="s">
        <v>2749</v>
      </c>
      <c r="J2" s="109" t="s">
        <v>452</v>
      </c>
      <c r="K2" s="80"/>
      <c r="L2" s="80"/>
      <c r="M2" s="107"/>
      <c r="N2" s="107"/>
      <c r="O2" s="107"/>
      <c r="P2" s="107"/>
      <c r="Q2" s="107"/>
      <c r="R2" s="107"/>
      <c r="S2" s="107"/>
      <c r="T2" s="107"/>
      <c r="U2" s="107"/>
      <c r="V2" s="107"/>
      <c r="W2" s="107"/>
      <c r="X2" s="107"/>
      <c r="Y2" s="107"/>
      <c r="Z2" s="107"/>
    </row>
    <row r="3" spans="1:26" s="108" customFormat="1" ht="27" x14ac:dyDescent="0.25">
      <c r="A3" s="200" t="s">
        <v>2455</v>
      </c>
      <c r="B3" s="214">
        <v>41277</v>
      </c>
      <c r="C3" s="215" t="s">
        <v>2457</v>
      </c>
      <c r="D3" s="216" t="s">
        <v>2456</v>
      </c>
      <c r="E3" s="200" t="s">
        <v>516</v>
      </c>
      <c r="F3" s="200" t="s">
        <v>229</v>
      </c>
      <c r="G3" s="199">
        <v>41278</v>
      </c>
      <c r="H3" s="199">
        <v>41278</v>
      </c>
      <c r="I3" s="199" t="s">
        <v>2750</v>
      </c>
      <c r="J3" s="200" t="s">
        <v>798</v>
      </c>
      <c r="K3" s="80"/>
      <c r="L3" s="80"/>
      <c r="M3" s="107"/>
      <c r="N3" s="107"/>
      <c r="O3" s="107"/>
      <c r="P3" s="107"/>
      <c r="Q3" s="107"/>
      <c r="R3" s="107"/>
      <c r="S3" s="107"/>
      <c r="T3" s="107"/>
      <c r="U3" s="107"/>
      <c r="V3" s="107"/>
      <c r="W3" s="107"/>
      <c r="X3" s="107"/>
      <c r="Y3" s="107"/>
      <c r="Z3" s="107"/>
    </row>
    <row r="4" spans="1:26" s="108" customFormat="1" x14ac:dyDescent="0.25">
      <c r="A4" s="63" t="s">
        <v>2459</v>
      </c>
      <c r="B4" s="186">
        <v>41283</v>
      </c>
      <c r="C4" s="184" t="s">
        <v>2460</v>
      </c>
      <c r="D4" s="111" t="s">
        <v>2461</v>
      </c>
      <c r="E4" s="63" t="s">
        <v>516</v>
      </c>
      <c r="F4" s="63" t="s">
        <v>794</v>
      </c>
      <c r="G4" s="93">
        <v>41295</v>
      </c>
      <c r="H4" s="199">
        <v>41309</v>
      </c>
      <c r="I4" s="199" t="s">
        <v>2751</v>
      </c>
      <c r="J4" s="200" t="s">
        <v>798</v>
      </c>
      <c r="K4" s="80"/>
      <c r="L4" s="80"/>
      <c r="M4" s="107"/>
      <c r="N4" s="107"/>
      <c r="O4" s="107"/>
      <c r="P4" s="107"/>
      <c r="Q4" s="107"/>
      <c r="R4" s="107"/>
      <c r="S4" s="107"/>
      <c r="T4" s="107"/>
      <c r="U4" s="107"/>
      <c r="V4" s="107"/>
      <c r="W4" s="107"/>
      <c r="X4" s="107"/>
      <c r="Y4" s="107"/>
      <c r="Z4" s="107"/>
    </row>
    <row r="5" spans="1:26" s="108" customFormat="1" ht="54" x14ac:dyDescent="0.25">
      <c r="A5" s="63" t="s">
        <v>2462</v>
      </c>
      <c r="B5" s="186">
        <v>41291</v>
      </c>
      <c r="C5" s="184" t="s">
        <v>2996</v>
      </c>
      <c r="D5" s="111" t="s">
        <v>2463</v>
      </c>
      <c r="E5" s="63" t="s">
        <v>685</v>
      </c>
      <c r="F5" s="63" t="s">
        <v>156</v>
      </c>
      <c r="G5" s="93">
        <v>41291</v>
      </c>
      <c r="H5" s="199">
        <v>41296</v>
      </c>
      <c r="I5" s="199" t="s">
        <v>2751</v>
      </c>
      <c r="J5" s="200" t="s">
        <v>798</v>
      </c>
      <c r="K5" s="80"/>
      <c r="L5" s="80"/>
      <c r="M5" s="107"/>
      <c r="N5" s="107"/>
      <c r="O5" s="107"/>
      <c r="P5" s="107"/>
      <c r="Q5" s="107"/>
      <c r="R5" s="107"/>
      <c r="S5" s="107"/>
      <c r="T5" s="107"/>
      <c r="U5" s="107"/>
      <c r="V5" s="107"/>
      <c r="W5" s="107"/>
      <c r="X5" s="107"/>
      <c r="Y5" s="107"/>
      <c r="Z5" s="107"/>
    </row>
    <row r="6" spans="1:26" s="108" customFormat="1" ht="27" x14ac:dyDescent="0.25">
      <c r="A6" s="63" t="s">
        <v>2464</v>
      </c>
      <c r="B6" s="186">
        <v>41291</v>
      </c>
      <c r="C6" s="184" t="s">
        <v>2465</v>
      </c>
      <c r="D6" s="111" t="s">
        <v>2466</v>
      </c>
      <c r="E6" s="63" t="s">
        <v>441</v>
      </c>
      <c r="F6" s="63" t="s">
        <v>229</v>
      </c>
      <c r="G6" s="93">
        <v>41334</v>
      </c>
      <c r="H6" s="112">
        <v>41927</v>
      </c>
      <c r="I6" s="199" t="s">
        <v>2750</v>
      </c>
      <c r="J6" s="200" t="s">
        <v>2997</v>
      </c>
      <c r="K6" s="80"/>
      <c r="L6" s="80"/>
      <c r="M6" s="107"/>
      <c r="N6" s="107"/>
      <c r="O6" s="107"/>
      <c r="P6" s="107"/>
      <c r="Q6" s="107"/>
      <c r="R6" s="107"/>
      <c r="S6" s="107"/>
      <c r="T6" s="107"/>
      <c r="U6" s="107"/>
      <c r="V6" s="107"/>
      <c r="W6" s="107"/>
      <c r="X6" s="107"/>
      <c r="Y6" s="107"/>
      <c r="Z6" s="107"/>
    </row>
    <row r="7" spans="1:26" s="108" customFormat="1" x14ac:dyDescent="0.25">
      <c r="A7" s="63" t="s">
        <v>2467</v>
      </c>
      <c r="B7" s="186">
        <v>41292</v>
      </c>
      <c r="C7" s="184" t="s">
        <v>2468</v>
      </c>
      <c r="D7" s="111" t="s">
        <v>2469</v>
      </c>
      <c r="E7" s="63" t="s">
        <v>516</v>
      </c>
      <c r="F7" s="63" t="s">
        <v>794</v>
      </c>
      <c r="G7" s="93">
        <v>41348</v>
      </c>
      <c r="H7" s="199">
        <v>41437</v>
      </c>
      <c r="I7" s="199" t="s">
        <v>2751</v>
      </c>
      <c r="J7" s="200" t="s">
        <v>798</v>
      </c>
      <c r="K7" s="80"/>
      <c r="L7" s="80"/>
      <c r="M7" s="107"/>
      <c r="N7" s="107"/>
      <c r="O7" s="107"/>
      <c r="P7" s="107"/>
      <c r="Q7" s="107"/>
      <c r="R7" s="107"/>
      <c r="S7" s="107"/>
      <c r="T7" s="107"/>
      <c r="U7" s="107"/>
      <c r="V7" s="107"/>
      <c r="W7" s="107"/>
      <c r="X7" s="107"/>
      <c r="Y7" s="107"/>
      <c r="Z7" s="107"/>
    </row>
    <row r="8" spans="1:26" s="108" customFormat="1" ht="81" x14ac:dyDescent="0.25">
      <c r="A8" s="63" t="s">
        <v>2470</v>
      </c>
      <c r="B8" s="186">
        <v>41297</v>
      </c>
      <c r="C8" s="184" t="s">
        <v>2473</v>
      </c>
      <c r="D8" s="111" t="s">
        <v>2471</v>
      </c>
      <c r="E8" s="63" t="s">
        <v>516</v>
      </c>
      <c r="F8" s="63" t="s">
        <v>794</v>
      </c>
      <c r="G8" s="93">
        <v>41362</v>
      </c>
      <c r="H8" s="199">
        <v>41514</v>
      </c>
      <c r="I8" s="199" t="s">
        <v>2751</v>
      </c>
      <c r="J8" s="200" t="s">
        <v>798</v>
      </c>
      <c r="K8" s="80"/>
      <c r="L8" s="80"/>
      <c r="M8" s="107"/>
      <c r="N8" s="107"/>
      <c r="O8" s="107"/>
      <c r="P8" s="107"/>
      <c r="Q8" s="107"/>
      <c r="R8" s="107"/>
      <c r="S8" s="107"/>
      <c r="T8" s="107"/>
      <c r="U8" s="107"/>
      <c r="V8" s="107"/>
      <c r="W8" s="107"/>
      <c r="X8" s="107"/>
      <c r="Y8" s="107"/>
      <c r="Z8" s="107"/>
    </row>
    <row r="9" spans="1:26" s="108" customFormat="1" ht="40.5" x14ac:dyDescent="0.25">
      <c r="A9" s="63" t="s">
        <v>2476</v>
      </c>
      <c r="B9" s="186">
        <v>41316</v>
      </c>
      <c r="C9" s="184" t="s">
        <v>2477</v>
      </c>
      <c r="D9" s="111" t="s">
        <v>2478</v>
      </c>
      <c r="E9" s="63" t="s">
        <v>516</v>
      </c>
      <c r="F9" s="63" t="s">
        <v>794</v>
      </c>
      <c r="G9" s="93">
        <v>41320</v>
      </c>
      <c r="H9" s="199">
        <v>40953</v>
      </c>
      <c r="I9" s="199" t="s">
        <v>2750</v>
      </c>
      <c r="J9" s="200" t="s">
        <v>798</v>
      </c>
      <c r="K9" s="80"/>
      <c r="L9" s="80"/>
      <c r="M9" s="107"/>
      <c r="N9" s="107"/>
      <c r="O9" s="107"/>
      <c r="P9" s="107"/>
      <c r="Q9" s="107"/>
      <c r="R9" s="107"/>
      <c r="S9" s="107"/>
      <c r="T9" s="107"/>
      <c r="U9" s="107"/>
      <c r="V9" s="107"/>
      <c r="W9" s="107"/>
      <c r="X9" s="107"/>
      <c r="Y9" s="107"/>
      <c r="Z9" s="107"/>
    </row>
    <row r="10" spans="1:26" s="108" customFormat="1" x14ac:dyDescent="0.25">
      <c r="A10" s="63" t="s">
        <v>2479</v>
      </c>
      <c r="B10" s="186">
        <v>41319</v>
      </c>
      <c r="C10" s="184" t="s">
        <v>2480</v>
      </c>
      <c r="D10" s="111" t="s">
        <v>438</v>
      </c>
      <c r="E10" s="63" t="s">
        <v>999</v>
      </c>
      <c r="F10" s="63" t="s">
        <v>1510</v>
      </c>
      <c r="G10" s="93">
        <v>41348</v>
      </c>
      <c r="H10" s="112" t="s">
        <v>3387</v>
      </c>
      <c r="I10" s="199" t="s">
        <v>2751</v>
      </c>
      <c r="J10" s="200" t="s">
        <v>798</v>
      </c>
      <c r="K10" s="80"/>
      <c r="L10" s="80"/>
      <c r="M10" s="107"/>
      <c r="N10" s="107"/>
      <c r="O10" s="107"/>
      <c r="P10" s="107"/>
      <c r="Q10" s="107"/>
      <c r="R10" s="107"/>
      <c r="S10" s="107"/>
      <c r="T10" s="107"/>
      <c r="U10" s="107"/>
      <c r="V10" s="107"/>
      <c r="W10" s="107"/>
      <c r="X10" s="107"/>
      <c r="Y10" s="107"/>
      <c r="Z10" s="107"/>
    </row>
    <row r="11" spans="1:26" s="108" customFormat="1" x14ac:dyDescent="0.25">
      <c r="A11" s="63" t="s">
        <v>2481</v>
      </c>
      <c r="B11" s="186">
        <v>41319</v>
      </c>
      <c r="C11" s="184" t="s">
        <v>3111</v>
      </c>
      <c r="D11" s="111" t="s">
        <v>2482</v>
      </c>
      <c r="E11" s="63" t="s">
        <v>999</v>
      </c>
      <c r="F11" s="63" t="s">
        <v>1510</v>
      </c>
      <c r="G11" s="93">
        <v>41394</v>
      </c>
      <c r="H11" s="199">
        <v>41396</v>
      </c>
      <c r="I11" s="199" t="s">
        <v>2751</v>
      </c>
      <c r="J11" s="200" t="s">
        <v>798</v>
      </c>
      <c r="K11" s="80"/>
      <c r="L11" s="80"/>
      <c r="M11" s="107"/>
      <c r="N11" s="107"/>
      <c r="O11" s="107"/>
      <c r="P11" s="107"/>
      <c r="Q11" s="107"/>
      <c r="R11" s="107"/>
      <c r="S11" s="107"/>
      <c r="T11" s="107"/>
      <c r="U11" s="107"/>
      <c r="V11" s="107"/>
      <c r="W11" s="107"/>
      <c r="X11" s="107"/>
      <c r="Y11" s="107"/>
      <c r="Z11" s="107"/>
    </row>
    <row r="12" spans="1:26" s="108" customFormat="1" x14ac:dyDescent="0.25">
      <c r="A12" s="63" t="s">
        <v>2483</v>
      </c>
      <c r="B12" s="186">
        <v>41319</v>
      </c>
      <c r="C12" s="184" t="s">
        <v>2484</v>
      </c>
      <c r="D12" s="111" t="s">
        <v>2484</v>
      </c>
      <c r="E12" s="63" t="s">
        <v>999</v>
      </c>
      <c r="F12" s="63" t="s">
        <v>1510</v>
      </c>
      <c r="G12" s="93">
        <v>41364</v>
      </c>
      <c r="H12" s="199">
        <v>41339</v>
      </c>
      <c r="I12" s="199" t="s">
        <v>2750</v>
      </c>
      <c r="J12" s="200" t="s">
        <v>798</v>
      </c>
      <c r="K12" s="80"/>
      <c r="L12" s="80"/>
      <c r="M12" s="107"/>
      <c r="N12" s="107"/>
      <c r="O12" s="107"/>
      <c r="P12" s="107"/>
      <c r="Q12" s="107"/>
      <c r="R12" s="107"/>
      <c r="S12" s="107"/>
      <c r="T12" s="107"/>
      <c r="U12" s="107"/>
      <c r="V12" s="107"/>
      <c r="W12" s="107"/>
      <c r="X12" s="107"/>
      <c r="Y12" s="107"/>
      <c r="Z12" s="107"/>
    </row>
    <row r="13" spans="1:26" s="108" customFormat="1" ht="27" x14ac:dyDescent="0.25">
      <c r="A13" s="63" t="s">
        <v>2485</v>
      </c>
      <c r="B13" s="186">
        <v>41319</v>
      </c>
      <c r="C13" s="184" t="s">
        <v>2486</v>
      </c>
      <c r="D13" s="111" t="s">
        <v>2486</v>
      </c>
      <c r="E13" s="63" t="s">
        <v>999</v>
      </c>
      <c r="F13" s="63" t="s">
        <v>1510</v>
      </c>
      <c r="G13" s="93">
        <v>41379</v>
      </c>
      <c r="H13" s="199" t="s">
        <v>2487</v>
      </c>
      <c r="I13" s="93" t="s">
        <v>1139</v>
      </c>
      <c r="J13" s="200" t="s">
        <v>2275</v>
      </c>
      <c r="K13" s="80"/>
      <c r="L13" s="80"/>
      <c r="M13" s="107"/>
      <c r="N13" s="107"/>
      <c r="O13" s="107"/>
      <c r="P13" s="107"/>
      <c r="Q13" s="107"/>
      <c r="R13" s="107"/>
      <c r="S13" s="107"/>
      <c r="T13" s="107"/>
      <c r="U13" s="107"/>
      <c r="V13" s="107"/>
      <c r="W13" s="107"/>
      <c r="X13" s="107"/>
      <c r="Y13" s="107"/>
      <c r="Z13" s="107"/>
    </row>
    <row r="14" spans="1:26" s="108" customFormat="1" x14ac:dyDescent="0.25">
      <c r="A14" s="63" t="s">
        <v>2488</v>
      </c>
      <c r="B14" s="186">
        <v>41324</v>
      </c>
      <c r="C14" s="184" t="s">
        <v>2490</v>
      </c>
      <c r="D14" s="111" t="s">
        <v>2492</v>
      </c>
      <c r="E14" s="63" t="s">
        <v>727</v>
      </c>
      <c r="F14" s="63" t="s">
        <v>794</v>
      </c>
      <c r="G14" s="93">
        <v>41351</v>
      </c>
      <c r="H14" s="199">
        <v>41325</v>
      </c>
      <c r="I14" s="199" t="s">
        <v>2750</v>
      </c>
      <c r="J14" s="200" t="s">
        <v>798</v>
      </c>
      <c r="K14" s="80"/>
      <c r="L14" s="80"/>
      <c r="M14" s="107"/>
      <c r="N14" s="107"/>
      <c r="O14" s="107"/>
      <c r="P14" s="107"/>
      <c r="Q14" s="107"/>
      <c r="R14" s="107"/>
      <c r="S14" s="107"/>
      <c r="T14" s="107"/>
      <c r="U14" s="107"/>
      <c r="V14" s="107"/>
      <c r="W14" s="107"/>
      <c r="X14" s="107"/>
      <c r="Y14" s="107"/>
      <c r="Z14" s="107"/>
    </row>
    <row r="15" spans="1:26" s="108" customFormat="1" x14ac:dyDescent="0.25">
      <c r="A15" s="63" t="s">
        <v>2489</v>
      </c>
      <c r="B15" s="186">
        <v>41324</v>
      </c>
      <c r="C15" s="184" t="s">
        <v>2491</v>
      </c>
      <c r="D15" s="111" t="s">
        <v>2492</v>
      </c>
      <c r="E15" s="63" t="s">
        <v>727</v>
      </c>
      <c r="F15" s="63" t="s">
        <v>794</v>
      </c>
      <c r="G15" s="93">
        <v>41351</v>
      </c>
      <c r="H15" s="199">
        <v>41325</v>
      </c>
      <c r="I15" s="199" t="s">
        <v>2750</v>
      </c>
      <c r="J15" s="200" t="s">
        <v>798</v>
      </c>
      <c r="K15" s="80"/>
      <c r="L15" s="80"/>
      <c r="M15" s="107"/>
      <c r="N15" s="107"/>
      <c r="O15" s="107"/>
      <c r="P15" s="107"/>
      <c r="Q15" s="107"/>
      <c r="R15" s="107"/>
      <c r="S15" s="107"/>
      <c r="T15" s="107"/>
      <c r="U15" s="107"/>
      <c r="V15" s="107"/>
      <c r="W15" s="107"/>
      <c r="X15" s="107"/>
      <c r="Y15" s="107"/>
      <c r="Z15" s="107"/>
    </row>
    <row r="16" spans="1:26" s="239" customFormat="1" x14ac:dyDescent="0.25">
      <c r="A16" s="63" t="s">
        <v>2495</v>
      </c>
      <c r="B16" s="186">
        <v>41324</v>
      </c>
      <c r="C16" s="184" t="s">
        <v>2493</v>
      </c>
      <c r="D16" s="111" t="s">
        <v>2494</v>
      </c>
      <c r="E16" s="63" t="s">
        <v>727</v>
      </c>
      <c r="F16" s="63" t="s">
        <v>794</v>
      </c>
      <c r="G16" s="93">
        <v>41351</v>
      </c>
      <c r="H16" s="93">
        <v>41325</v>
      </c>
      <c r="I16" s="93" t="s">
        <v>2750</v>
      </c>
      <c r="J16" s="63" t="s">
        <v>798</v>
      </c>
      <c r="K16" s="217"/>
      <c r="L16" s="217"/>
      <c r="M16" s="238"/>
      <c r="N16" s="238"/>
      <c r="O16" s="238"/>
      <c r="P16" s="238"/>
      <c r="Q16" s="238"/>
      <c r="R16" s="238"/>
      <c r="S16" s="238"/>
      <c r="T16" s="238"/>
      <c r="U16" s="238"/>
      <c r="V16" s="238"/>
      <c r="W16" s="238"/>
      <c r="X16" s="238"/>
      <c r="Y16" s="238"/>
      <c r="Z16" s="238"/>
    </row>
    <row r="17" spans="1:26" s="241" customFormat="1" x14ac:dyDescent="0.25">
      <c r="A17" s="63" t="s">
        <v>2496</v>
      </c>
      <c r="B17" s="186">
        <v>41324</v>
      </c>
      <c r="C17" s="184" t="s">
        <v>2497</v>
      </c>
      <c r="D17" s="111" t="s">
        <v>2498</v>
      </c>
      <c r="E17" s="63" t="s">
        <v>1339</v>
      </c>
      <c r="F17" s="63" t="s">
        <v>794</v>
      </c>
      <c r="G17" s="93">
        <v>41383</v>
      </c>
      <c r="H17" s="93">
        <v>41499</v>
      </c>
      <c r="I17" s="93" t="s">
        <v>1139</v>
      </c>
      <c r="J17" s="63" t="s">
        <v>2679</v>
      </c>
      <c r="K17" s="213"/>
      <c r="L17" s="213"/>
      <c r="M17" s="240"/>
      <c r="N17" s="240"/>
      <c r="O17" s="240"/>
      <c r="P17" s="240"/>
      <c r="Q17" s="240"/>
      <c r="R17" s="240"/>
      <c r="S17" s="240"/>
      <c r="T17" s="240"/>
      <c r="U17" s="240"/>
      <c r="V17" s="240"/>
      <c r="W17" s="240"/>
      <c r="X17" s="240"/>
      <c r="Y17" s="240"/>
      <c r="Z17" s="240"/>
    </row>
    <row r="18" spans="1:26" s="241" customFormat="1" x14ac:dyDescent="0.25">
      <c r="A18" s="218" t="s">
        <v>2500</v>
      </c>
      <c r="B18" s="186">
        <v>41325</v>
      </c>
      <c r="C18" s="184" t="s">
        <v>2503</v>
      </c>
      <c r="D18" s="111" t="s">
        <v>2504</v>
      </c>
      <c r="E18" s="63" t="s">
        <v>2106</v>
      </c>
      <c r="F18" s="63" t="s">
        <v>229</v>
      </c>
      <c r="G18" s="93">
        <v>41325</v>
      </c>
      <c r="H18" s="93">
        <v>41325</v>
      </c>
      <c r="I18" s="93" t="s">
        <v>2750</v>
      </c>
      <c r="J18" s="63" t="s">
        <v>798</v>
      </c>
      <c r="K18" s="213"/>
      <c r="L18" s="213"/>
      <c r="M18" s="240"/>
      <c r="N18" s="240"/>
      <c r="O18" s="240"/>
      <c r="P18" s="240"/>
      <c r="Q18" s="240"/>
      <c r="R18" s="240"/>
      <c r="S18" s="240"/>
      <c r="T18" s="240"/>
      <c r="U18" s="240"/>
      <c r="V18" s="240"/>
      <c r="W18" s="240"/>
      <c r="X18" s="240"/>
      <c r="Y18" s="240"/>
      <c r="Z18" s="240"/>
    </row>
    <row r="19" spans="1:26" s="241" customFormat="1" x14ac:dyDescent="0.25">
      <c r="A19" s="218" t="s">
        <v>2501</v>
      </c>
      <c r="B19" s="186">
        <v>41325</v>
      </c>
      <c r="C19" s="184" t="s">
        <v>2505</v>
      </c>
      <c r="D19" s="111" t="s">
        <v>2504</v>
      </c>
      <c r="E19" s="63" t="s">
        <v>2106</v>
      </c>
      <c r="F19" s="63" t="s">
        <v>229</v>
      </c>
      <c r="G19" s="93">
        <v>41325</v>
      </c>
      <c r="H19" s="93">
        <v>41325</v>
      </c>
      <c r="I19" s="93" t="s">
        <v>2750</v>
      </c>
      <c r="J19" s="63" t="s">
        <v>798</v>
      </c>
      <c r="K19" s="213"/>
      <c r="L19" s="213"/>
      <c r="M19" s="240"/>
      <c r="N19" s="240"/>
      <c r="O19" s="240"/>
      <c r="P19" s="240"/>
      <c r="Q19" s="240"/>
      <c r="R19" s="240"/>
      <c r="S19" s="240"/>
      <c r="T19" s="240"/>
      <c r="U19" s="240"/>
      <c r="V19" s="240"/>
      <c r="W19" s="240"/>
      <c r="X19" s="240"/>
      <c r="Y19" s="240"/>
      <c r="Z19" s="240"/>
    </row>
    <row r="20" spans="1:26" s="241" customFormat="1" x14ac:dyDescent="0.25">
      <c r="A20" s="63" t="s">
        <v>2502</v>
      </c>
      <c r="B20" s="186">
        <v>41325</v>
      </c>
      <c r="C20" s="184" t="s">
        <v>2506</v>
      </c>
      <c r="D20" s="111" t="s">
        <v>2507</v>
      </c>
      <c r="E20" s="63" t="s">
        <v>237</v>
      </c>
      <c r="F20" s="63" t="s">
        <v>229</v>
      </c>
      <c r="G20" s="93">
        <v>41327</v>
      </c>
      <c r="H20" s="93">
        <v>41330</v>
      </c>
      <c r="I20" s="93" t="s">
        <v>2751</v>
      </c>
      <c r="J20" s="63" t="s">
        <v>798</v>
      </c>
      <c r="K20" s="213"/>
      <c r="L20" s="213"/>
      <c r="M20" s="240"/>
      <c r="N20" s="240"/>
      <c r="O20" s="240"/>
      <c r="P20" s="240"/>
      <c r="Q20" s="240"/>
      <c r="R20" s="240"/>
      <c r="S20" s="240"/>
      <c r="T20" s="240"/>
      <c r="U20" s="240"/>
      <c r="V20" s="240"/>
      <c r="W20" s="240"/>
      <c r="X20" s="240"/>
      <c r="Y20" s="240"/>
      <c r="Z20" s="240"/>
    </row>
    <row r="21" spans="1:26" s="241" customFormat="1" ht="27" x14ac:dyDescent="0.25">
      <c r="A21" s="63" t="s">
        <v>2508</v>
      </c>
      <c r="B21" s="186">
        <v>41330</v>
      </c>
      <c r="C21" s="184" t="s">
        <v>2509</v>
      </c>
      <c r="D21" s="111" t="s">
        <v>2510</v>
      </c>
      <c r="E21" s="63" t="s">
        <v>237</v>
      </c>
      <c r="F21" s="63" t="s">
        <v>229</v>
      </c>
      <c r="G21" s="93">
        <v>41331</v>
      </c>
      <c r="H21" s="93">
        <v>41331</v>
      </c>
      <c r="I21" s="93" t="s">
        <v>2751</v>
      </c>
      <c r="J21" s="63" t="s">
        <v>798</v>
      </c>
      <c r="K21" s="213"/>
      <c r="L21" s="213"/>
      <c r="M21" s="240"/>
      <c r="N21" s="240"/>
      <c r="O21" s="240"/>
      <c r="P21" s="240"/>
      <c r="Q21" s="240"/>
      <c r="R21" s="240"/>
      <c r="S21" s="240"/>
      <c r="T21" s="240"/>
      <c r="U21" s="240"/>
      <c r="V21" s="240"/>
      <c r="W21" s="240"/>
      <c r="X21" s="240"/>
      <c r="Y21" s="240"/>
      <c r="Z21" s="240"/>
    </row>
    <row r="22" spans="1:26" s="241" customFormat="1" x14ac:dyDescent="0.25">
      <c r="A22" s="63" t="s">
        <v>2511</v>
      </c>
      <c r="B22" s="186">
        <v>41333</v>
      </c>
      <c r="C22" s="184" t="s">
        <v>2512</v>
      </c>
      <c r="D22" s="111" t="s">
        <v>2513</v>
      </c>
      <c r="E22" s="63" t="s">
        <v>999</v>
      </c>
      <c r="F22" s="63" t="s">
        <v>1510</v>
      </c>
      <c r="G22" s="93">
        <v>41389</v>
      </c>
      <c r="H22" s="112">
        <v>41641</v>
      </c>
      <c r="I22" s="93" t="s">
        <v>2751</v>
      </c>
      <c r="J22" s="63" t="s">
        <v>798</v>
      </c>
      <c r="K22" s="213"/>
      <c r="L22" s="213"/>
      <c r="M22" s="240"/>
      <c r="N22" s="240"/>
      <c r="O22" s="240"/>
      <c r="P22" s="240"/>
      <c r="Q22" s="240"/>
      <c r="R22" s="240"/>
      <c r="S22" s="240"/>
      <c r="T22" s="240"/>
      <c r="U22" s="240"/>
      <c r="V22" s="240"/>
      <c r="W22" s="240"/>
      <c r="X22" s="240"/>
      <c r="Y22" s="240"/>
      <c r="Z22" s="240"/>
    </row>
    <row r="23" spans="1:26" s="241" customFormat="1" ht="27" x14ac:dyDescent="0.25">
      <c r="A23" s="63" t="s">
        <v>2514</v>
      </c>
      <c r="B23" s="186">
        <v>41334</v>
      </c>
      <c r="C23" s="184" t="s">
        <v>2515</v>
      </c>
      <c r="D23" s="111" t="s">
        <v>2528</v>
      </c>
      <c r="E23" s="63" t="s">
        <v>2106</v>
      </c>
      <c r="F23" s="63" t="s">
        <v>229</v>
      </c>
      <c r="G23" s="93">
        <v>41334</v>
      </c>
      <c r="H23" s="93">
        <v>41334</v>
      </c>
      <c r="I23" s="93" t="s">
        <v>2750</v>
      </c>
      <c r="J23" s="63" t="s">
        <v>798</v>
      </c>
      <c r="K23" s="213"/>
      <c r="L23" s="213"/>
      <c r="M23" s="240"/>
      <c r="N23" s="240"/>
      <c r="O23" s="240"/>
      <c r="P23" s="240"/>
      <c r="Q23" s="240"/>
      <c r="R23" s="240"/>
      <c r="S23" s="240"/>
      <c r="T23" s="240"/>
      <c r="U23" s="240"/>
      <c r="V23" s="240"/>
      <c r="W23" s="240"/>
      <c r="X23" s="240"/>
      <c r="Y23" s="240"/>
      <c r="Z23" s="240"/>
    </row>
    <row r="24" spans="1:26" s="241" customFormat="1" x14ac:dyDescent="0.25">
      <c r="A24" s="63" t="s">
        <v>2519</v>
      </c>
      <c r="B24" s="186">
        <v>41337</v>
      </c>
      <c r="C24" s="184" t="s">
        <v>2520</v>
      </c>
      <c r="D24" s="111" t="s">
        <v>2521</v>
      </c>
      <c r="E24" s="63" t="s">
        <v>794</v>
      </c>
      <c r="F24" s="63" t="s">
        <v>794</v>
      </c>
      <c r="G24" s="93">
        <v>41368</v>
      </c>
      <c r="H24" s="112">
        <v>41610</v>
      </c>
      <c r="I24" s="93" t="s">
        <v>2750</v>
      </c>
      <c r="J24" s="63" t="s">
        <v>993</v>
      </c>
      <c r="K24" s="213"/>
      <c r="L24" s="213"/>
      <c r="M24" s="240"/>
      <c r="N24" s="240"/>
      <c r="O24" s="240"/>
      <c r="P24" s="240"/>
      <c r="Q24" s="240"/>
      <c r="R24" s="240"/>
      <c r="S24" s="240"/>
      <c r="T24" s="240"/>
      <c r="U24" s="240"/>
      <c r="V24" s="240"/>
      <c r="W24" s="240"/>
      <c r="X24" s="240"/>
      <c r="Y24" s="240"/>
      <c r="Z24" s="240"/>
    </row>
    <row r="25" spans="1:26" s="241" customFormat="1" ht="27" x14ac:dyDescent="0.25">
      <c r="A25" s="63" t="s">
        <v>2522</v>
      </c>
      <c r="B25" s="186">
        <v>41344</v>
      </c>
      <c r="C25" s="184" t="s">
        <v>2515</v>
      </c>
      <c r="D25" s="111" t="s">
        <v>2523</v>
      </c>
      <c r="E25" s="63" t="s">
        <v>2106</v>
      </c>
      <c r="F25" s="63" t="s">
        <v>229</v>
      </c>
      <c r="G25" s="93">
        <v>41344</v>
      </c>
      <c r="H25" s="93">
        <v>41344</v>
      </c>
      <c r="I25" s="93" t="s">
        <v>2750</v>
      </c>
      <c r="J25" s="63" t="s">
        <v>798</v>
      </c>
      <c r="K25" s="213"/>
      <c r="L25" s="213"/>
      <c r="M25" s="240"/>
      <c r="N25" s="240"/>
      <c r="O25" s="240"/>
      <c r="P25" s="240"/>
      <c r="Q25" s="240"/>
      <c r="R25" s="240"/>
      <c r="S25" s="240"/>
      <c r="T25" s="240"/>
      <c r="U25" s="240"/>
      <c r="V25" s="240"/>
      <c r="W25" s="240"/>
      <c r="X25" s="240"/>
      <c r="Y25" s="240"/>
      <c r="Z25" s="240"/>
    </row>
    <row r="26" spans="1:26" s="241" customFormat="1" ht="27" x14ac:dyDescent="0.25">
      <c r="A26" s="63" t="s">
        <v>2524</v>
      </c>
      <c r="B26" s="186">
        <v>41345</v>
      </c>
      <c r="C26" s="184" t="s">
        <v>2525</v>
      </c>
      <c r="D26" s="111" t="s">
        <v>2516</v>
      </c>
      <c r="E26" s="63" t="s">
        <v>2106</v>
      </c>
      <c r="F26" s="63" t="s">
        <v>229</v>
      </c>
      <c r="G26" s="93">
        <v>41345</v>
      </c>
      <c r="H26" s="93">
        <v>41345</v>
      </c>
      <c r="I26" s="93" t="s">
        <v>2750</v>
      </c>
      <c r="J26" s="63" t="s">
        <v>798</v>
      </c>
      <c r="K26" s="213"/>
      <c r="L26" s="213"/>
      <c r="M26" s="240"/>
      <c r="N26" s="240"/>
      <c r="O26" s="240"/>
      <c r="P26" s="240"/>
      <c r="Q26" s="240"/>
      <c r="R26" s="240"/>
      <c r="S26" s="240"/>
      <c r="T26" s="240"/>
      <c r="U26" s="240"/>
      <c r="V26" s="240"/>
      <c r="W26" s="240"/>
      <c r="X26" s="240"/>
      <c r="Y26" s="240"/>
      <c r="Z26" s="240"/>
    </row>
    <row r="27" spans="1:26" s="241" customFormat="1" ht="27" x14ac:dyDescent="0.25">
      <c r="A27" s="63" t="s">
        <v>2527</v>
      </c>
      <c r="B27" s="186">
        <v>41359</v>
      </c>
      <c r="C27" s="184" t="s">
        <v>2515</v>
      </c>
      <c r="D27" s="111" t="s">
        <v>2526</v>
      </c>
      <c r="E27" s="63" t="s">
        <v>2106</v>
      </c>
      <c r="F27" s="63" t="s">
        <v>229</v>
      </c>
      <c r="G27" s="93">
        <v>41359</v>
      </c>
      <c r="H27" s="93">
        <v>41359</v>
      </c>
      <c r="I27" s="93" t="s">
        <v>2750</v>
      </c>
      <c r="J27" s="63" t="s">
        <v>798</v>
      </c>
      <c r="K27" s="213"/>
      <c r="L27" s="213"/>
      <c r="M27" s="240"/>
      <c r="N27" s="240"/>
      <c r="O27" s="240"/>
      <c r="P27" s="240"/>
      <c r="Q27" s="240"/>
      <c r="R27" s="240"/>
      <c r="S27" s="240"/>
      <c r="T27" s="240"/>
      <c r="U27" s="240"/>
      <c r="V27" s="240"/>
      <c r="W27" s="240"/>
      <c r="X27" s="240"/>
      <c r="Y27" s="240"/>
      <c r="Z27" s="240"/>
    </row>
    <row r="28" spans="1:26" s="241" customFormat="1" x14ac:dyDescent="0.25">
      <c r="A28" s="63" t="s">
        <v>2529</v>
      </c>
      <c r="B28" s="186">
        <v>41359</v>
      </c>
      <c r="C28" s="184" t="s">
        <v>2530</v>
      </c>
      <c r="D28" s="111" t="s">
        <v>2532</v>
      </c>
      <c r="E28" s="63" t="s">
        <v>999</v>
      </c>
      <c r="F28" s="63" t="s">
        <v>441</v>
      </c>
      <c r="G28" s="93">
        <v>41379</v>
      </c>
      <c r="H28" s="93">
        <v>41390</v>
      </c>
      <c r="I28" s="93" t="s">
        <v>2751</v>
      </c>
      <c r="J28" s="63" t="s">
        <v>798</v>
      </c>
      <c r="K28" s="213"/>
      <c r="L28" s="213"/>
      <c r="M28" s="240"/>
      <c r="N28" s="240"/>
      <c r="O28" s="240"/>
      <c r="P28" s="240"/>
      <c r="Q28" s="240"/>
      <c r="R28" s="240"/>
      <c r="S28" s="240"/>
      <c r="T28" s="240"/>
      <c r="U28" s="240"/>
      <c r="V28" s="240"/>
      <c r="W28" s="240"/>
      <c r="X28" s="240"/>
      <c r="Y28" s="240"/>
      <c r="Z28" s="240"/>
    </row>
    <row r="29" spans="1:26" s="241" customFormat="1" ht="27" x14ac:dyDescent="0.25">
      <c r="A29" s="63" t="s">
        <v>2531</v>
      </c>
      <c r="B29" s="186">
        <v>41359</v>
      </c>
      <c r="C29" s="184" t="s">
        <v>483</v>
      </c>
      <c r="D29" s="111" t="s">
        <v>2533</v>
      </c>
      <c r="E29" s="63" t="s">
        <v>999</v>
      </c>
      <c r="F29" s="63" t="s">
        <v>441</v>
      </c>
      <c r="G29" s="93">
        <v>41374</v>
      </c>
      <c r="H29" s="93">
        <v>41361</v>
      </c>
      <c r="I29" s="93" t="s">
        <v>2750</v>
      </c>
      <c r="J29" s="63" t="s">
        <v>798</v>
      </c>
      <c r="K29" s="213"/>
      <c r="L29" s="213"/>
      <c r="M29" s="240"/>
      <c r="N29" s="240"/>
      <c r="O29" s="240"/>
      <c r="P29" s="240"/>
      <c r="Q29" s="240"/>
      <c r="R29" s="240"/>
      <c r="S29" s="240"/>
      <c r="T29" s="240"/>
      <c r="U29" s="240"/>
      <c r="V29" s="240"/>
      <c r="W29" s="240"/>
      <c r="X29" s="240"/>
      <c r="Y29" s="240"/>
      <c r="Z29" s="240"/>
    </row>
    <row r="30" spans="1:26" s="241" customFormat="1" x14ac:dyDescent="0.25">
      <c r="A30" s="63" t="s">
        <v>2534</v>
      </c>
      <c r="B30" s="186">
        <v>41361</v>
      </c>
      <c r="C30" s="184" t="s">
        <v>2539</v>
      </c>
      <c r="D30" s="111" t="s">
        <v>2540</v>
      </c>
      <c r="E30" s="63" t="s">
        <v>999</v>
      </c>
      <c r="F30" s="63" t="s">
        <v>1510</v>
      </c>
      <c r="G30" s="93">
        <v>41453</v>
      </c>
      <c r="H30" s="93">
        <v>41470</v>
      </c>
      <c r="I30" s="93" t="s">
        <v>2751</v>
      </c>
      <c r="J30" s="63" t="s">
        <v>798</v>
      </c>
      <c r="K30" s="213"/>
      <c r="L30" s="213"/>
      <c r="M30" s="240"/>
      <c r="N30" s="240"/>
      <c r="O30" s="240"/>
      <c r="P30" s="240"/>
      <c r="Q30" s="240"/>
      <c r="R30" s="240"/>
      <c r="S30" s="240"/>
      <c r="T30" s="240"/>
      <c r="U30" s="240"/>
      <c r="V30" s="240"/>
      <c r="W30" s="240"/>
      <c r="X30" s="240"/>
      <c r="Y30" s="240"/>
      <c r="Z30" s="240"/>
    </row>
    <row r="31" spans="1:26" s="241" customFormat="1" ht="15.75" customHeight="1" x14ac:dyDescent="0.25">
      <c r="A31" s="63" t="s">
        <v>2535</v>
      </c>
      <c r="B31" s="186">
        <v>41361</v>
      </c>
      <c r="C31" s="184" t="s">
        <v>2541</v>
      </c>
      <c r="D31" s="111" t="s">
        <v>2540</v>
      </c>
      <c r="E31" s="63" t="s">
        <v>999</v>
      </c>
      <c r="F31" s="63" t="s">
        <v>1510</v>
      </c>
      <c r="G31" s="93">
        <v>41453</v>
      </c>
      <c r="H31" s="93">
        <v>41537</v>
      </c>
      <c r="I31" s="93" t="s">
        <v>2751</v>
      </c>
      <c r="J31" s="63" t="s">
        <v>798</v>
      </c>
      <c r="K31" s="213"/>
      <c r="L31" s="213"/>
      <c r="M31" s="240"/>
      <c r="N31" s="240"/>
      <c r="O31" s="240"/>
      <c r="P31" s="240"/>
      <c r="Q31" s="240"/>
      <c r="R31" s="240"/>
      <c r="S31" s="240"/>
      <c r="T31" s="240"/>
      <c r="U31" s="240"/>
      <c r="V31" s="240"/>
      <c r="W31" s="240"/>
      <c r="X31" s="240"/>
      <c r="Y31" s="240"/>
      <c r="Z31" s="240"/>
    </row>
    <row r="32" spans="1:26" s="241" customFormat="1" x14ac:dyDescent="0.25">
      <c r="A32" s="63" t="s">
        <v>2536</v>
      </c>
      <c r="B32" s="186">
        <v>41361</v>
      </c>
      <c r="C32" s="184" t="s">
        <v>2542</v>
      </c>
      <c r="D32" s="111" t="s">
        <v>1320</v>
      </c>
      <c r="E32" s="63" t="s">
        <v>999</v>
      </c>
      <c r="F32" s="63" t="s">
        <v>1510</v>
      </c>
      <c r="G32" s="93">
        <v>41453</v>
      </c>
      <c r="H32" s="93">
        <v>41569</v>
      </c>
      <c r="I32" s="93" t="s">
        <v>2751</v>
      </c>
      <c r="J32" s="63" t="s">
        <v>993</v>
      </c>
      <c r="K32" s="213"/>
      <c r="L32" s="213"/>
      <c r="M32" s="240"/>
      <c r="N32" s="240"/>
      <c r="O32" s="240"/>
      <c r="P32" s="240"/>
      <c r="Q32" s="240"/>
      <c r="R32" s="240"/>
      <c r="S32" s="240"/>
      <c r="T32" s="240"/>
      <c r="U32" s="240"/>
      <c r="V32" s="240"/>
      <c r="W32" s="240"/>
      <c r="X32" s="240"/>
      <c r="Y32" s="240"/>
      <c r="Z32" s="240"/>
    </row>
    <row r="33" spans="1:26" s="241" customFormat="1" x14ac:dyDescent="0.25">
      <c r="A33" s="63" t="s">
        <v>2537</v>
      </c>
      <c r="B33" s="186">
        <v>41361</v>
      </c>
      <c r="C33" s="184" t="s">
        <v>2543</v>
      </c>
      <c r="D33" s="111" t="s">
        <v>2540</v>
      </c>
      <c r="E33" s="63" t="s">
        <v>999</v>
      </c>
      <c r="F33" s="63" t="s">
        <v>1510</v>
      </c>
      <c r="G33" s="93">
        <v>41453</v>
      </c>
      <c r="H33" s="220">
        <v>41802</v>
      </c>
      <c r="I33" s="93" t="s">
        <v>2750</v>
      </c>
      <c r="J33" s="63" t="s">
        <v>798</v>
      </c>
      <c r="K33" s="213"/>
      <c r="L33" s="213"/>
      <c r="M33" s="240"/>
      <c r="N33" s="240"/>
      <c r="O33" s="240"/>
      <c r="P33" s="240"/>
      <c r="Q33" s="240"/>
      <c r="R33" s="240"/>
      <c r="S33" s="240"/>
      <c r="T33" s="240"/>
      <c r="U33" s="240"/>
      <c r="V33" s="240"/>
      <c r="W33" s="240"/>
      <c r="X33" s="240"/>
      <c r="Y33" s="240"/>
      <c r="Z33" s="240"/>
    </row>
    <row r="34" spans="1:26" s="241" customFormat="1" x14ac:dyDescent="0.25">
      <c r="A34" s="63" t="s">
        <v>2538</v>
      </c>
      <c r="B34" s="186">
        <v>41361</v>
      </c>
      <c r="C34" s="184" t="s">
        <v>2544</v>
      </c>
      <c r="D34" s="111" t="s">
        <v>2540</v>
      </c>
      <c r="E34" s="63" t="s">
        <v>999</v>
      </c>
      <c r="F34" s="63" t="s">
        <v>1510</v>
      </c>
      <c r="G34" s="93">
        <v>41453</v>
      </c>
      <c r="H34" s="93">
        <v>41499</v>
      </c>
      <c r="I34" s="93" t="s">
        <v>1139</v>
      </c>
      <c r="J34" s="63" t="s">
        <v>2679</v>
      </c>
      <c r="K34" s="213"/>
      <c r="L34" s="213"/>
      <c r="M34" s="240"/>
      <c r="N34" s="240"/>
      <c r="O34" s="240"/>
      <c r="P34" s="240"/>
      <c r="Q34" s="240"/>
      <c r="R34" s="240"/>
      <c r="S34" s="240"/>
      <c r="T34" s="240"/>
      <c r="U34" s="240"/>
      <c r="V34" s="240"/>
      <c r="W34" s="240"/>
      <c r="X34" s="240"/>
      <c r="Y34" s="240"/>
      <c r="Z34" s="240"/>
    </row>
    <row r="35" spans="1:26" s="241" customFormat="1" ht="27" x14ac:dyDescent="0.25">
      <c r="A35" s="63" t="s">
        <v>2545</v>
      </c>
      <c r="B35" s="186">
        <v>41361</v>
      </c>
      <c r="C35" s="184" t="s">
        <v>2548</v>
      </c>
      <c r="D35" s="111" t="s">
        <v>2549</v>
      </c>
      <c r="E35" s="63" t="s">
        <v>2331</v>
      </c>
      <c r="F35" s="63" t="s">
        <v>229</v>
      </c>
      <c r="G35" s="93">
        <v>41376</v>
      </c>
      <c r="H35" s="93">
        <v>41375</v>
      </c>
      <c r="I35" s="93" t="s">
        <v>2750</v>
      </c>
      <c r="J35" s="63" t="s">
        <v>798</v>
      </c>
      <c r="K35" s="213"/>
      <c r="L35" s="213"/>
      <c r="M35" s="240"/>
      <c r="N35" s="240"/>
      <c r="O35" s="240"/>
      <c r="P35" s="240"/>
      <c r="Q35" s="240"/>
      <c r="R35" s="240"/>
      <c r="S35" s="240"/>
      <c r="T35" s="240"/>
      <c r="U35" s="240"/>
      <c r="V35" s="240"/>
      <c r="W35" s="240"/>
      <c r="X35" s="240"/>
      <c r="Y35" s="240"/>
      <c r="Z35" s="240"/>
    </row>
    <row r="36" spans="1:26" s="241" customFormat="1" ht="27" x14ac:dyDescent="0.25">
      <c r="A36" s="63" t="s">
        <v>2546</v>
      </c>
      <c r="B36" s="186">
        <v>41369</v>
      </c>
      <c r="C36" s="184" t="s">
        <v>2998</v>
      </c>
      <c r="D36" s="111" t="s">
        <v>2547</v>
      </c>
      <c r="E36" s="63" t="s">
        <v>1510</v>
      </c>
      <c r="F36" s="63" t="s">
        <v>441</v>
      </c>
      <c r="G36" s="93">
        <v>41394</v>
      </c>
      <c r="H36" s="93">
        <v>41372</v>
      </c>
      <c r="I36" s="93" t="s">
        <v>2750</v>
      </c>
      <c r="J36" s="63" t="s">
        <v>798</v>
      </c>
      <c r="K36" s="213"/>
      <c r="L36" s="213"/>
      <c r="M36" s="240"/>
      <c r="N36" s="240"/>
      <c r="O36" s="240"/>
      <c r="P36" s="240"/>
      <c r="Q36" s="240"/>
      <c r="R36" s="240"/>
      <c r="S36" s="240"/>
      <c r="T36" s="240"/>
      <c r="U36" s="240"/>
      <c r="V36" s="240"/>
      <c r="W36" s="240"/>
      <c r="X36" s="240"/>
      <c r="Y36" s="240"/>
      <c r="Z36" s="240"/>
    </row>
    <row r="37" spans="1:26" s="241" customFormat="1" x14ac:dyDescent="0.25">
      <c r="A37" s="63" t="s">
        <v>2550</v>
      </c>
      <c r="B37" s="186">
        <v>41372</v>
      </c>
      <c r="C37" s="184" t="s">
        <v>2551</v>
      </c>
      <c r="D37" s="111" t="s">
        <v>2552</v>
      </c>
      <c r="E37" s="63" t="s">
        <v>2428</v>
      </c>
      <c r="F37" s="63" t="s">
        <v>229</v>
      </c>
      <c r="G37" s="93">
        <v>41376</v>
      </c>
      <c r="H37" s="93">
        <v>41374</v>
      </c>
      <c r="I37" s="93" t="s">
        <v>2750</v>
      </c>
      <c r="J37" s="63" t="s">
        <v>798</v>
      </c>
      <c r="K37" s="213"/>
      <c r="L37" s="213"/>
      <c r="M37" s="240"/>
      <c r="N37" s="240"/>
      <c r="O37" s="240"/>
      <c r="P37" s="240"/>
      <c r="Q37" s="240"/>
      <c r="R37" s="240"/>
      <c r="S37" s="240"/>
      <c r="T37" s="240"/>
      <c r="U37" s="240"/>
      <c r="V37" s="240"/>
      <c r="W37" s="240"/>
      <c r="X37" s="240"/>
      <c r="Y37" s="240"/>
      <c r="Z37" s="240"/>
    </row>
    <row r="38" spans="1:26" s="241" customFormat="1" ht="27" x14ac:dyDescent="0.25">
      <c r="A38" s="63" t="s">
        <v>2554</v>
      </c>
      <c r="B38" s="186">
        <v>41376</v>
      </c>
      <c r="C38" s="184" t="s">
        <v>2555</v>
      </c>
      <c r="D38" s="111" t="s">
        <v>2556</v>
      </c>
      <c r="E38" s="63" t="s">
        <v>1339</v>
      </c>
      <c r="F38" s="63" t="s">
        <v>794</v>
      </c>
      <c r="G38" s="93">
        <v>41406</v>
      </c>
      <c r="H38" s="93">
        <v>41423</v>
      </c>
      <c r="I38" s="93" t="s">
        <v>2751</v>
      </c>
      <c r="J38" s="63" t="s">
        <v>798</v>
      </c>
      <c r="K38" s="213"/>
      <c r="L38" s="213"/>
      <c r="M38" s="240"/>
      <c r="N38" s="240"/>
      <c r="O38" s="240"/>
      <c r="P38" s="240"/>
      <c r="Q38" s="240"/>
      <c r="R38" s="240"/>
      <c r="S38" s="240"/>
      <c r="T38" s="240"/>
      <c r="U38" s="240"/>
      <c r="V38" s="240"/>
      <c r="W38" s="240"/>
      <c r="X38" s="240"/>
      <c r="Y38" s="240"/>
      <c r="Z38" s="240"/>
    </row>
    <row r="39" spans="1:26" s="241" customFormat="1" ht="27" x14ac:dyDescent="0.25">
      <c r="A39" s="63" t="s">
        <v>2557</v>
      </c>
      <c r="B39" s="186">
        <v>41376</v>
      </c>
      <c r="C39" s="184" t="s">
        <v>2558</v>
      </c>
      <c r="D39" s="111" t="s">
        <v>2559</v>
      </c>
      <c r="E39" s="63" t="s">
        <v>999</v>
      </c>
      <c r="F39" s="63" t="s">
        <v>229</v>
      </c>
      <c r="G39" s="93">
        <v>41394</v>
      </c>
      <c r="H39" s="93">
        <v>41401</v>
      </c>
      <c r="I39" s="93" t="s">
        <v>2751</v>
      </c>
      <c r="J39" s="63" t="s">
        <v>798</v>
      </c>
      <c r="K39" s="213"/>
      <c r="L39" s="213"/>
      <c r="M39" s="240"/>
      <c r="N39" s="240"/>
      <c r="O39" s="240"/>
      <c r="P39" s="240"/>
      <c r="Q39" s="240"/>
      <c r="R39" s="240"/>
      <c r="S39" s="240"/>
      <c r="T39" s="240"/>
      <c r="U39" s="240"/>
      <c r="V39" s="240"/>
      <c r="W39" s="240"/>
      <c r="X39" s="240"/>
      <c r="Y39" s="240"/>
      <c r="Z39" s="240"/>
    </row>
    <row r="40" spans="1:26" s="241" customFormat="1" ht="27" x14ac:dyDescent="0.25">
      <c r="A40" s="63" t="s">
        <v>2560</v>
      </c>
      <c r="B40" s="186">
        <v>41386</v>
      </c>
      <c r="C40" s="184" t="s">
        <v>2561</v>
      </c>
      <c r="D40" s="111" t="s">
        <v>2562</v>
      </c>
      <c r="E40" s="63" t="s">
        <v>2106</v>
      </c>
      <c r="F40" s="63" t="s">
        <v>229</v>
      </c>
      <c r="G40" s="93">
        <v>41404</v>
      </c>
      <c r="H40" s="112" t="s">
        <v>1056</v>
      </c>
      <c r="I40" s="93" t="s">
        <v>1139</v>
      </c>
      <c r="J40" s="63" t="s">
        <v>3630</v>
      </c>
      <c r="K40" s="213"/>
      <c r="L40" s="213"/>
      <c r="M40" s="240"/>
      <c r="N40" s="240"/>
      <c r="O40" s="240"/>
      <c r="P40" s="240"/>
      <c r="Q40" s="240"/>
      <c r="R40" s="240"/>
      <c r="S40" s="240"/>
      <c r="T40" s="240"/>
      <c r="U40" s="240"/>
      <c r="V40" s="240"/>
      <c r="W40" s="240"/>
      <c r="X40" s="240"/>
      <c r="Y40" s="240"/>
      <c r="Z40" s="240"/>
    </row>
    <row r="41" spans="1:26" s="241" customFormat="1" ht="27" x14ac:dyDescent="0.25">
      <c r="A41" s="63" t="s">
        <v>2563</v>
      </c>
      <c r="B41" s="186">
        <v>41389</v>
      </c>
      <c r="C41" s="184" t="s">
        <v>2564</v>
      </c>
      <c r="D41" s="111" t="s">
        <v>2565</v>
      </c>
      <c r="E41" s="63" t="s">
        <v>2067</v>
      </c>
      <c r="F41" s="63" t="s">
        <v>229</v>
      </c>
      <c r="G41" s="93">
        <v>41395</v>
      </c>
      <c r="H41" s="93">
        <v>41396</v>
      </c>
      <c r="I41" s="93" t="s">
        <v>2751</v>
      </c>
      <c r="J41" s="63" t="s">
        <v>798</v>
      </c>
      <c r="K41" s="213"/>
      <c r="L41" s="213"/>
      <c r="M41" s="240"/>
      <c r="N41" s="240"/>
      <c r="O41" s="240"/>
      <c r="P41" s="240"/>
      <c r="Q41" s="240"/>
      <c r="R41" s="240"/>
      <c r="S41" s="240"/>
      <c r="T41" s="240"/>
      <c r="U41" s="240"/>
      <c r="V41" s="240"/>
      <c r="W41" s="240"/>
      <c r="X41" s="240"/>
      <c r="Y41" s="240"/>
      <c r="Z41" s="240"/>
    </row>
    <row r="42" spans="1:26" s="241" customFormat="1" ht="27" x14ac:dyDescent="0.25">
      <c r="A42" s="63" t="s">
        <v>2566</v>
      </c>
      <c r="B42" s="186">
        <v>41389</v>
      </c>
      <c r="C42" s="184" t="s">
        <v>2567</v>
      </c>
      <c r="D42" s="111" t="s">
        <v>2568</v>
      </c>
      <c r="E42" s="63" t="s">
        <v>999</v>
      </c>
      <c r="F42" s="63" t="s">
        <v>1510</v>
      </c>
      <c r="G42" s="93">
        <v>41517</v>
      </c>
      <c r="H42" s="93">
        <v>41471</v>
      </c>
      <c r="I42" s="93" t="s">
        <v>2750</v>
      </c>
      <c r="J42" s="63" t="s">
        <v>993</v>
      </c>
      <c r="K42" s="213"/>
      <c r="L42" s="213"/>
      <c r="M42" s="240"/>
      <c r="N42" s="240"/>
      <c r="O42" s="240"/>
      <c r="P42" s="240"/>
      <c r="Q42" s="240"/>
      <c r="R42" s="240"/>
      <c r="S42" s="240"/>
      <c r="T42" s="240"/>
      <c r="U42" s="240"/>
      <c r="V42" s="240"/>
      <c r="W42" s="240"/>
      <c r="X42" s="240"/>
      <c r="Y42" s="240"/>
      <c r="Z42" s="240"/>
    </row>
    <row r="43" spans="1:26" s="241" customFormat="1" x14ac:dyDescent="0.25">
      <c r="A43" s="63" t="s">
        <v>2573</v>
      </c>
      <c r="B43" s="186">
        <v>41390</v>
      </c>
      <c r="C43" s="184" t="s">
        <v>2574</v>
      </c>
      <c r="D43" s="111" t="s">
        <v>2575</v>
      </c>
      <c r="E43" s="63" t="s">
        <v>999</v>
      </c>
      <c r="F43" s="63" t="s">
        <v>1510</v>
      </c>
      <c r="G43" s="220">
        <v>41547</v>
      </c>
      <c r="H43" s="112" t="s">
        <v>3395</v>
      </c>
      <c r="I43" s="93" t="s">
        <v>1139</v>
      </c>
      <c r="J43" s="63" t="s">
        <v>1173</v>
      </c>
      <c r="K43" s="213"/>
      <c r="L43" s="213"/>
      <c r="M43" s="240"/>
      <c r="N43" s="240"/>
      <c r="O43" s="240"/>
      <c r="P43" s="240"/>
      <c r="Q43" s="240"/>
      <c r="R43" s="240"/>
      <c r="S43" s="240"/>
      <c r="T43" s="240"/>
      <c r="U43" s="240"/>
      <c r="V43" s="240"/>
      <c r="W43" s="240"/>
      <c r="X43" s="240"/>
      <c r="Y43" s="240"/>
      <c r="Z43" s="240"/>
    </row>
    <row r="44" spans="1:26" s="241" customFormat="1" x14ac:dyDescent="0.25">
      <c r="A44" s="63" t="s">
        <v>2576</v>
      </c>
      <c r="B44" s="186">
        <v>41394</v>
      </c>
      <c r="C44" s="184" t="s">
        <v>2204</v>
      </c>
      <c r="D44" s="111" t="s">
        <v>2577</v>
      </c>
      <c r="E44" s="63" t="s">
        <v>441</v>
      </c>
      <c r="F44" s="63" t="s">
        <v>229</v>
      </c>
      <c r="G44" s="93">
        <v>41439</v>
      </c>
      <c r="H44" s="93">
        <v>41473</v>
      </c>
      <c r="I44" s="93" t="s">
        <v>2751</v>
      </c>
      <c r="J44" s="63" t="s">
        <v>798</v>
      </c>
      <c r="K44" s="213"/>
      <c r="L44" s="213"/>
      <c r="M44" s="240"/>
      <c r="N44" s="240"/>
      <c r="O44" s="240"/>
      <c r="P44" s="240"/>
      <c r="Q44" s="240"/>
      <c r="R44" s="240"/>
      <c r="S44" s="240"/>
      <c r="T44" s="240"/>
      <c r="U44" s="240"/>
      <c r="V44" s="240"/>
      <c r="W44" s="240"/>
      <c r="X44" s="240"/>
      <c r="Y44" s="240"/>
      <c r="Z44" s="240"/>
    </row>
    <row r="45" spans="1:26" s="241" customFormat="1" x14ac:dyDescent="0.25">
      <c r="A45" s="63" t="s">
        <v>2578</v>
      </c>
      <c r="B45" s="186">
        <v>41396</v>
      </c>
      <c r="C45" s="184" t="s">
        <v>2580</v>
      </c>
      <c r="D45" s="111" t="s">
        <v>2579</v>
      </c>
      <c r="E45" s="63" t="s">
        <v>2331</v>
      </c>
      <c r="F45" s="63" t="s">
        <v>229</v>
      </c>
      <c r="G45" s="93">
        <v>41547</v>
      </c>
      <c r="H45" s="112">
        <v>41681</v>
      </c>
      <c r="I45" s="93" t="s">
        <v>2751</v>
      </c>
      <c r="J45" s="63" t="s">
        <v>798</v>
      </c>
      <c r="K45" s="213"/>
      <c r="L45" s="213"/>
      <c r="M45" s="240"/>
      <c r="N45" s="240"/>
      <c r="O45" s="240"/>
      <c r="P45" s="240"/>
      <c r="Q45" s="240"/>
      <c r="R45" s="240"/>
      <c r="S45" s="240"/>
      <c r="T45" s="240"/>
      <c r="U45" s="240"/>
      <c r="V45" s="240"/>
      <c r="W45" s="240"/>
      <c r="X45" s="240"/>
      <c r="Y45" s="240"/>
      <c r="Z45" s="240"/>
    </row>
    <row r="46" spans="1:26" s="241" customFormat="1" x14ac:dyDescent="0.25">
      <c r="A46" s="63" t="s">
        <v>2581</v>
      </c>
      <c r="B46" s="186">
        <v>41397</v>
      </c>
      <c r="C46" s="184" t="s">
        <v>212</v>
      </c>
      <c r="D46" s="111" t="s">
        <v>2962</v>
      </c>
      <c r="E46" s="63" t="s">
        <v>685</v>
      </c>
      <c r="F46" s="63" t="s">
        <v>794</v>
      </c>
      <c r="G46" s="93">
        <v>41547</v>
      </c>
      <c r="H46" s="112">
        <v>42202</v>
      </c>
      <c r="I46" s="93" t="s">
        <v>2751</v>
      </c>
      <c r="J46" s="63" t="s">
        <v>798</v>
      </c>
      <c r="K46" s="213"/>
      <c r="L46" s="213"/>
      <c r="M46" s="240"/>
      <c r="N46" s="240"/>
      <c r="O46" s="240"/>
      <c r="P46" s="240"/>
      <c r="Q46" s="240"/>
      <c r="R46" s="240"/>
      <c r="S46" s="240"/>
      <c r="T46" s="240"/>
      <c r="U46" s="240"/>
      <c r="V46" s="240"/>
      <c r="W46" s="240"/>
      <c r="X46" s="240"/>
      <c r="Y46" s="240"/>
      <c r="Z46" s="240"/>
    </row>
    <row r="47" spans="1:26" s="241" customFormat="1" x14ac:dyDescent="0.25">
      <c r="A47" s="63" t="s">
        <v>2583</v>
      </c>
      <c r="B47" s="186">
        <v>41407</v>
      </c>
      <c r="C47" s="184" t="s">
        <v>2585</v>
      </c>
      <c r="D47" s="111" t="s">
        <v>2584</v>
      </c>
      <c r="E47" s="63" t="s">
        <v>999</v>
      </c>
      <c r="F47" s="63" t="s">
        <v>794</v>
      </c>
      <c r="G47" s="93">
        <v>41411</v>
      </c>
      <c r="H47" s="93">
        <v>41407</v>
      </c>
      <c r="I47" s="93" t="s">
        <v>2750</v>
      </c>
      <c r="J47" s="63" t="s">
        <v>798</v>
      </c>
      <c r="K47" s="213"/>
      <c r="L47" s="213"/>
      <c r="M47" s="240"/>
      <c r="N47" s="240"/>
      <c r="O47" s="240"/>
      <c r="P47" s="240"/>
      <c r="Q47" s="240"/>
      <c r="R47" s="240"/>
      <c r="S47" s="240"/>
      <c r="T47" s="240"/>
      <c r="U47" s="240"/>
      <c r="V47" s="240"/>
      <c r="W47" s="240"/>
      <c r="X47" s="240"/>
      <c r="Y47" s="240"/>
      <c r="Z47" s="240"/>
    </row>
    <row r="48" spans="1:26" s="241" customFormat="1" x14ac:dyDescent="0.25">
      <c r="A48" s="63" t="s">
        <v>2587</v>
      </c>
      <c r="B48" s="186">
        <v>41410</v>
      </c>
      <c r="C48" s="184" t="s">
        <v>2588</v>
      </c>
      <c r="D48" s="111" t="s">
        <v>2589</v>
      </c>
      <c r="E48" s="63" t="s">
        <v>685</v>
      </c>
      <c r="F48" s="63" t="s">
        <v>794</v>
      </c>
      <c r="G48" s="93">
        <v>41670</v>
      </c>
      <c r="H48" s="112">
        <v>41711</v>
      </c>
      <c r="I48" s="93" t="s">
        <v>2751</v>
      </c>
      <c r="J48" s="63" t="s">
        <v>798</v>
      </c>
      <c r="K48" s="213"/>
      <c r="L48" s="213"/>
      <c r="M48" s="240"/>
      <c r="N48" s="240"/>
      <c r="O48" s="240"/>
      <c r="P48" s="240"/>
      <c r="Q48" s="240"/>
      <c r="R48" s="240"/>
      <c r="S48" s="240"/>
      <c r="T48" s="240"/>
      <c r="U48" s="240"/>
      <c r="V48" s="240"/>
      <c r="W48" s="240"/>
      <c r="X48" s="240"/>
      <c r="Y48" s="240"/>
      <c r="Z48" s="240"/>
    </row>
    <row r="49" spans="1:26" s="241" customFormat="1" ht="27" x14ac:dyDescent="0.25">
      <c r="A49" s="63" t="s">
        <v>2590</v>
      </c>
      <c r="B49" s="186">
        <v>41411</v>
      </c>
      <c r="C49" s="184" t="s">
        <v>2591</v>
      </c>
      <c r="D49" s="111" t="s">
        <v>2592</v>
      </c>
      <c r="E49" s="63" t="s">
        <v>2428</v>
      </c>
      <c r="F49" s="63" t="s">
        <v>229</v>
      </c>
      <c r="G49" s="93">
        <v>41425</v>
      </c>
      <c r="H49" s="93">
        <v>41436</v>
      </c>
      <c r="I49" s="93" t="s">
        <v>2751</v>
      </c>
      <c r="J49" s="63" t="s">
        <v>798</v>
      </c>
      <c r="K49" s="213"/>
      <c r="L49" s="213"/>
      <c r="M49" s="240"/>
      <c r="N49" s="240"/>
      <c r="O49" s="240"/>
      <c r="P49" s="240"/>
      <c r="Q49" s="240"/>
      <c r="R49" s="240"/>
      <c r="S49" s="240"/>
      <c r="T49" s="240"/>
      <c r="U49" s="240"/>
      <c r="V49" s="240"/>
      <c r="W49" s="240"/>
      <c r="X49" s="240"/>
      <c r="Y49" s="240"/>
      <c r="Z49" s="240"/>
    </row>
    <row r="50" spans="1:26" s="241" customFormat="1" ht="27" x14ac:dyDescent="0.25">
      <c r="A50" s="63" t="s">
        <v>2593</v>
      </c>
      <c r="B50" s="186">
        <v>41414</v>
      </c>
      <c r="C50" s="184" t="s">
        <v>2595</v>
      </c>
      <c r="D50" s="111" t="s">
        <v>2594</v>
      </c>
      <c r="E50" s="63" t="s">
        <v>2106</v>
      </c>
      <c r="F50" s="63" t="s">
        <v>229</v>
      </c>
      <c r="G50" s="93">
        <v>41425</v>
      </c>
      <c r="H50" s="112">
        <v>41423</v>
      </c>
      <c r="I50" s="93" t="s">
        <v>2750</v>
      </c>
      <c r="J50" s="63" t="s">
        <v>798</v>
      </c>
      <c r="K50" s="213"/>
      <c r="L50" s="213"/>
      <c r="M50" s="240"/>
      <c r="N50" s="240"/>
      <c r="O50" s="240"/>
      <c r="P50" s="240"/>
      <c r="Q50" s="240"/>
      <c r="R50" s="240"/>
      <c r="S50" s="240"/>
      <c r="T50" s="240"/>
      <c r="U50" s="240"/>
      <c r="V50" s="240"/>
      <c r="W50" s="240"/>
      <c r="X50" s="240"/>
      <c r="Y50" s="240"/>
      <c r="Z50" s="240"/>
    </row>
    <row r="51" spans="1:26" s="241" customFormat="1" ht="40.5" x14ac:dyDescent="0.25">
      <c r="A51" s="63" t="s">
        <v>2596</v>
      </c>
      <c r="B51" s="186">
        <v>41415</v>
      </c>
      <c r="C51" s="184" t="s">
        <v>2597</v>
      </c>
      <c r="D51" s="111" t="s">
        <v>2598</v>
      </c>
      <c r="E51" s="63" t="s">
        <v>2106</v>
      </c>
      <c r="F51" s="63" t="s">
        <v>229</v>
      </c>
      <c r="G51" s="93">
        <v>41425</v>
      </c>
      <c r="H51" s="112">
        <v>41625</v>
      </c>
      <c r="I51" s="93" t="s">
        <v>2751</v>
      </c>
      <c r="J51" s="63" t="s">
        <v>2801</v>
      </c>
      <c r="K51" s="213"/>
      <c r="L51" s="213"/>
      <c r="M51" s="240"/>
      <c r="N51" s="240"/>
      <c r="O51" s="240"/>
      <c r="P51" s="240"/>
      <c r="Q51" s="240"/>
      <c r="R51" s="240"/>
      <c r="S51" s="240"/>
      <c r="T51" s="240"/>
      <c r="U51" s="240"/>
      <c r="V51" s="240"/>
      <c r="W51" s="240"/>
      <c r="X51" s="240"/>
      <c r="Y51" s="240"/>
      <c r="Z51" s="240"/>
    </row>
    <row r="52" spans="1:26" s="241" customFormat="1" x14ac:dyDescent="0.25">
      <c r="A52" s="63" t="s">
        <v>2599</v>
      </c>
      <c r="B52" s="186">
        <v>41416</v>
      </c>
      <c r="C52" s="184" t="s">
        <v>2602</v>
      </c>
      <c r="D52" s="111" t="s">
        <v>2600</v>
      </c>
      <c r="E52" s="63" t="s">
        <v>516</v>
      </c>
      <c r="F52" s="63" t="s">
        <v>794</v>
      </c>
      <c r="G52" s="93">
        <v>41416</v>
      </c>
      <c r="H52" s="93">
        <v>41423</v>
      </c>
      <c r="I52" s="93" t="s">
        <v>2751</v>
      </c>
      <c r="J52" s="63" t="s">
        <v>798</v>
      </c>
      <c r="K52" s="213"/>
      <c r="L52" s="213"/>
      <c r="M52" s="240"/>
      <c r="N52" s="240"/>
      <c r="O52" s="240"/>
      <c r="P52" s="240"/>
      <c r="Q52" s="240"/>
      <c r="R52" s="240"/>
      <c r="S52" s="240"/>
      <c r="T52" s="240"/>
      <c r="U52" s="240"/>
      <c r="V52" s="240"/>
      <c r="W52" s="240"/>
      <c r="X52" s="240"/>
      <c r="Y52" s="240"/>
      <c r="Z52" s="240"/>
    </row>
    <row r="53" spans="1:26" s="241" customFormat="1" x14ac:dyDescent="0.25">
      <c r="A53" s="63" t="s">
        <v>2601</v>
      </c>
      <c r="B53" s="186">
        <v>41416</v>
      </c>
      <c r="C53" s="184" t="s">
        <v>2603</v>
      </c>
      <c r="D53" s="111" t="s">
        <v>2604</v>
      </c>
      <c r="E53" s="63" t="s">
        <v>2067</v>
      </c>
      <c r="F53" s="63" t="s">
        <v>229</v>
      </c>
      <c r="G53" s="93">
        <v>41455</v>
      </c>
      <c r="H53" s="112">
        <v>41599</v>
      </c>
      <c r="I53" s="93" t="s">
        <v>2751</v>
      </c>
      <c r="J53" s="63" t="s">
        <v>798</v>
      </c>
      <c r="K53" s="213"/>
      <c r="L53" s="213"/>
      <c r="M53" s="240"/>
      <c r="N53" s="240"/>
      <c r="O53" s="240"/>
      <c r="P53" s="240"/>
      <c r="Q53" s="240"/>
      <c r="R53" s="240"/>
      <c r="S53" s="240"/>
      <c r="T53" s="240"/>
      <c r="U53" s="240"/>
      <c r="V53" s="240"/>
      <c r="W53" s="240"/>
      <c r="X53" s="240"/>
      <c r="Y53" s="240"/>
      <c r="Z53" s="240"/>
    </row>
    <row r="54" spans="1:26" s="241" customFormat="1" ht="27" x14ac:dyDescent="0.25">
      <c r="A54" s="63" t="s">
        <v>2606</v>
      </c>
      <c r="B54" s="186">
        <v>41423</v>
      </c>
      <c r="C54" s="184" t="s">
        <v>2605</v>
      </c>
      <c r="D54" s="111" t="s">
        <v>2610</v>
      </c>
      <c r="E54" s="63" t="s">
        <v>516</v>
      </c>
      <c r="F54" s="63" t="s">
        <v>794</v>
      </c>
      <c r="G54" s="93">
        <v>41446</v>
      </c>
      <c r="H54" s="93">
        <v>41585</v>
      </c>
      <c r="I54" s="93" t="s">
        <v>2751</v>
      </c>
      <c r="J54" s="63" t="s">
        <v>798</v>
      </c>
      <c r="K54" s="213"/>
      <c r="L54" s="213"/>
      <c r="M54" s="240"/>
      <c r="N54" s="240"/>
      <c r="O54" s="240"/>
      <c r="P54" s="240"/>
      <c r="Q54" s="240"/>
      <c r="R54" s="240"/>
      <c r="S54" s="240"/>
      <c r="T54" s="240"/>
      <c r="U54" s="240"/>
      <c r="V54" s="240"/>
      <c r="W54" s="240"/>
      <c r="X54" s="240"/>
      <c r="Y54" s="240"/>
      <c r="Z54" s="240"/>
    </row>
    <row r="55" spans="1:26" s="241" customFormat="1" ht="40.5" x14ac:dyDescent="0.25">
      <c r="A55" s="63" t="s">
        <v>2607</v>
      </c>
      <c r="B55" s="186">
        <v>41423</v>
      </c>
      <c r="C55" s="184" t="s">
        <v>2608</v>
      </c>
      <c r="D55" s="111" t="s">
        <v>2609</v>
      </c>
      <c r="E55" s="63" t="s">
        <v>685</v>
      </c>
      <c r="F55" s="63" t="s">
        <v>794</v>
      </c>
      <c r="G55" s="93">
        <v>41453</v>
      </c>
      <c r="H55" s="93">
        <v>41534</v>
      </c>
      <c r="I55" s="93" t="s">
        <v>2751</v>
      </c>
      <c r="J55" s="63" t="s">
        <v>798</v>
      </c>
      <c r="K55" s="213"/>
      <c r="L55" s="213"/>
      <c r="M55" s="240"/>
      <c r="N55" s="240"/>
      <c r="O55" s="240"/>
      <c r="P55" s="240"/>
      <c r="Q55" s="240"/>
      <c r="R55" s="240"/>
      <c r="S55" s="240"/>
      <c r="T55" s="240"/>
      <c r="U55" s="240"/>
      <c r="V55" s="240"/>
      <c r="W55" s="240"/>
      <c r="X55" s="240"/>
      <c r="Y55" s="240"/>
      <c r="Z55" s="240"/>
    </row>
    <row r="56" spans="1:26" s="241" customFormat="1" ht="27" x14ac:dyDescent="0.25">
      <c r="A56" s="63" t="s">
        <v>2611</v>
      </c>
      <c r="B56" s="186">
        <v>41425</v>
      </c>
      <c r="C56" s="184" t="s">
        <v>2612</v>
      </c>
      <c r="D56" s="111" t="s">
        <v>2615</v>
      </c>
      <c r="E56" s="63" t="s">
        <v>2428</v>
      </c>
      <c r="F56" s="63" t="s">
        <v>229</v>
      </c>
      <c r="G56" s="93">
        <v>41455</v>
      </c>
      <c r="H56" s="112">
        <v>42100</v>
      </c>
      <c r="I56" s="93" t="s">
        <v>2751</v>
      </c>
      <c r="J56" s="63" t="s">
        <v>798</v>
      </c>
      <c r="K56" s="213"/>
      <c r="L56" s="213"/>
      <c r="M56" s="240"/>
      <c r="N56" s="240"/>
      <c r="O56" s="240"/>
      <c r="P56" s="240"/>
      <c r="Q56" s="240"/>
      <c r="R56" s="240"/>
      <c r="S56" s="240"/>
      <c r="T56" s="240"/>
      <c r="U56" s="240"/>
      <c r="V56" s="240"/>
      <c r="W56" s="240"/>
      <c r="X56" s="240"/>
      <c r="Y56" s="240"/>
      <c r="Z56" s="240"/>
    </row>
    <row r="57" spans="1:26" s="241" customFormat="1" ht="27" x14ac:dyDescent="0.25">
      <c r="A57" s="63" t="s">
        <v>2613</v>
      </c>
      <c r="B57" s="186">
        <v>41425</v>
      </c>
      <c r="C57" s="184" t="s">
        <v>2614</v>
      </c>
      <c r="D57" s="111" t="s">
        <v>2615</v>
      </c>
      <c r="E57" s="63" t="s">
        <v>2428</v>
      </c>
      <c r="F57" s="63" t="s">
        <v>229</v>
      </c>
      <c r="G57" s="93">
        <v>41455</v>
      </c>
      <c r="H57" s="112">
        <v>42104</v>
      </c>
      <c r="I57" s="93" t="s">
        <v>2751</v>
      </c>
      <c r="J57" s="63" t="s">
        <v>798</v>
      </c>
      <c r="K57" s="213"/>
      <c r="L57" s="213"/>
      <c r="M57" s="240"/>
      <c r="N57" s="240"/>
      <c r="O57" s="240"/>
      <c r="P57" s="240"/>
      <c r="Q57" s="240"/>
      <c r="R57" s="240"/>
      <c r="S57" s="240"/>
      <c r="T57" s="240"/>
      <c r="U57" s="240"/>
      <c r="V57" s="240"/>
      <c r="W57" s="240"/>
      <c r="X57" s="240"/>
      <c r="Y57" s="240"/>
      <c r="Z57" s="240"/>
    </row>
    <row r="58" spans="1:26" s="241" customFormat="1" x14ac:dyDescent="0.25">
      <c r="A58" s="63" t="s">
        <v>2616</v>
      </c>
      <c r="B58" s="186">
        <v>41430</v>
      </c>
      <c r="C58" s="184" t="s">
        <v>2618</v>
      </c>
      <c r="D58" s="111" t="s">
        <v>2620</v>
      </c>
      <c r="E58" s="63" t="s">
        <v>2067</v>
      </c>
      <c r="F58" s="63" t="s">
        <v>229</v>
      </c>
      <c r="G58" s="93">
        <v>41455</v>
      </c>
      <c r="H58" s="93">
        <v>41430</v>
      </c>
      <c r="I58" s="93" t="s">
        <v>2750</v>
      </c>
      <c r="J58" s="63" t="s">
        <v>798</v>
      </c>
      <c r="K58" s="213"/>
      <c r="L58" s="213"/>
      <c r="M58" s="240"/>
      <c r="N58" s="240"/>
      <c r="O58" s="240"/>
      <c r="P58" s="240"/>
      <c r="Q58" s="240"/>
      <c r="R58" s="240"/>
      <c r="S58" s="240"/>
      <c r="T58" s="240"/>
      <c r="U58" s="240"/>
      <c r="V58" s="240"/>
      <c r="W58" s="240"/>
      <c r="X58" s="240"/>
      <c r="Y58" s="240"/>
      <c r="Z58" s="240"/>
    </row>
    <row r="59" spans="1:26" s="241" customFormat="1" x14ac:dyDescent="0.25">
      <c r="A59" s="63" t="s">
        <v>2617</v>
      </c>
      <c r="B59" s="186">
        <v>41430</v>
      </c>
      <c r="C59" s="184" t="s">
        <v>2619</v>
      </c>
      <c r="D59" s="111" t="s">
        <v>2621</v>
      </c>
      <c r="E59" s="63" t="s">
        <v>2067</v>
      </c>
      <c r="F59" s="63" t="s">
        <v>229</v>
      </c>
      <c r="G59" s="93">
        <v>41455</v>
      </c>
      <c r="H59" s="93">
        <v>41430</v>
      </c>
      <c r="I59" s="93" t="s">
        <v>2750</v>
      </c>
      <c r="J59" s="63" t="s">
        <v>798</v>
      </c>
      <c r="K59" s="213"/>
      <c r="L59" s="213"/>
      <c r="M59" s="240"/>
      <c r="N59" s="240"/>
      <c r="O59" s="240"/>
      <c r="P59" s="240"/>
      <c r="Q59" s="240"/>
      <c r="R59" s="240"/>
      <c r="S59" s="240"/>
      <c r="T59" s="240"/>
      <c r="U59" s="240"/>
      <c r="V59" s="240"/>
      <c r="W59" s="240"/>
      <c r="X59" s="240"/>
      <c r="Y59" s="240"/>
      <c r="Z59" s="240"/>
    </row>
    <row r="60" spans="1:26" s="241" customFormat="1" x14ac:dyDescent="0.25">
      <c r="A60" s="63" t="s">
        <v>2622</v>
      </c>
      <c r="B60" s="186">
        <v>41436</v>
      </c>
      <c r="C60" s="184" t="s">
        <v>2627</v>
      </c>
      <c r="D60" s="111" t="s">
        <v>1913</v>
      </c>
      <c r="E60" s="63" t="s">
        <v>2331</v>
      </c>
      <c r="F60" s="63" t="s">
        <v>229</v>
      </c>
      <c r="G60" s="93">
        <v>41547</v>
      </c>
      <c r="H60" s="93">
        <v>41499</v>
      </c>
      <c r="I60" s="93" t="s">
        <v>1139</v>
      </c>
      <c r="J60" s="63" t="s">
        <v>2679</v>
      </c>
      <c r="K60" s="213"/>
      <c r="L60" s="213"/>
      <c r="M60" s="240"/>
      <c r="N60" s="240"/>
      <c r="O60" s="240"/>
      <c r="P60" s="240"/>
      <c r="Q60" s="240"/>
      <c r="R60" s="240"/>
      <c r="S60" s="240"/>
      <c r="T60" s="240"/>
      <c r="U60" s="240"/>
      <c r="V60" s="240"/>
      <c r="W60" s="240"/>
      <c r="X60" s="240"/>
      <c r="Y60" s="240"/>
      <c r="Z60" s="240"/>
    </row>
    <row r="61" spans="1:26" s="241" customFormat="1" x14ac:dyDescent="0.25">
      <c r="A61" s="63" t="s">
        <v>2623</v>
      </c>
      <c r="B61" s="186">
        <v>41436</v>
      </c>
      <c r="C61" s="184" t="s">
        <v>2628</v>
      </c>
      <c r="D61" s="111" t="s">
        <v>1913</v>
      </c>
      <c r="E61" s="63" t="s">
        <v>2331</v>
      </c>
      <c r="F61" s="63" t="s">
        <v>229</v>
      </c>
      <c r="G61" s="93">
        <v>41547</v>
      </c>
      <c r="H61" s="93">
        <v>41499</v>
      </c>
      <c r="I61" s="93" t="s">
        <v>1139</v>
      </c>
      <c r="J61" s="63" t="s">
        <v>2679</v>
      </c>
      <c r="K61" s="213"/>
      <c r="L61" s="213"/>
      <c r="M61" s="240"/>
      <c r="N61" s="240"/>
      <c r="O61" s="240"/>
      <c r="P61" s="240"/>
      <c r="Q61" s="240"/>
      <c r="R61" s="240"/>
      <c r="S61" s="240"/>
      <c r="T61" s="240"/>
      <c r="U61" s="240"/>
      <c r="V61" s="240"/>
      <c r="W61" s="240"/>
      <c r="X61" s="240"/>
      <c r="Y61" s="240"/>
      <c r="Z61" s="240"/>
    </row>
    <row r="62" spans="1:26" s="241" customFormat="1" ht="27" x14ac:dyDescent="0.25">
      <c r="A62" s="63" t="s">
        <v>2624</v>
      </c>
      <c r="B62" s="186">
        <v>41436</v>
      </c>
      <c r="C62" s="184" t="s">
        <v>2958</v>
      </c>
      <c r="D62" s="111" t="s">
        <v>1913</v>
      </c>
      <c r="E62" s="63" t="s">
        <v>2331</v>
      </c>
      <c r="F62" s="63" t="s">
        <v>229</v>
      </c>
      <c r="G62" s="93">
        <v>41547</v>
      </c>
      <c r="H62" s="112">
        <v>41767</v>
      </c>
      <c r="I62" s="93" t="s">
        <v>2751</v>
      </c>
      <c r="J62" s="63" t="s">
        <v>993</v>
      </c>
      <c r="K62" s="213"/>
      <c r="L62" s="213"/>
      <c r="M62" s="240"/>
      <c r="N62" s="240"/>
      <c r="O62" s="240"/>
      <c r="P62" s="240"/>
      <c r="Q62" s="240"/>
      <c r="R62" s="240"/>
      <c r="S62" s="240"/>
      <c r="T62" s="240"/>
      <c r="U62" s="240"/>
      <c r="V62" s="240"/>
      <c r="W62" s="240"/>
      <c r="X62" s="240"/>
      <c r="Y62" s="240"/>
      <c r="Z62" s="240"/>
    </row>
    <row r="63" spans="1:26" s="241" customFormat="1" x14ac:dyDescent="0.25">
      <c r="A63" s="63" t="s">
        <v>2625</v>
      </c>
      <c r="B63" s="186">
        <v>41436</v>
      </c>
      <c r="C63" s="184" t="s">
        <v>2626</v>
      </c>
      <c r="D63" s="111" t="s">
        <v>1913</v>
      </c>
      <c r="E63" s="63" t="s">
        <v>2331</v>
      </c>
      <c r="F63" s="63" t="s">
        <v>229</v>
      </c>
      <c r="G63" s="93">
        <v>41547</v>
      </c>
      <c r="H63" s="112">
        <v>41767</v>
      </c>
      <c r="I63" s="93" t="s">
        <v>1139</v>
      </c>
      <c r="J63" s="63" t="s">
        <v>2957</v>
      </c>
      <c r="K63" s="213"/>
      <c r="L63" s="213"/>
      <c r="M63" s="240"/>
      <c r="N63" s="240"/>
      <c r="O63" s="240"/>
      <c r="P63" s="240"/>
      <c r="Q63" s="240"/>
      <c r="R63" s="240"/>
      <c r="S63" s="240"/>
      <c r="T63" s="240"/>
      <c r="U63" s="240"/>
      <c r="V63" s="240"/>
      <c r="W63" s="240"/>
      <c r="X63" s="240"/>
      <c r="Y63" s="240"/>
      <c r="Z63" s="240"/>
    </row>
    <row r="64" spans="1:26" s="241" customFormat="1" ht="27" x14ac:dyDescent="0.25">
      <c r="A64" s="63" t="s">
        <v>2630</v>
      </c>
      <c r="B64" s="186">
        <v>41450</v>
      </c>
      <c r="C64" s="184" t="s">
        <v>2632</v>
      </c>
      <c r="D64" s="111" t="s">
        <v>2631</v>
      </c>
      <c r="E64" s="63" t="s">
        <v>229</v>
      </c>
      <c r="F64" s="63" t="s">
        <v>794</v>
      </c>
      <c r="G64" s="93">
        <v>41516</v>
      </c>
      <c r="H64" s="93">
        <v>41513</v>
      </c>
      <c r="I64" s="93" t="s">
        <v>2750</v>
      </c>
      <c r="J64" s="63" t="s">
        <v>798</v>
      </c>
      <c r="K64" s="213"/>
      <c r="L64" s="213"/>
      <c r="M64" s="240"/>
      <c r="N64" s="240"/>
      <c r="O64" s="240"/>
      <c r="P64" s="240"/>
      <c r="Q64" s="240"/>
      <c r="R64" s="240"/>
      <c r="S64" s="240"/>
      <c r="T64" s="240"/>
      <c r="U64" s="240"/>
      <c r="V64" s="240"/>
      <c r="W64" s="240"/>
      <c r="X64" s="240"/>
      <c r="Y64" s="240"/>
      <c r="Z64" s="240"/>
    </row>
    <row r="65" spans="1:26" s="241" customFormat="1" x14ac:dyDescent="0.25">
      <c r="A65" s="63" t="s">
        <v>2633</v>
      </c>
      <c r="B65" s="186">
        <v>41453</v>
      </c>
      <c r="C65" s="184" t="s">
        <v>2634</v>
      </c>
      <c r="D65" s="111" t="s">
        <v>2635</v>
      </c>
      <c r="E65" s="63" t="s">
        <v>2106</v>
      </c>
      <c r="F65" s="63" t="s">
        <v>229</v>
      </c>
      <c r="G65" s="93">
        <v>41453</v>
      </c>
      <c r="H65" s="93">
        <v>41453</v>
      </c>
      <c r="I65" s="93" t="s">
        <v>2750</v>
      </c>
      <c r="J65" s="63" t="s">
        <v>798</v>
      </c>
      <c r="K65" s="213"/>
      <c r="L65" s="213"/>
      <c r="M65" s="240"/>
      <c r="N65" s="240"/>
      <c r="O65" s="240"/>
      <c r="P65" s="240"/>
      <c r="Q65" s="240"/>
      <c r="R65" s="240"/>
      <c r="S65" s="240"/>
      <c r="T65" s="240"/>
      <c r="U65" s="240"/>
      <c r="V65" s="240"/>
      <c r="W65" s="240"/>
      <c r="X65" s="240"/>
      <c r="Y65" s="240"/>
      <c r="Z65" s="240"/>
    </row>
    <row r="66" spans="1:26" s="241" customFormat="1" x14ac:dyDescent="0.25">
      <c r="A66" s="63" t="s">
        <v>2636</v>
      </c>
      <c r="B66" s="186">
        <v>41456</v>
      </c>
      <c r="C66" s="184" t="s">
        <v>2637</v>
      </c>
      <c r="D66" s="111" t="s">
        <v>2638</v>
      </c>
      <c r="E66" s="63" t="s">
        <v>794</v>
      </c>
      <c r="F66" s="63" t="s">
        <v>441</v>
      </c>
      <c r="G66" s="93">
        <v>41639</v>
      </c>
      <c r="H66" s="93">
        <v>41499</v>
      </c>
      <c r="I66" s="93" t="s">
        <v>1139</v>
      </c>
      <c r="J66" s="63" t="s">
        <v>2679</v>
      </c>
      <c r="K66" s="213"/>
      <c r="L66" s="213"/>
      <c r="M66" s="240"/>
      <c r="N66" s="240"/>
      <c r="O66" s="240"/>
      <c r="P66" s="240"/>
      <c r="Q66" s="240"/>
      <c r="R66" s="240"/>
      <c r="S66" s="240"/>
      <c r="T66" s="240"/>
      <c r="U66" s="240"/>
      <c r="V66" s="240"/>
      <c r="W66" s="240"/>
      <c r="X66" s="240"/>
      <c r="Y66" s="240"/>
      <c r="Z66" s="240"/>
    </row>
    <row r="67" spans="1:26" s="241" customFormat="1" ht="27" x14ac:dyDescent="0.25">
      <c r="A67" s="63" t="s">
        <v>2639</v>
      </c>
      <c r="B67" s="186">
        <v>41464</v>
      </c>
      <c r="C67" s="184" t="s">
        <v>2640</v>
      </c>
      <c r="D67" s="111" t="s">
        <v>2641</v>
      </c>
      <c r="E67" s="63" t="s">
        <v>2067</v>
      </c>
      <c r="F67" s="63" t="s">
        <v>229</v>
      </c>
      <c r="G67" s="93">
        <v>41486</v>
      </c>
      <c r="H67" s="93">
        <v>41465</v>
      </c>
      <c r="I67" s="93" t="s">
        <v>2750</v>
      </c>
      <c r="J67" s="63" t="s">
        <v>798</v>
      </c>
      <c r="K67" s="213"/>
      <c r="L67" s="213"/>
      <c r="M67" s="240"/>
      <c r="N67" s="240"/>
      <c r="O67" s="240"/>
      <c r="P67" s="240"/>
      <c r="Q67" s="240"/>
      <c r="R67" s="240"/>
      <c r="S67" s="240"/>
      <c r="T67" s="240"/>
      <c r="U67" s="240"/>
      <c r="V67" s="240"/>
      <c r="W67" s="240"/>
      <c r="X67" s="240"/>
      <c r="Y67" s="240"/>
      <c r="Z67" s="240"/>
    </row>
    <row r="68" spans="1:26" s="241" customFormat="1" ht="27" x14ac:dyDescent="0.25">
      <c r="A68" s="63" t="s">
        <v>2642</v>
      </c>
      <c r="B68" s="186">
        <v>41464</v>
      </c>
      <c r="C68" s="184" t="s">
        <v>2643</v>
      </c>
      <c r="D68" s="111" t="s">
        <v>2641</v>
      </c>
      <c r="E68" s="63" t="s">
        <v>2067</v>
      </c>
      <c r="F68" s="63" t="s">
        <v>229</v>
      </c>
      <c r="G68" s="93">
        <v>41486</v>
      </c>
      <c r="H68" s="93">
        <v>41465</v>
      </c>
      <c r="I68" s="93" t="s">
        <v>2750</v>
      </c>
      <c r="J68" s="63" t="s">
        <v>798</v>
      </c>
      <c r="K68" s="213"/>
      <c r="L68" s="213"/>
      <c r="M68" s="240"/>
      <c r="N68" s="240"/>
      <c r="O68" s="240"/>
      <c r="P68" s="240"/>
      <c r="Q68" s="240"/>
      <c r="R68" s="240"/>
      <c r="S68" s="240"/>
      <c r="T68" s="240"/>
      <c r="U68" s="240"/>
      <c r="V68" s="240"/>
      <c r="W68" s="240"/>
      <c r="X68" s="240"/>
      <c r="Y68" s="240"/>
      <c r="Z68" s="240"/>
    </row>
    <row r="69" spans="1:26" s="241" customFormat="1" x14ac:dyDescent="0.25">
      <c r="A69" s="63" t="s">
        <v>2644</v>
      </c>
      <c r="B69" s="186">
        <v>41466</v>
      </c>
      <c r="C69" s="184" t="s">
        <v>2646</v>
      </c>
      <c r="D69" s="111" t="s">
        <v>1913</v>
      </c>
      <c r="E69" s="63" t="s">
        <v>624</v>
      </c>
      <c r="F69" s="63" t="s">
        <v>1510</v>
      </c>
      <c r="G69" s="93">
        <v>41639</v>
      </c>
      <c r="H69" s="93">
        <v>41499</v>
      </c>
      <c r="I69" s="93" t="s">
        <v>1139</v>
      </c>
      <c r="J69" s="63" t="s">
        <v>2679</v>
      </c>
      <c r="K69" s="213"/>
      <c r="L69" s="213"/>
      <c r="M69" s="240"/>
      <c r="N69" s="240"/>
      <c r="O69" s="240"/>
      <c r="P69" s="240"/>
      <c r="Q69" s="240"/>
      <c r="R69" s="240"/>
      <c r="S69" s="240"/>
      <c r="T69" s="240"/>
      <c r="U69" s="240"/>
      <c r="V69" s="240"/>
      <c r="W69" s="240"/>
      <c r="X69" s="240"/>
      <c r="Y69" s="240"/>
      <c r="Z69" s="240"/>
    </row>
    <row r="70" spans="1:26" s="241" customFormat="1" x14ac:dyDescent="0.25">
      <c r="A70" s="63" t="s">
        <v>2645</v>
      </c>
      <c r="B70" s="186">
        <v>41466</v>
      </c>
      <c r="C70" s="184" t="s">
        <v>2648</v>
      </c>
      <c r="D70" s="111" t="s">
        <v>2647</v>
      </c>
      <c r="E70" s="63" t="s">
        <v>624</v>
      </c>
      <c r="F70" s="63" t="s">
        <v>1510</v>
      </c>
      <c r="G70" s="93">
        <v>41639</v>
      </c>
      <c r="H70" s="93">
        <v>41499</v>
      </c>
      <c r="I70" s="93" t="s">
        <v>1139</v>
      </c>
      <c r="J70" s="63" t="s">
        <v>2679</v>
      </c>
      <c r="K70" s="213"/>
      <c r="L70" s="213"/>
      <c r="M70" s="240"/>
      <c r="N70" s="240"/>
      <c r="O70" s="240"/>
      <c r="P70" s="240"/>
      <c r="Q70" s="240"/>
      <c r="R70" s="240"/>
      <c r="S70" s="240"/>
      <c r="T70" s="240"/>
      <c r="U70" s="240"/>
      <c r="V70" s="240"/>
      <c r="W70" s="240"/>
      <c r="X70" s="240"/>
      <c r="Y70" s="240"/>
      <c r="Z70" s="240"/>
    </row>
    <row r="71" spans="1:26" s="241" customFormat="1" ht="27" x14ac:dyDescent="0.25">
      <c r="A71" s="63" t="s">
        <v>2649</v>
      </c>
      <c r="B71" s="186">
        <v>41473</v>
      </c>
      <c r="C71" s="184" t="s">
        <v>514</v>
      </c>
      <c r="D71" s="111" t="s">
        <v>2650</v>
      </c>
      <c r="E71" s="63" t="s">
        <v>237</v>
      </c>
      <c r="F71" s="63" t="s">
        <v>1510</v>
      </c>
      <c r="G71" s="93">
        <v>41502</v>
      </c>
      <c r="H71" s="112">
        <v>41613</v>
      </c>
      <c r="I71" s="93" t="s">
        <v>2751</v>
      </c>
      <c r="J71" s="63" t="s">
        <v>993</v>
      </c>
      <c r="K71" s="213"/>
      <c r="L71" s="213"/>
      <c r="M71" s="240"/>
      <c r="N71" s="240"/>
      <c r="O71" s="240"/>
      <c r="P71" s="240"/>
      <c r="Q71" s="240"/>
      <c r="R71" s="240"/>
      <c r="S71" s="240"/>
      <c r="T71" s="240"/>
      <c r="U71" s="240"/>
      <c r="V71" s="240"/>
      <c r="W71" s="240"/>
      <c r="X71" s="240"/>
      <c r="Y71" s="240"/>
      <c r="Z71" s="240"/>
    </row>
    <row r="72" spans="1:26" s="241" customFormat="1" x14ac:dyDescent="0.25">
      <c r="A72" s="63" t="s">
        <v>2651</v>
      </c>
      <c r="B72" s="186">
        <v>41477</v>
      </c>
      <c r="C72" s="184" t="s">
        <v>2653</v>
      </c>
      <c r="D72" s="111" t="s">
        <v>2652</v>
      </c>
      <c r="E72" s="63" t="s">
        <v>1339</v>
      </c>
      <c r="F72" s="63" t="s">
        <v>794</v>
      </c>
      <c r="G72" s="93">
        <v>41639</v>
      </c>
      <c r="H72" s="93">
        <v>41589</v>
      </c>
      <c r="I72" s="93" t="s">
        <v>2750</v>
      </c>
      <c r="J72" s="63" t="s">
        <v>993</v>
      </c>
      <c r="K72" s="213"/>
      <c r="L72" s="213"/>
      <c r="M72" s="240"/>
      <c r="N72" s="240"/>
      <c r="O72" s="240"/>
      <c r="P72" s="240"/>
      <c r="Q72" s="240"/>
      <c r="R72" s="240"/>
      <c r="S72" s="240"/>
      <c r="T72" s="240"/>
      <c r="U72" s="240"/>
      <c r="V72" s="240"/>
      <c r="W72" s="240"/>
      <c r="X72" s="240"/>
      <c r="Y72" s="240"/>
      <c r="Z72" s="240"/>
    </row>
    <row r="73" spans="1:26" s="241" customFormat="1" x14ac:dyDescent="0.25">
      <c r="A73" s="63" t="s">
        <v>2654</v>
      </c>
      <c r="B73" s="186">
        <v>41479</v>
      </c>
      <c r="C73" s="184" t="s">
        <v>1408</v>
      </c>
      <c r="D73" s="111" t="s">
        <v>2655</v>
      </c>
      <c r="E73" s="63" t="s">
        <v>2331</v>
      </c>
      <c r="F73" s="63" t="s">
        <v>229</v>
      </c>
      <c r="G73" s="93">
        <v>41639</v>
      </c>
      <c r="H73" s="112">
        <v>42111</v>
      </c>
      <c r="I73" s="93" t="s">
        <v>2751</v>
      </c>
      <c r="J73" s="63" t="s">
        <v>993</v>
      </c>
      <c r="K73" s="213"/>
      <c r="L73" s="213"/>
      <c r="M73" s="240"/>
      <c r="N73" s="240"/>
      <c r="O73" s="240"/>
      <c r="P73" s="240"/>
      <c r="Q73" s="240"/>
      <c r="R73" s="240"/>
      <c r="S73" s="240"/>
      <c r="T73" s="240"/>
      <c r="U73" s="240"/>
      <c r="V73" s="240"/>
      <c r="W73" s="240"/>
      <c r="X73" s="240"/>
      <c r="Y73" s="240"/>
      <c r="Z73" s="240"/>
    </row>
    <row r="74" spans="1:26" s="241" customFormat="1" x14ac:dyDescent="0.25">
      <c r="A74" s="63" t="s">
        <v>2656</v>
      </c>
      <c r="B74" s="186">
        <v>41479</v>
      </c>
      <c r="C74" s="184" t="s">
        <v>1016</v>
      </c>
      <c r="D74" s="111" t="s">
        <v>2657</v>
      </c>
      <c r="E74" s="63" t="s">
        <v>2331</v>
      </c>
      <c r="F74" s="63" t="s">
        <v>229</v>
      </c>
      <c r="G74" s="93">
        <v>41639</v>
      </c>
      <c r="H74" s="93">
        <v>41499</v>
      </c>
      <c r="I74" s="93" t="s">
        <v>1139</v>
      </c>
      <c r="J74" s="63" t="s">
        <v>2679</v>
      </c>
      <c r="K74" s="213"/>
      <c r="L74" s="213"/>
      <c r="M74" s="240"/>
      <c r="N74" s="240"/>
      <c r="O74" s="240"/>
      <c r="P74" s="240"/>
      <c r="Q74" s="240"/>
      <c r="R74" s="240"/>
      <c r="S74" s="240"/>
      <c r="T74" s="240"/>
      <c r="U74" s="240"/>
      <c r="V74" s="240"/>
      <c r="W74" s="240"/>
      <c r="X74" s="240"/>
      <c r="Y74" s="240"/>
      <c r="Z74" s="240"/>
    </row>
    <row r="75" spans="1:26" s="241" customFormat="1" x14ac:dyDescent="0.25">
      <c r="A75" s="63" t="s">
        <v>2658</v>
      </c>
      <c r="B75" s="186">
        <v>41478</v>
      </c>
      <c r="C75" s="184" t="s">
        <v>2659</v>
      </c>
      <c r="D75" s="111" t="s">
        <v>2660</v>
      </c>
      <c r="E75" s="63" t="s">
        <v>685</v>
      </c>
      <c r="F75" s="63" t="s">
        <v>1510</v>
      </c>
      <c r="G75" s="93">
        <v>41486</v>
      </c>
      <c r="H75" s="93">
        <v>41480</v>
      </c>
      <c r="I75" s="93" t="s">
        <v>2750</v>
      </c>
      <c r="J75" s="63" t="s">
        <v>798</v>
      </c>
      <c r="K75" s="213"/>
      <c r="L75" s="213"/>
      <c r="M75" s="240"/>
      <c r="N75" s="240"/>
      <c r="O75" s="240"/>
      <c r="P75" s="240"/>
      <c r="Q75" s="240"/>
      <c r="R75" s="240"/>
      <c r="S75" s="240"/>
      <c r="T75" s="240"/>
      <c r="U75" s="240"/>
      <c r="V75" s="240"/>
      <c r="W75" s="240"/>
      <c r="X75" s="240"/>
      <c r="Y75" s="240"/>
      <c r="Z75" s="240"/>
    </row>
    <row r="76" spans="1:26" s="108" customFormat="1" x14ac:dyDescent="0.25">
      <c r="A76" s="63" t="s">
        <v>2661</v>
      </c>
      <c r="B76" s="186">
        <v>41481</v>
      </c>
      <c r="C76" s="184" t="s">
        <v>1523</v>
      </c>
      <c r="D76" s="228" t="s">
        <v>2664</v>
      </c>
      <c r="E76" s="63" t="s">
        <v>2282</v>
      </c>
      <c r="F76" s="63" t="s">
        <v>1510</v>
      </c>
      <c r="G76" s="93">
        <v>41639</v>
      </c>
      <c r="H76" s="93">
        <v>41499</v>
      </c>
      <c r="I76" s="93" t="s">
        <v>1139</v>
      </c>
      <c r="J76" s="63" t="s">
        <v>2679</v>
      </c>
      <c r="K76" s="80"/>
      <c r="L76" s="80"/>
      <c r="M76" s="107"/>
      <c r="N76" s="107"/>
      <c r="O76" s="107"/>
      <c r="P76" s="107"/>
      <c r="Q76" s="107"/>
      <c r="R76" s="107"/>
      <c r="S76" s="107"/>
      <c r="T76" s="107"/>
      <c r="U76" s="107"/>
      <c r="V76" s="107"/>
      <c r="W76" s="107"/>
      <c r="X76" s="107"/>
      <c r="Y76" s="107"/>
      <c r="Z76" s="107"/>
    </row>
    <row r="77" spans="1:26" s="108" customFormat="1" x14ac:dyDescent="0.25">
      <c r="A77" s="63" t="s">
        <v>2662</v>
      </c>
      <c r="B77" s="186">
        <v>41481</v>
      </c>
      <c r="C77" s="184" t="s">
        <v>1521</v>
      </c>
      <c r="D77" s="111" t="s">
        <v>2664</v>
      </c>
      <c r="E77" s="63" t="s">
        <v>2282</v>
      </c>
      <c r="F77" s="63" t="s">
        <v>1510</v>
      </c>
      <c r="G77" s="93">
        <v>41639</v>
      </c>
      <c r="H77" s="93">
        <v>41499</v>
      </c>
      <c r="I77" s="93" t="s">
        <v>1139</v>
      </c>
      <c r="J77" s="63" t="s">
        <v>2679</v>
      </c>
      <c r="K77" s="80"/>
      <c r="L77" s="80"/>
      <c r="M77" s="107"/>
      <c r="N77" s="107"/>
      <c r="O77" s="107"/>
      <c r="P77" s="107"/>
      <c r="Q77" s="107"/>
      <c r="R77" s="107"/>
      <c r="S77" s="107"/>
      <c r="T77" s="107"/>
      <c r="U77" s="107"/>
      <c r="V77" s="107"/>
      <c r="W77" s="107"/>
      <c r="X77" s="107"/>
      <c r="Y77" s="107"/>
      <c r="Z77" s="107"/>
    </row>
    <row r="78" spans="1:26" s="108" customFormat="1" x14ac:dyDescent="0.25">
      <c r="A78" s="63" t="s">
        <v>2663</v>
      </c>
      <c r="B78" s="186">
        <v>41481</v>
      </c>
      <c r="C78" s="230" t="s">
        <v>865</v>
      </c>
      <c r="D78" s="111" t="s">
        <v>2665</v>
      </c>
      <c r="E78" s="63" t="s">
        <v>2282</v>
      </c>
      <c r="F78" s="63" t="s">
        <v>1510</v>
      </c>
      <c r="G78" s="93">
        <v>41670</v>
      </c>
      <c r="H78" s="93">
        <v>41569</v>
      </c>
      <c r="I78" s="93" t="s">
        <v>2750</v>
      </c>
      <c r="J78" s="63" t="s">
        <v>993</v>
      </c>
      <c r="K78" s="80"/>
      <c r="L78" s="80"/>
      <c r="M78" s="107"/>
      <c r="N78" s="107"/>
      <c r="O78" s="107"/>
      <c r="P78" s="107"/>
      <c r="Q78" s="107"/>
      <c r="R78" s="107"/>
      <c r="S78" s="107"/>
      <c r="T78" s="107"/>
      <c r="U78" s="107"/>
      <c r="V78" s="107"/>
      <c r="W78" s="107"/>
      <c r="X78" s="107"/>
      <c r="Y78" s="107"/>
      <c r="Z78" s="107"/>
    </row>
    <row r="79" spans="1:26" s="108" customFormat="1" ht="15.75" customHeight="1" x14ac:dyDescent="0.25">
      <c r="A79" s="63" t="s">
        <v>2666</v>
      </c>
      <c r="B79" s="186">
        <v>41486</v>
      </c>
      <c r="C79" s="234" t="s">
        <v>2668</v>
      </c>
      <c r="D79" s="229" t="s">
        <v>2669</v>
      </c>
      <c r="E79" s="232" t="s">
        <v>81</v>
      </c>
      <c r="F79" s="232" t="s">
        <v>1510</v>
      </c>
      <c r="G79" s="93">
        <v>41639</v>
      </c>
      <c r="H79" s="93">
        <v>41499</v>
      </c>
      <c r="I79" s="93" t="s">
        <v>1139</v>
      </c>
      <c r="J79" s="63" t="s">
        <v>2679</v>
      </c>
      <c r="K79" s="80"/>
      <c r="L79" s="80"/>
      <c r="M79" s="107"/>
      <c r="N79" s="107"/>
      <c r="O79" s="107"/>
      <c r="P79" s="107"/>
      <c r="Q79" s="107"/>
      <c r="R79" s="107"/>
      <c r="S79" s="107"/>
      <c r="T79" s="107"/>
      <c r="U79" s="107"/>
      <c r="V79" s="107"/>
      <c r="W79" s="107"/>
      <c r="X79" s="107"/>
      <c r="Y79" s="107"/>
      <c r="Z79" s="107"/>
    </row>
    <row r="80" spans="1:26" s="108" customFormat="1" x14ac:dyDescent="0.25">
      <c r="A80" s="63" t="s">
        <v>2667</v>
      </c>
      <c r="B80" s="186">
        <v>41486</v>
      </c>
      <c r="C80" s="183" t="s">
        <v>1350</v>
      </c>
      <c r="D80" s="111" t="s">
        <v>2670</v>
      </c>
      <c r="E80" s="63" t="s">
        <v>237</v>
      </c>
      <c r="F80" s="63" t="s">
        <v>1510</v>
      </c>
      <c r="G80" s="93">
        <v>41639</v>
      </c>
      <c r="H80" s="93">
        <v>41499</v>
      </c>
      <c r="I80" s="93" t="s">
        <v>1139</v>
      </c>
      <c r="J80" s="63" t="s">
        <v>2679</v>
      </c>
      <c r="K80" s="80"/>
      <c r="L80" s="80"/>
      <c r="M80" s="107"/>
      <c r="N80" s="107"/>
      <c r="O80" s="107"/>
      <c r="P80" s="107"/>
      <c r="Q80" s="107"/>
      <c r="R80" s="107"/>
      <c r="S80" s="107"/>
      <c r="T80" s="107"/>
      <c r="U80" s="107"/>
      <c r="V80" s="107"/>
      <c r="W80" s="107"/>
      <c r="X80" s="107"/>
      <c r="Y80" s="107"/>
      <c r="Z80" s="107"/>
    </row>
    <row r="81" spans="1:26" s="108" customFormat="1" ht="27" x14ac:dyDescent="0.25">
      <c r="A81" s="63" t="s">
        <v>2671</v>
      </c>
      <c r="B81" s="182">
        <v>41487</v>
      </c>
      <c r="C81" s="183" t="s">
        <v>433</v>
      </c>
      <c r="D81" s="111" t="s">
        <v>2678</v>
      </c>
      <c r="E81" s="63" t="s">
        <v>999</v>
      </c>
      <c r="F81" s="63" t="s">
        <v>229</v>
      </c>
      <c r="G81" s="93">
        <v>41547</v>
      </c>
      <c r="H81" s="93">
        <v>41542</v>
      </c>
      <c r="I81" s="93" t="s">
        <v>2750</v>
      </c>
      <c r="J81" s="63" t="s">
        <v>798</v>
      </c>
      <c r="K81" s="80"/>
      <c r="L81" s="80"/>
      <c r="M81" s="107"/>
      <c r="N81" s="107"/>
      <c r="O81" s="107"/>
      <c r="P81" s="107"/>
      <c r="Q81" s="107"/>
      <c r="R81" s="107"/>
      <c r="S81" s="107"/>
      <c r="T81" s="107"/>
      <c r="U81" s="107"/>
      <c r="V81" s="107"/>
      <c r="W81" s="107"/>
      <c r="X81" s="107"/>
      <c r="Y81" s="107"/>
      <c r="Z81" s="107"/>
    </row>
    <row r="82" spans="1:26" s="108" customFormat="1" x14ac:dyDescent="0.25">
      <c r="A82" s="63" t="s">
        <v>2672</v>
      </c>
      <c r="B82" s="182">
        <v>41491</v>
      </c>
      <c r="C82" s="183" t="s">
        <v>2673</v>
      </c>
      <c r="D82" s="111" t="s">
        <v>2674</v>
      </c>
      <c r="E82" s="63" t="s">
        <v>2106</v>
      </c>
      <c r="F82" s="63" t="s">
        <v>229</v>
      </c>
      <c r="G82" s="93">
        <v>41517</v>
      </c>
      <c r="H82" s="93">
        <v>41493</v>
      </c>
      <c r="I82" s="93" t="s">
        <v>2750</v>
      </c>
      <c r="J82" s="63" t="s">
        <v>798</v>
      </c>
      <c r="K82" s="80"/>
      <c r="L82" s="80"/>
      <c r="M82" s="107"/>
      <c r="N82" s="107"/>
      <c r="O82" s="107"/>
      <c r="P82" s="107"/>
      <c r="Q82" s="107"/>
      <c r="R82" s="107"/>
      <c r="S82" s="107"/>
      <c r="T82" s="107"/>
      <c r="U82" s="107"/>
      <c r="V82" s="107"/>
      <c r="W82" s="107"/>
      <c r="X82" s="107"/>
      <c r="Y82" s="107"/>
      <c r="Z82" s="107"/>
    </row>
    <row r="83" spans="1:26" s="108" customFormat="1" ht="54" x14ac:dyDescent="0.25">
      <c r="A83" s="63" t="s">
        <v>2680</v>
      </c>
      <c r="B83" s="182">
        <v>41501</v>
      </c>
      <c r="C83" s="183" t="s">
        <v>1176</v>
      </c>
      <c r="D83" s="111" t="s">
        <v>2733</v>
      </c>
      <c r="E83" s="63" t="s">
        <v>685</v>
      </c>
      <c r="F83" s="63" t="s">
        <v>794</v>
      </c>
      <c r="G83" s="93">
        <v>41729</v>
      </c>
      <c r="H83" s="112">
        <v>42135</v>
      </c>
      <c r="I83" s="93" t="s">
        <v>2751</v>
      </c>
      <c r="J83" s="63" t="s">
        <v>798</v>
      </c>
      <c r="K83" s="80"/>
      <c r="L83" s="80"/>
      <c r="M83" s="107"/>
      <c r="N83" s="107"/>
      <c r="O83" s="107"/>
      <c r="P83" s="107"/>
      <c r="Q83" s="107"/>
      <c r="R83" s="107"/>
      <c r="S83" s="107"/>
      <c r="T83" s="107"/>
      <c r="U83" s="107"/>
      <c r="V83" s="107"/>
      <c r="W83" s="107"/>
      <c r="X83" s="107"/>
      <c r="Y83" s="107"/>
      <c r="Z83" s="107"/>
    </row>
    <row r="84" spans="1:26" s="108" customFormat="1" ht="27" x14ac:dyDescent="0.25">
      <c r="A84" s="63" t="s">
        <v>2684</v>
      </c>
      <c r="B84" s="182">
        <v>41499</v>
      </c>
      <c r="C84" s="183" t="s">
        <v>2685</v>
      </c>
      <c r="D84" s="111" t="s">
        <v>2686</v>
      </c>
      <c r="E84" s="63" t="s">
        <v>685</v>
      </c>
      <c r="F84" s="63" t="s">
        <v>794</v>
      </c>
      <c r="G84" s="93">
        <v>41516</v>
      </c>
      <c r="H84" s="93">
        <v>41512</v>
      </c>
      <c r="I84" s="93" t="s">
        <v>2750</v>
      </c>
      <c r="J84" s="63" t="s">
        <v>798</v>
      </c>
      <c r="K84" s="80"/>
      <c r="L84" s="80"/>
      <c r="M84" s="107"/>
      <c r="N84" s="107"/>
      <c r="O84" s="107"/>
      <c r="P84" s="107"/>
      <c r="Q84" s="107"/>
      <c r="R84" s="107"/>
      <c r="S84" s="107"/>
      <c r="T84" s="107"/>
      <c r="U84" s="107"/>
      <c r="V84" s="107"/>
      <c r="W84" s="107"/>
      <c r="X84" s="107"/>
      <c r="Y84" s="107"/>
      <c r="Z84" s="107"/>
    </row>
    <row r="85" spans="1:26" s="108" customFormat="1" ht="27" x14ac:dyDescent="0.25">
      <c r="A85" s="63" t="s">
        <v>2681</v>
      </c>
      <c r="B85" s="182">
        <v>41501</v>
      </c>
      <c r="C85" s="183" t="s">
        <v>2682</v>
      </c>
      <c r="D85" s="111" t="s">
        <v>2683</v>
      </c>
      <c r="E85" s="63" t="s">
        <v>999</v>
      </c>
      <c r="F85" s="63" t="s">
        <v>229</v>
      </c>
      <c r="G85" s="93">
        <v>41548</v>
      </c>
      <c r="H85" s="93">
        <v>41523</v>
      </c>
      <c r="I85" s="93" t="s">
        <v>2750</v>
      </c>
      <c r="J85" s="63" t="s">
        <v>798</v>
      </c>
      <c r="K85" s="80"/>
      <c r="L85" s="80"/>
      <c r="M85" s="107"/>
      <c r="N85" s="107"/>
      <c r="O85" s="107"/>
      <c r="P85" s="107"/>
      <c r="Q85" s="107"/>
      <c r="R85" s="107"/>
      <c r="S85" s="107"/>
      <c r="T85" s="107"/>
      <c r="U85" s="107"/>
      <c r="V85" s="107"/>
      <c r="W85" s="107"/>
      <c r="X85" s="107"/>
      <c r="Y85" s="107"/>
      <c r="Z85" s="107"/>
    </row>
    <row r="86" spans="1:26" s="108" customFormat="1" x14ac:dyDescent="0.25">
      <c r="A86" s="63" t="s">
        <v>2687</v>
      </c>
      <c r="B86" s="182">
        <v>41507</v>
      </c>
      <c r="C86" s="183" t="s">
        <v>2688</v>
      </c>
      <c r="D86" s="111" t="s">
        <v>2689</v>
      </c>
      <c r="E86" s="63" t="s">
        <v>685</v>
      </c>
      <c r="F86" s="63" t="s">
        <v>794</v>
      </c>
      <c r="G86" s="93">
        <v>41516</v>
      </c>
      <c r="H86" s="93">
        <v>41526</v>
      </c>
      <c r="I86" s="93" t="s">
        <v>2751</v>
      </c>
      <c r="J86" s="63" t="s">
        <v>798</v>
      </c>
      <c r="K86" s="80"/>
      <c r="L86" s="80"/>
      <c r="M86" s="107"/>
      <c r="N86" s="107"/>
      <c r="O86" s="107"/>
      <c r="P86" s="107"/>
      <c r="Q86" s="107"/>
      <c r="R86" s="107"/>
      <c r="S86" s="107"/>
      <c r="T86" s="107"/>
      <c r="U86" s="107"/>
      <c r="V86" s="107"/>
      <c r="W86" s="107"/>
      <c r="X86" s="107"/>
      <c r="Y86" s="107"/>
      <c r="Z86" s="107"/>
    </row>
    <row r="87" spans="1:26" s="108" customFormat="1" ht="27" x14ac:dyDescent="0.25">
      <c r="A87" s="63" t="s">
        <v>2690</v>
      </c>
      <c r="B87" s="182">
        <v>41507</v>
      </c>
      <c r="C87" s="183" t="s">
        <v>2691</v>
      </c>
      <c r="D87" s="111" t="s">
        <v>2692</v>
      </c>
      <c r="E87" s="63" t="s">
        <v>2106</v>
      </c>
      <c r="F87" s="63" t="s">
        <v>229</v>
      </c>
      <c r="G87" s="93">
        <v>41547</v>
      </c>
      <c r="H87" s="112">
        <v>41898</v>
      </c>
      <c r="I87" s="93" t="s">
        <v>2751</v>
      </c>
      <c r="J87" s="63" t="s">
        <v>798</v>
      </c>
      <c r="K87" s="80"/>
      <c r="L87" s="80"/>
      <c r="M87" s="107"/>
      <c r="N87" s="107"/>
      <c r="O87" s="107"/>
      <c r="P87" s="107"/>
      <c r="Q87" s="107"/>
      <c r="R87" s="107"/>
      <c r="S87" s="107"/>
      <c r="T87" s="107"/>
      <c r="U87" s="107"/>
      <c r="V87" s="107"/>
      <c r="W87" s="107"/>
      <c r="X87" s="107"/>
      <c r="Y87" s="107"/>
      <c r="Z87" s="107"/>
    </row>
    <row r="88" spans="1:26" s="108" customFormat="1" ht="40.5" x14ac:dyDescent="0.25">
      <c r="A88" s="63" t="s">
        <v>2693</v>
      </c>
      <c r="B88" s="182">
        <v>41515</v>
      </c>
      <c r="C88" s="183" t="s">
        <v>2694</v>
      </c>
      <c r="D88" s="111" t="s">
        <v>2695</v>
      </c>
      <c r="E88" s="63" t="s">
        <v>2696</v>
      </c>
      <c r="F88" s="63" t="s">
        <v>441</v>
      </c>
      <c r="G88" s="93">
        <v>41532</v>
      </c>
      <c r="H88" s="93">
        <v>41515</v>
      </c>
      <c r="I88" s="93" t="s">
        <v>2750</v>
      </c>
      <c r="J88" s="63" t="s">
        <v>798</v>
      </c>
      <c r="K88" s="80"/>
      <c r="L88" s="80"/>
      <c r="M88" s="107"/>
      <c r="N88" s="107"/>
      <c r="O88" s="107"/>
      <c r="P88" s="107"/>
      <c r="Q88" s="107"/>
      <c r="R88" s="107"/>
      <c r="S88" s="107"/>
      <c r="T88" s="107"/>
      <c r="U88" s="107"/>
      <c r="V88" s="107"/>
      <c r="W88" s="107"/>
      <c r="X88" s="107"/>
      <c r="Y88" s="107"/>
      <c r="Z88" s="107"/>
    </row>
    <row r="89" spans="1:26" s="108" customFormat="1" x14ac:dyDescent="0.25">
      <c r="A89" s="63" t="s">
        <v>2697</v>
      </c>
      <c r="B89" s="182">
        <v>41515</v>
      </c>
      <c r="C89" s="183" t="s">
        <v>861</v>
      </c>
      <c r="D89" s="111" t="s">
        <v>1188</v>
      </c>
      <c r="E89" s="63" t="s">
        <v>685</v>
      </c>
      <c r="F89" s="63" t="s">
        <v>1510</v>
      </c>
      <c r="G89" s="93">
        <v>41515</v>
      </c>
      <c r="H89" s="93">
        <v>41515</v>
      </c>
      <c r="I89" s="93" t="s">
        <v>2750</v>
      </c>
      <c r="J89" s="63" t="s">
        <v>798</v>
      </c>
      <c r="K89" s="80"/>
      <c r="L89" s="80"/>
      <c r="M89" s="107"/>
      <c r="N89" s="107"/>
      <c r="O89" s="107"/>
      <c r="P89" s="107"/>
      <c r="Q89" s="107"/>
      <c r="R89" s="107"/>
      <c r="S89" s="107"/>
      <c r="T89" s="107"/>
      <c r="U89" s="107"/>
      <c r="V89" s="107"/>
      <c r="W89" s="107"/>
      <c r="X89" s="107"/>
      <c r="Y89" s="107"/>
      <c r="Z89" s="107"/>
    </row>
    <row r="90" spans="1:26" s="108" customFormat="1" ht="27" x14ac:dyDescent="0.25">
      <c r="A90" s="63" t="s">
        <v>2698</v>
      </c>
      <c r="B90" s="186">
        <v>41516</v>
      </c>
      <c r="C90" s="184" t="s">
        <v>2708</v>
      </c>
      <c r="D90" s="183" t="s">
        <v>2709</v>
      </c>
      <c r="E90" s="63" t="s">
        <v>2428</v>
      </c>
      <c r="F90" s="63" t="s">
        <v>1510</v>
      </c>
      <c r="G90" s="93">
        <v>41522</v>
      </c>
      <c r="H90" s="93">
        <v>41523</v>
      </c>
      <c r="I90" s="93" t="s">
        <v>2751</v>
      </c>
      <c r="J90" s="63" t="s">
        <v>798</v>
      </c>
      <c r="K90" s="80"/>
      <c r="L90" s="80"/>
      <c r="M90" s="107"/>
      <c r="N90" s="107"/>
      <c r="O90" s="107"/>
      <c r="P90" s="107"/>
      <c r="Q90" s="107"/>
      <c r="R90" s="107"/>
      <c r="S90" s="107"/>
      <c r="T90" s="107"/>
      <c r="U90" s="107"/>
      <c r="V90" s="107"/>
      <c r="W90" s="107"/>
      <c r="X90" s="107"/>
      <c r="Y90" s="107"/>
      <c r="Z90" s="107"/>
    </row>
    <row r="91" spans="1:26" s="108" customFormat="1" x14ac:dyDescent="0.25">
      <c r="A91" s="63" t="s">
        <v>2699</v>
      </c>
      <c r="B91" s="186">
        <v>41521</v>
      </c>
      <c r="C91" s="184" t="s">
        <v>2701</v>
      </c>
      <c r="D91" s="183" t="s">
        <v>2710</v>
      </c>
      <c r="E91" s="63" t="s">
        <v>999</v>
      </c>
      <c r="F91" s="63" t="s">
        <v>1510</v>
      </c>
      <c r="G91" s="93">
        <v>41639</v>
      </c>
      <c r="H91" s="93">
        <v>41569</v>
      </c>
      <c r="I91" s="93" t="s">
        <v>2750</v>
      </c>
      <c r="J91" s="63" t="s">
        <v>993</v>
      </c>
      <c r="K91" s="80"/>
      <c r="L91" s="80"/>
      <c r="M91" s="107"/>
      <c r="N91" s="107"/>
      <c r="O91" s="107"/>
      <c r="P91" s="107"/>
      <c r="Q91" s="107"/>
      <c r="R91" s="107"/>
      <c r="S91" s="107"/>
      <c r="T91" s="107"/>
      <c r="U91" s="107"/>
      <c r="V91" s="107"/>
      <c r="W91" s="107"/>
      <c r="X91" s="107"/>
      <c r="Y91" s="107"/>
      <c r="Z91" s="107"/>
    </row>
    <row r="92" spans="1:26" s="108" customFormat="1" x14ac:dyDescent="0.25">
      <c r="A92" s="63" t="s">
        <v>2700</v>
      </c>
      <c r="B92" s="182">
        <v>41521</v>
      </c>
      <c r="C92" s="184" t="s">
        <v>2702</v>
      </c>
      <c r="D92" s="183" t="s">
        <v>2710</v>
      </c>
      <c r="E92" s="63" t="s">
        <v>999</v>
      </c>
      <c r="F92" s="63" t="s">
        <v>1510</v>
      </c>
      <c r="G92" s="93">
        <v>41639</v>
      </c>
      <c r="H92" s="93">
        <v>41568</v>
      </c>
      <c r="I92" s="93" t="s">
        <v>2750</v>
      </c>
      <c r="J92" s="63" t="s">
        <v>993</v>
      </c>
      <c r="K92" s="80"/>
      <c r="L92" s="80"/>
      <c r="M92" s="107"/>
      <c r="N92" s="107"/>
      <c r="O92" s="107"/>
      <c r="P92" s="107"/>
      <c r="Q92" s="107"/>
      <c r="R92" s="107"/>
      <c r="S92" s="107"/>
      <c r="T92" s="107"/>
      <c r="U92" s="107"/>
      <c r="V92" s="107"/>
      <c r="W92" s="107"/>
      <c r="X92" s="107"/>
      <c r="Y92" s="107"/>
      <c r="Z92" s="107"/>
    </row>
    <row r="93" spans="1:26" s="108" customFormat="1" x14ac:dyDescent="0.25">
      <c r="A93" s="63" t="s">
        <v>2703</v>
      </c>
      <c r="B93" s="182">
        <v>41521</v>
      </c>
      <c r="C93" s="184" t="s">
        <v>2704</v>
      </c>
      <c r="D93" s="183" t="s">
        <v>2705</v>
      </c>
      <c r="E93" s="63" t="s">
        <v>999</v>
      </c>
      <c r="F93" s="63" t="s">
        <v>229</v>
      </c>
      <c r="G93" s="93">
        <v>41578</v>
      </c>
      <c r="H93" s="93">
        <v>41543</v>
      </c>
      <c r="I93" s="93" t="s">
        <v>2750</v>
      </c>
      <c r="J93" s="63" t="s">
        <v>4671</v>
      </c>
      <c r="K93" s="80"/>
      <c r="L93" s="80"/>
      <c r="M93" s="107"/>
      <c r="N93" s="107"/>
      <c r="O93" s="107"/>
      <c r="P93" s="107"/>
      <c r="Q93" s="107"/>
      <c r="R93" s="107"/>
      <c r="S93" s="107"/>
      <c r="T93" s="107"/>
      <c r="U93" s="107"/>
      <c r="V93" s="107"/>
      <c r="W93" s="107"/>
      <c r="X93" s="107"/>
      <c r="Y93" s="107"/>
      <c r="Z93" s="107"/>
    </row>
    <row r="94" spans="1:26" s="108" customFormat="1" x14ac:dyDescent="0.25">
      <c r="A94" s="63" t="s">
        <v>2706</v>
      </c>
      <c r="B94" s="182">
        <v>41523</v>
      </c>
      <c r="C94" s="184" t="s">
        <v>2707</v>
      </c>
      <c r="D94" s="183" t="s">
        <v>3631</v>
      </c>
      <c r="E94" s="63" t="s">
        <v>727</v>
      </c>
      <c r="F94" s="63" t="s">
        <v>794</v>
      </c>
      <c r="G94" s="93">
        <v>41639</v>
      </c>
      <c r="H94" s="112" t="s">
        <v>5027</v>
      </c>
      <c r="I94" s="93" t="s">
        <v>1139</v>
      </c>
      <c r="J94" s="63" t="s">
        <v>5028</v>
      </c>
      <c r="K94" s="80"/>
      <c r="L94" s="80"/>
      <c r="M94" s="107"/>
      <c r="N94" s="107"/>
      <c r="O94" s="107"/>
      <c r="P94" s="107"/>
      <c r="Q94" s="107"/>
      <c r="R94" s="107"/>
      <c r="S94" s="107"/>
      <c r="T94" s="107"/>
      <c r="U94" s="107"/>
      <c r="V94" s="107"/>
      <c r="W94" s="107"/>
      <c r="X94" s="107"/>
      <c r="Y94" s="107"/>
      <c r="Z94" s="107"/>
    </row>
    <row r="95" spans="1:26" s="108" customFormat="1" ht="27" x14ac:dyDescent="0.25">
      <c r="A95" s="63" t="s">
        <v>2711</v>
      </c>
      <c r="B95" s="182">
        <v>41527</v>
      </c>
      <c r="C95" s="184" t="s">
        <v>2712</v>
      </c>
      <c r="D95" s="183" t="s">
        <v>2743</v>
      </c>
      <c r="E95" s="63" t="s">
        <v>999</v>
      </c>
      <c r="F95" s="63" t="s">
        <v>794</v>
      </c>
      <c r="G95" s="93">
        <v>41820</v>
      </c>
      <c r="H95" s="112">
        <v>41985</v>
      </c>
      <c r="I95" s="93" t="s">
        <v>2751</v>
      </c>
      <c r="J95" s="63" t="s">
        <v>798</v>
      </c>
      <c r="K95" s="80"/>
      <c r="L95" s="80"/>
      <c r="M95" s="107"/>
      <c r="N95" s="107"/>
      <c r="O95" s="107"/>
      <c r="P95" s="107"/>
      <c r="Q95" s="107"/>
      <c r="R95" s="107"/>
      <c r="S95" s="107"/>
      <c r="T95" s="107"/>
      <c r="U95" s="107"/>
      <c r="V95" s="107"/>
      <c r="W95" s="107"/>
      <c r="X95" s="107"/>
      <c r="Y95" s="107"/>
      <c r="Z95" s="107"/>
    </row>
    <row r="96" spans="1:26" s="108" customFormat="1" x14ac:dyDescent="0.25">
      <c r="A96" s="63" t="s">
        <v>2713</v>
      </c>
      <c r="B96" s="182">
        <v>41527</v>
      </c>
      <c r="C96" s="184" t="s">
        <v>2714</v>
      </c>
      <c r="D96" s="183" t="s">
        <v>2715</v>
      </c>
      <c r="E96" s="63" t="s">
        <v>2716</v>
      </c>
      <c r="F96" s="63" t="s">
        <v>794</v>
      </c>
      <c r="G96" s="93">
        <v>41729</v>
      </c>
      <c r="H96" s="112">
        <v>41992</v>
      </c>
      <c r="I96" s="93" t="s">
        <v>2751</v>
      </c>
      <c r="J96" s="63" t="s">
        <v>798</v>
      </c>
      <c r="K96" s="80"/>
      <c r="L96" s="80"/>
      <c r="M96" s="107"/>
      <c r="N96" s="107"/>
      <c r="O96" s="107"/>
      <c r="P96" s="107"/>
      <c r="Q96" s="107"/>
      <c r="R96" s="107"/>
      <c r="S96" s="107"/>
      <c r="T96" s="107"/>
      <c r="U96" s="107"/>
      <c r="V96" s="107"/>
      <c r="W96" s="107"/>
      <c r="X96" s="107"/>
      <c r="Y96" s="107"/>
      <c r="Z96" s="107"/>
    </row>
    <row r="97" spans="1:26" s="108" customFormat="1" x14ac:dyDescent="0.25">
      <c r="A97" s="63" t="s">
        <v>2717</v>
      </c>
      <c r="B97" s="182">
        <v>41527</v>
      </c>
      <c r="C97" s="184" t="s">
        <v>2719</v>
      </c>
      <c r="D97" s="183" t="s">
        <v>2718</v>
      </c>
      <c r="E97" s="63" t="s">
        <v>999</v>
      </c>
      <c r="F97" s="63" t="s">
        <v>794</v>
      </c>
      <c r="G97" s="93">
        <v>41670</v>
      </c>
      <c r="H97" s="93">
        <v>41585</v>
      </c>
      <c r="I97" s="93" t="s">
        <v>2750</v>
      </c>
      <c r="J97" s="63" t="s">
        <v>798</v>
      </c>
      <c r="K97" s="80"/>
      <c r="L97" s="80"/>
      <c r="M97" s="107"/>
      <c r="N97" s="107"/>
      <c r="O97" s="107"/>
      <c r="P97" s="107"/>
      <c r="Q97" s="107"/>
      <c r="R97" s="107"/>
      <c r="S97" s="107"/>
      <c r="T97" s="107"/>
      <c r="U97" s="107"/>
      <c r="V97" s="107"/>
      <c r="W97" s="107"/>
      <c r="X97" s="107"/>
      <c r="Y97" s="107"/>
      <c r="Z97" s="107"/>
    </row>
    <row r="98" spans="1:26" s="108" customFormat="1" ht="27" x14ac:dyDescent="0.25">
      <c r="A98" s="63" t="s">
        <v>2720</v>
      </c>
      <c r="B98" s="182">
        <v>41527</v>
      </c>
      <c r="C98" s="184" t="s">
        <v>2721</v>
      </c>
      <c r="D98" s="183" t="s">
        <v>2722</v>
      </c>
      <c r="E98" s="63" t="s">
        <v>999</v>
      </c>
      <c r="F98" s="63" t="s">
        <v>794</v>
      </c>
      <c r="G98" s="93">
        <v>41670</v>
      </c>
      <c r="H98" s="112">
        <v>41667</v>
      </c>
      <c r="I98" s="93" t="s">
        <v>2750</v>
      </c>
      <c r="J98" s="63" t="s">
        <v>993</v>
      </c>
      <c r="K98" s="80"/>
      <c r="L98" s="80"/>
      <c r="M98" s="107"/>
      <c r="N98" s="107"/>
      <c r="O98" s="107"/>
      <c r="P98" s="107"/>
      <c r="Q98" s="107"/>
      <c r="R98" s="107"/>
      <c r="S98" s="107"/>
      <c r="T98" s="107"/>
      <c r="U98" s="107"/>
      <c r="V98" s="107"/>
      <c r="W98" s="107"/>
      <c r="X98" s="107"/>
      <c r="Y98" s="107"/>
      <c r="Z98" s="107"/>
    </row>
    <row r="99" spans="1:26" s="108" customFormat="1" ht="40.5" x14ac:dyDescent="0.25">
      <c r="A99" s="63" t="s">
        <v>2723</v>
      </c>
      <c r="B99" s="182">
        <v>41527</v>
      </c>
      <c r="C99" s="184" t="s">
        <v>2724</v>
      </c>
      <c r="D99" s="183" t="s">
        <v>2725</v>
      </c>
      <c r="E99" s="63" t="s">
        <v>229</v>
      </c>
      <c r="F99" s="63" t="s">
        <v>229</v>
      </c>
      <c r="G99" s="93">
        <v>41547</v>
      </c>
      <c r="H99" s="93">
        <v>41565</v>
      </c>
      <c r="I99" s="93" t="s">
        <v>2751</v>
      </c>
      <c r="J99" s="63" t="s">
        <v>798</v>
      </c>
      <c r="K99" s="80"/>
      <c r="L99" s="80"/>
      <c r="M99" s="107"/>
      <c r="N99" s="107"/>
      <c r="O99" s="107"/>
      <c r="P99" s="107"/>
      <c r="Q99" s="107"/>
      <c r="R99" s="107"/>
      <c r="S99" s="107"/>
      <c r="T99" s="107"/>
      <c r="U99" s="107"/>
      <c r="V99" s="107"/>
      <c r="W99" s="107"/>
      <c r="X99" s="107"/>
      <c r="Y99" s="107"/>
      <c r="Z99" s="107"/>
    </row>
    <row r="100" spans="1:26" s="108" customFormat="1" x14ac:dyDescent="0.25">
      <c r="A100" s="63" t="s">
        <v>2726</v>
      </c>
      <c r="B100" s="182">
        <v>41527</v>
      </c>
      <c r="C100" s="184" t="s">
        <v>2727</v>
      </c>
      <c r="D100" s="183" t="s">
        <v>2728</v>
      </c>
      <c r="E100" s="63" t="s">
        <v>229</v>
      </c>
      <c r="F100" s="63" t="s">
        <v>229</v>
      </c>
      <c r="G100" s="93">
        <v>41562</v>
      </c>
      <c r="H100" s="112">
        <v>41575</v>
      </c>
      <c r="I100" s="93" t="s">
        <v>2751</v>
      </c>
      <c r="J100" s="63" t="s">
        <v>798</v>
      </c>
      <c r="K100" s="80"/>
      <c r="L100" s="80"/>
      <c r="M100" s="107"/>
      <c r="N100" s="107"/>
      <c r="O100" s="107"/>
      <c r="P100" s="107"/>
      <c r="Q100" s="107"/>
      <c r="R100" s="107"/>
      <c r="S100" s="107"/>
      <c r="T100" s="107"/>
      <c r="U100" s="107"/>
      <c r="V100" s="107"/>
      <c r="W100" s="107"/>
      <c r="X100" s="107"/>
      <c r="Y100" s="107"/>
      <c r="Z100" s="107"/>
    </row>
    <row r="101" spans="1:26" s="108" customFormat="1" x14ac:dyDescent="0.25">
      <c r="A101" s="63" t="s">
        <v>2729</v>
      </c>
      <c r="B101" s="182">
        <v>41530</v>
      </c>
      <c r="C101" s="184" t="s">
        <v>2585</v>
      </c>
      <c r="D101" s="183" t="s">
        <v>2730</v>
      </c>
      <c r="E101" s="63" t="s">
        <v>999</v>
      </c>
      <c r="F101" s="63" t="s">
        <v>794</v>
      </c>
      <c r="G101" s="93">
        <v>41535</v>
      </c>
      <c r="H101" s="93">
        <v>41534</v>
      </c>
      <c r="I101" s="93" t="s">
        <v>2750</v>
      </c>
      <c r="J101" s="63" t="s">
        <v>798</v>
      </c>
      <c r="K101" s="80"/>
      <c r="L101" s="80"/>
      <c r="M101" s="107"/>
      <c r="N101" s="107"/>
      <c r="O101" s="107"/>
      <c r="P101" s="107"/>
      <c r="Q101" s="107"/>
      <c r="R101" s="107"/>
      <c r="S101" s="107"/>
      <c r="T101" s="107"/>
      <c r="U101" s="107"/>
      <c r="V101" s="107"/>
      <c r="W101" s="107"/>
      <c r="X101" s="107"/>
      <c r="Y101" s="107"/>
      <c r="Z101" s="107"/>
    </row>
    <row r="102" spans="1:26" s="108" customFormat="1" ht="27" x14ac:dyDescent="0.25">
      <c r="A102" s="63" t="s">
        <v>2731</v>
      </c>
      <c r="B102" s="182">
        <v>41530</v>
      </c>
      <c r="C102" s="184" t="s">
        <v>1127</v>
      </c>
      <c r="D102" s="183" t="s">
        <v>2732</v>
      </c>
      <c r="E102" s="63" t="s">
        <v>516</v>
      </c>
      <c r="F102" s="63" t="s">
        <v>794</v>
      </c>
      <c r="G102" s="93">
        <v>41578</v>
      </c>
      <c r="H102" s="93">
        <v>41569</v>
      </c>
      <c r="I102" s="93" t="s">
        <v>2750</v>
      </c>
      <c r="J102" s="63" t="s">
        <v>993</v>
      </c>
      <c r="K102" s="80"/>
      <c r="L102" s="80"/>
      <c r="M102" s="107"/>
      <c r="N102" s="107"/>
      <c r="O102" s="107"/>
      <c r="P102" s="107"/>
      <c r="Q102" s="107"/>
      <c r="R102" s="107"/>
      <c r="S102" s="107"/>
      <c r="T102" s="107"/>
      <c r="U102" s="107"/>
      <c r="V102" s="107"/>
      <c r="W102" s="107"/>
      <c r="X102" s="107"/>
      <c r="Y102" s="107"/>
      <c r="Z102" s="107"/>
    </row>
    <row r="103" spans="1:26" s="108" customFormat="1" ht="27" x14ac:dyDescent="0.25">
      <c r="A103" s="63" t="s">
        <v>2734</v>
      </c>
      <c r="B103" s="182">
        <v>41535</v>
      </c>
      <c r="C103" s="184" t="s">
        <v>2737</v>
      </c>
      <c r="D103" s="183" t="s">
        <v>2738</v>
      </c>
      <c r="E103" s="63" t="s">
        <v>999</v>
      </c>
      <c r="F103" s="63" t="s">
        <v>1510</v>
      </c>
      <c r="G103" s="93">
        <v>41639</v>
      </c>
      <c r="H103" s="112">
        <v>41619</v>
      </c>
      <c r="I103" s="93" t="s">
        <v>2750</v>
      </c>
      <c r="J103" s="63" t="s">
        <v>993</v>
      </c>
      <c r="K103" s="80"/>
      <c r="L103" s="80"/>
      <c r="M103" s="107"/>
      <c r="N103" s="107"/>
      <c r="O103" s="107"/>
      <c r="P103" s="107"/>
      <c r="Q103" s="107"/>
      <c r="R103" s="107"/>
      <c r="S103" s="107"/>
      <c r="T103" s="107"/>
      <c r="U103" s="107"/>
      <c r="V103" s="107"/>
      <c r="W103" s="107"/>
      <c r="X103" s="107"/>
      <c r="Y103" s="107"/>
      <c r="Z103" s="107"/>
    </row>
    <row r="104" spans="1:26" s="108" customFormat="1" ht="27" x14ac:dyDescent="0.25">
      <c r="A104" s="63" t="s">
        <v>2735</v>
      </c>
      <c r="B104" s="182">
        <v>41535</v>
      </c>
      <c r="C104" s="184" t="s">
        <v>2739</v>
      </c>
      <c r="D104" s="183" t="s">
        <v>2740</v>
      </c>
      <c r="E104" s="63" t="s">
        <v>999</v>
      </c>
      <c r="F104" s="63" t="s">
        <v>1510</v>
      </c>
      <c r="G104" s="93">
        <v>41639</v>
      </c>
      <c r="H104" s="112">
        <v>41610</v>
      </c>
      <c r="I104" s="93" t="s">
        <v>2750</v>
      </c>
      <c r="J104" s="63" t="s">
        <v>993</v>
      </c>
      <c r="K104" s="80"/>
      <c r="L104" s="80"/>
      <c r="M104" s="107"/>
      <c r="N104" s="107"/>
      <c r="O104" s="107"/>
      <c r="P104" s="107"/>
      <c r="Q104" s="107"/>
      <c r="R104" s="107"/>
      <c r="S104" s="107"/>
      <c r="T104" s="107"/>
      <c r="U104" s="107"/>
      <c r="V104" s="107"/>
      <c r="W104" s="107"/>
      <c r="X104" s="107"/>
      <c r="Y104" s="107"/>
      <c r="Z104" s="107"/>
    </row>
    <row r="105" spans="1:26" s="108" customFormat="1" x14ac:dyDescent="0.25">
      <c r="A105" s="63" t="s">
        <v>2736</v>
      </c>
      <c r="B105" s="186">
        <v>41535</v>
      </c>
      <c r="C105" s="229" t="s">
        <v>2741</v>
      </c>
      <c r="D105" s="228" t="s">
        <v>2742</v>
      </c>
      <c r="E105" s="232" t="s">
        <v>999</v>
      </c>
      <c r="F105" s="232" t="s">
        <v>1510</v>
      </c>
      <c r="G105" s="93">
        <v>41639</v>
      </c>
      <c r="H105" s="112">
        <v>41596</v>
      </c>
      <c r="I105" s="232" t="s">
        <v>2750</v>
      </c>
      <c r="J105" s="232" t="s">
        <v>993</v>
      </c>
      <c r="K105" s="212"/>
      <c r="L105" s="80"/>
      <c r="M105" s="107"/>
      <c r="N105" s="107"/>
      <c r="O105" s="107"/>
      <c r="P105" s="107"/>
      <c r="Q105" s="107"/>
      <c r="R105" s="107"/>
      <c r="S105" s="107"/>
      <c r="T105" s="107"/>
      <c r="U105" s="107"/>
      <c r="V105" s="107"/>
      <c r="W105" s="107"/>
      <c r="X105" s="107"/>
      <c r="Y105" s="107"/>
      <c r="Z105" s="107"/>
    </row>
    <row r="106" spans="1:26" s="98" customFormat="1" x14ac:dyDescent="0.25">
      <c r="A106" s="63" t="s">
        <v>2744</v>
      </c>
      <c r="B106" s="186">
        <v>41537</v>
      </c>
      <c r="C106" s="184" t="s">
        <v>1358</v>
      </c>
      <c r="D106" s="184" t="s">
        <v>2745</v>
      </c>
      <c r="E106" s="63" t="s">
        <v>999</v>
      </c>
      <c r="F106" s="63" t="s">
        <v>229</v>
      </c>
      <c r="G106" s="93">
        <v>41578</v>
      </c>
      <c r="H106" s="93">
        <v>41542</v>
      </c>
      <c r="I106" s="93" t="s">
        <v>2750</v>
      </c>
      <c r="J106" s="63" t="s">
        <v>2748</v>
      </c>
      <c r="K106" s="236"/>
      <c r="L106" s="80"/>
      <c r="M106" s="80"/>
      <c r="N106" s="80"/>
      <c r="O106" s="80"/>
      <c r="P106" s="80"/>
      <c r="Q106" s="80"/>
      <c r="R106" s="80"/>
      <c r="S106" s="80"/>
      <c r="T106" s="80"/>
      <c r="U106" s="80"/>
      <c r="V106" s="80"/>
      <c r="W106" s="80"/>
      <c r="X106" s="80"/>
      <c r="Y106" s="80"/>
      <c r="Z106" s="80"/>
    </row>
    <row r="107" spans="1:26" s="98" customFormat="1" ht="27" x14ac:dyDescent="0.25">
      <c r="A107" s="63" t="s">
        <v>2746</v>
      </c>
      <c r="B107" s="182">
        <v>41542</v>
      </c>
      <c r="C107" s="184" t="s">
        <v>2747</v>
      </c>
      <c r="D107" s="184" t="s">
        <v>3691</v>
      </c>
      <c r="E107" s="63" t="s">
        <v>999</v>
      </c>
      <c r="F107" s="63" t="s">
        <v>794</v>
      </c>
      <c r="G107" s="93">
        <v>41790</v>
      </c>
      <c r="H107" s="112" t="s">
        <v>5025</v>
      </c>
      <c r="I107" s="63" t="s">
        <v>1139</v>
      </c>
      <c r="J107" s="63" t="s">
        <v>5026</v>
      </c>
      <c r="K107" s="236"/>
      <c r="L107" s="80"/>
      <c r="M107" s="80"/>
      <c r="N107" s="80"/>
      <c r="O107" s="80"/>
      <c r="P107" s="80"/>
      <c r="Q107" s="80"/>
      <c r="R107" s="80"/>
      <c r="S107" s="80"/>
      <c r="T107" s="80"/>
      <c r="U107" s="80"/>
      <c r="V107" s="80"/>
      <c r="W107" s="80"/>
      <c r="X107" s="80"/>
      <c r="Y107" s="80"/>
      <c r="Z107" s="80"/>
    </row>
    <row r="108" spans="1:26" s="98" customFormat="1" ht="27" x14ac:dyDescent="0.25">
      <c r="A108" s="63" t="s">
        <v>2752</v>
      </c>
      <c r="B108" s="182">
        <v>41550</v>
      </c>
      <c r="C108" s="184" t="s">
        <v>2753</v>
      </c>
      <c r="D108" s="184" t="s">
        <v>2754</v>
      </c>
      <c r="E108" s="63" t="s">
        <v>685</v>
      </c>
      <c r="F108" s="63" t="s">
        <v>794</v>
      </c>
      <c r="G108" s="93">
        <v>41578</v>
      </c>
      <c r="H108" s="93">
        <v>41557</v>
      </c>
      <c r="I108" s="63" t="s">
        <v>2750</v>
      </c>
      <c r="J108" s="63" t="s">
        <v>798</v>
      </c>
      <c r="K108" s="236"/>
      <c r="L108" s="80"/>
      <c r="M108" s="80"/>
      <c r="N108" s="80"/>
      <c r="O108" s="80"/>
      <c r="P108" s="80"/>
      <c r="Q108" s="80"/>
      <c r="R108" s="80"/>
      <c r="S108" s="80"/>
      <c r="T108" s="80"/>
      <c r="U108" s="80"/>
      <c r="V108" s="80"/>
      <c r="W108" s="80"/>
      <c r="X108" s="80"/>
      <c r="Y108" s="80"/>
      <c r="Z108" s="80"/>
    </row>
    <row r="109" spans="1:26" s="98" customFormat="1" ht="27" x14ac:dyDescent="0.25">
      <c r="A109" s="63" t="s">
        <v>2755</v>
      </c>
      <c r="B109" s="182">
        <v>41554</v>
      </c>
      <c r="C109" s="184" t="s">
        <v>2756</v>
      </c>
      <c r="D109" s="184" t="s">
        <v>2757</v>
      </c>
      <c r="E109" s="63" t="s">
        <v>237</v>
      </c>
      <c r="F109" s="63" t="s">
        <v>229</v>
      </c>
      <c r="G109" s="93">
        <v>41558</v>
      </c>
      <c r="H109" s="93">
        <v>41558</v>
      </c>
      <c r="I109" s="63" t="s">
        <v>2750</v>
      </c>
      <c r="J109" s="63" t="s">
        <v>798</v>
      </c>
      <c r="K109" s="236"/>
      <c r="L109" s="80"/>
      <c r="M109" s="80"/>
      <c r="N109" s="80"/>
      <c r="O109" s="80"/>
      <c r="P109" s="80"/>
      <c r="Q109" s="80"/>
      <c r="R109" s="80"/>
      <c r="S109" s="80"/>
      <c r="T109" s="80"/>
      <c r="U109" s="80"/>
      <c r="V109" s="80"/>
      <c r="W109" s="80"/>
      <c r="X109" s="80"/>
      <c r="Y109" s="80"/>
      <c r="Z109" s="80"/>
    </row>
    <row r="110" spans="1:26" s="98" customFormat="1" ht="27" x14ac:dyDescent="0.25">
      <c r="A110" s="63" t="s">
        <v>2758</v>
      </c>
      <c r="B110" s="182">
        <v>41557</v>
      </c>
      <c r="C110" s="184" t="s">
        <v>2759</v>
      </c>
      <c r="D110" s="184" t="s">
        <v>2760</v>
      </c>
      <c r="E110" s="63" t="s">
        <v>685</v>
      </c>
      <c r="F110" s="63" t="s">
        <v>794</v>
      </c>
      <c r="G110" s="93">
        <v>41578</v>
      </c>
      <c r="H110" s="112">
        <v>41621</v>
      </c>
      <c r="I110" s="63" t="s">
        <v>2751</v>
      </c>
      <c r="J110" s="63" t="s">
        <v>798</v>
      </c>
      <c r="K110" s="236"/>
      <c r="L110" s="80"/>
      <c r="M110" s="80"/>
      <c r="N110" s="80"/>
      <c r="O110" s="80"/>
      <c r="P110" s="80"/>
      <c r="Q110" s="80"/>
      <c r="R110" s="80"/>
      <c r="S110" s="80"/>
      <c r="T110" s="80"/>
      <c r="U110" s="80"/>
      <c r="V110" s="80"/>
      <c r="W110" s="80"/>
      <c r="X110" s="80"/>
      <c r="Y110" s="80"/>
      <c r="Z110" s="80"/>
    </row>
    <row r="111" spans="1:26" s="98" customFormat="1" ht="27" x14ac:dyDescent="0.25">
      <c r="A111" s="63" t="s">
        <v>2761</v>
      </c>
      <c r="B111" s="182">
        <v>41563</v>
      </c>
      <c r="C111" s="184" t="s">
        <v>2774</v>
      </c>
      <c r="D111" s="184" t="s">
        <v>2775</v>
      </c>
      <c r="E111" s="63" t="s">
        <v>685</v>
      </c>
      <c r="F111" s="63" t="s">
        <v>794</v>
      </c>
      <c r="G111" s="93">
        <v>41564</v>
      </c>
      <c r="H111" s="93">
        <v>41568</v>
      </c>
      <c r="I111" s="63" t="s">
        <v>2751</v>
      </c>
      <c r="J111" s="63" t="s">
        <v>798</v>
      </c>
      <c r="K111" s="236"/>
      <c r="L111" s="80"/>
      <c r="M111" s="80"/>
      <c r="N111" s="80"/>
      <c r="O111" s="80"/>
      <c r="P111" s="80"/>
      <c r="Q111" s="80"/>
      <c r="R111" s="80"/>
      <c r="S111" s="80"/>
      <c r="T111" s="80"/>
      <c r="U111" s="80"/>
      <c r="V111" s="80"/>
      <c r="W111" s="80"/>
      <c r="X111" s="80"/>
      <c r="Y111" s="80"/>
      <c r="Z111" s="80"/>
    </row>
    <row r="112" spans="1:26" s="98" customFormat="1" x14ac:dyDescent="0.25">
      <c r="A112" s="63" t="s">
        <v>2762</v>
      </c>
      <c r="B112" s="182">
        <v>41565</v>
      </c>
      <c r="C112" s="184" t="s">
        <v>2763</v>
      </c>
      <c r="D112" s="184" t="s">
        <v>2764</v>
      </c>
      <c r="E112" s="63" t="s">
        <v>2067</v>
      </c>
      <c r="F112" s="63" t="s">
        <v>229</v>
      </c>
      <c r="G112" s="93">
        <v>41578</v>
      </c>
      <c r="H112" s="93">
        <v>41571</v>
      </c>
      <c r="I112" s="63" t="s">
        <v>2750</v>
      </c>
      <c r="J112" s="63" t="s">
        <v>798</v>
      </c>
      <c r="K112" s="236"/>
      <c r="L112" s="80"/>
      <c r="M112" s="80"/>
      <c r="N112" s="80"/>
      <c r="O112" s="80"/>
      <c r="P112" s="80"/>
      <c r="Q112" s="80"/>
      <c r="R112" s="80"/>
      <c r="S112" s="80"/>
      <c r="T112" s="80"/>
      <c r="U112" s="80"/>
      <c r="V112" s="80"/>
      <c r="W112" s="80"/>
      <c r="X112" s="80"/>
      <c r="Y112" s="80"/>
      <c r="Z112" s="80"/>
    </row>
    <row r="113" spans="1:26" s="98" customFormat="1" x14ac:dyDescent="0.25">
      <c r="A113" s="63" t="s">
        <v>2765</v>
      </c>
      <c r="B113" s="182">
        <v>41565</v>
      </c>
      <c r="C113" s="184" t="s">
        <v>2766</v>
      </c>
      <c r="D113" s="184" t="s">
        <v>2764</v>
      </c>
      <c r="E113" s="63" t="s">
        <v>2767</v>
      </c>
      <c r="F113" s="63" t="s">
        <v>229</v>
      </c>
      <c r="G113" s="93">
        <v>41578</v>
      </c>
      <c r="H113" s="93">
        <v>41571</v>
      </c>
      <c r="I113" s="63" t="s">
        <v>2750</v>
      </c>
      <c r="J113" s="63" t="s">
        <v>798</v>
      </c>
      <c r="K113" s="236"/>
      <c r="L113" s="80"/>
      <c r="M113" s="80"/>
      <c r="N113" s="80"/>
      <c r="O113" s="80"/>
      <c r="P113" s="80"/>
      <c r="Q113" s="80"/>
      <c r="R113" s="80"/>
      <c r="S113" s="80"/>
      <c r="T113" s="80"/>
      <c r="U113" s="80"/>
      <c r="V113" s="80"/>
      <c r="W113" s="80"/>
      <c r="X113" s="80"/>
      <c r="Y113" s="80"/>
      <c r="Z113" s="80"/>
    </row>
    <row r="114" spans="1:26" s="98" customFormat="1" ht="27" x14ac:dyDescent="0.25">
      <c r="A114" s="63" t="s">
        <v>2768</v>
      </c>
      <c r="B114" s="182">
        <v>41569</v>
      </c>
      <c r="C114" s="184" t="s">
        <v>2769</v>
      </c>
      <c r="D114" s="184" t="s">
        <v>2770</v>
      </c>
      <c r="E114" s="63" t="s">
        <v>999</v>
      </c>
      <c r="F114" s="63" t="s">
        <v>999</v>
      </c>
      <c r="G114" s="93">
        <v>41394</v>
      </c>
      <c r="H114" s="112">
        <v>42230</v>
      </c>
      <c r="I114" s="63" t="s">
        <v>2751</v>
      </c>
      <c r="J114" s="63" t="s">
        <v>798</v>
      </c>
      <c r="K114" s="236"/>
      <c r="L114" s="80"/>
      <c r="M114" s="80"/>
      <c r="N114" s="80"/>
      <c r="O114" s="80"/>
      <c r="P114" s="80"/>
      <c r="Q114" s="80"/>
      <c r="R114" s="80"/>
      <c r="S114" s="80"/>
      <c r="T114" s="80"/>
      <c r="U114" s="80"/>
      <c r="V114" s="80"/>
      <c r="W114" s="80"/>
      <c r="X114" s="80"/>
      <c r="Y114" s="80"/>
      <c r="Z114" s="80"/>
    </row>
    <row r="115" spans="1:26" s="98" customFormat="1" ht="27" x14ac:dyDescent="0.25">
      <c r="A115" s="63" t="s">
        <v>2771</v>
      </c>
      <c r="B115" s="182">
        <v>41575</v>
      </c>
      <c r="C115" s="184" t="s">
        <v>2772</v>
      </c>
      <c r="D115" s="184" t="s">
        <v>2773</v>
      </c>
      <c r="E115" s="63" t="s">
        <v>2428</v>
      </c>
      <c r="F115" s="63" t="s">
        <v>229</v>
      </c>
      <c r="G115" s="93">
        <v>41608</v>
      </c>
      <c r="H115" s="112" t="s">
        <v>1056</v>
      </c>
      <c r="I115" s="63" t="s">
        <v>1139</v>
      </c>
      <c r="J115" s="63" t="s">
        <v>1173</v>
      </c>
      <c r="K115" s="236"/>
      <c r="L115" s="80"/>
      <c r="M115" s="80"/>
      <c r="N115" s="80"/>
      <c r="O115" s="80"/>
      <c r="P115" s="80"/>
      <c r="Q115" s="80"/>
      <c r="R115" s="80"/>
      <c r="S115" s="80"/>
      <c r="T115" s="80"/>
      <c r="U115" s="80"/>
      <c r="V115" s="80"/>
      <c r="W115" s="80"/>
      <c r="X115" s="80"/>
      <c r="Y115" s="80"/>
      <c r="Z115" s="80"/>
    </row>
    <row r="116" spans="1:26" s="98" customFormat="1" x14ac:dyDescent="0.25">
      <c r="A116" s="63" t="s">
        <v>2777</v>
      </c>
      <c r="B116" s="182">
        <v>41578</v>
      </c>
      <c r="C116" s="184" t="s">
        <v>2779</v>
      </c>
      <c r="D116" s="184" t="s">
        <v>2780</v>
      </c>
      <c r="E116" s="63" t="s">
        <v>2282</v>
      </c>
      <c r="F116" s="63" t="s">
        <v>999</v>
      </c>
      <c r="G116" s="93">
        <v>41698</v>
      </c>
      <c r="H116" s="112">
        <v>41746</v>
      </c>
      <c r="I116" s="63" t="s">
        <v>2751</v>
      </c>
      <c r="J116" s="63" t="s">
        <v>993</v>
      </c>
      <c r="K116" s="236"/>
      <c r="L116" s="80"/>
      <c r="M116" s="80"/>
      <c r="N116" s="80"/>
      <c r="O116" s="80"/>
      <c r="P116" s="80"/>
      <c r="Q116" s="80"/>
      <c r="R116" s="80"/>
      <c r="S116" s="80"/>
      <c r="T116" s="80"/>
      <c r="U116" s="80"/>
      <c r="V116" s="80"/>
      <c r="W116" s="80"/>
      <c r="X116" s="80"/>
      <c r="Y116" s="80"/>
      <c r="Z116" s="80"/>
    </row>
    <row r="117" spans="1:26" s="98" customFormat="1" ht="27" x14ac:dyDescent="0.25">
      <c r="A117" s="63" t="s">
        <v>2778</v>
      </c>
      <c r="B117" s="182">
        <v>41578</v>
      </c>
      <c r="C117" s="184" t="s">
        <v>2781</v>
      </c>
      <c r="D117" s="184" t="s">
        <v>2782</v>
      </c>
      <c r="E117" s="63" t="s">
        <v>2282</v>
      </c>
      <c r="F117" s="63" t="s">
        <v>999</v>
      </c>
      <c r="G117" s="93">
        <v>41698</v>
      </c>
      <c r="H117" s="112">
        <v>41746</v>
      </c>
      <c r="I117" s="63" t="s">
        <v>2751</v>
      </c>
      <c r="J117" s="63" t="s">
        <v>993</v>
      </c>
      <c r="K117" s="236"/>
      <c r="L117" s="80"/>
      <c r="M117" s="80"/>
      <c r="N117" s="80"/>
      <c r="O117" s="80"/>
      <c r="P117" s="80"/>
      <c r="Q117" s="80"/>
      <c r="R117" s="80"/>
      <c r="S117" s="80"/>
      <c r="T117" s="80"/>
      <c r="U117" s="80"/>
      <c r="V117" s="80"/>
      <c r="W117" s="80"/>
      <c r="X117" s="80"/>
      <c r="Y117" s="80"/>
      <c r="Z117" s="80"/>
    </row>
    <row r="118" spans="1:26" s="98" customFormat="1" ht="27" x14ac:dyDescent="0.25">
      <c r="A118" s="63" t="s">
        <v>2783</v>
      </c>
      <c r="B118" s="182">
        <v>41585</v>
      </c>
      <c r="C118" s="184" t="s">
        <v>2784</v>
      </c>
      <c r="D118" s="184" t="s">
        <v>2788</v>
      </c>
      <c r="E118" s="63" t="s">
        <v>516</v>
      </c>
      <c r="F118" s="63" t="s">
        <v>999</v>
      </c>
      <c r="G118" s="93">
        <v>41593</v>
      </c>
      <c r="H118" s="93">
        <v>41590</v>
      </c>
      <c r="I118" s="63" t="s">
        <v>2750</v>
      </c>
      <c r="J118" s="63" t="s">
        <v>993</v>
      </c>
      <c r="K118" s="236"/>
      <c r="L118" s="80"/>
      <c r="M118" s="80"/>
      <c r="N118" s="80"/>
      <c r="O118" s="80"/>
      <c r="P118" s="80"/>
      <c r="Q118" s="80"/>
      <c r="R118" s="80"/>
      <c r="S118" s="80"/>
      <c r="T118" s="80"/>
      <c r="U118" s="80"/>
      <c r="V118" s="80"/>
      <c r="W118" s="80"/>
      <c r="X118" s="80"/>
      <c r="Y118" s="80"/>
      <c r="Z118" s="80"/>
    </row>
    <row r="119" spans="1:26" s="98" customFormat="1" x14ac:dyDescent="0.25">
      <c r="A119" s="63" t="s">
        <v>2785</v>
      </c>
      <c r="B119" s="182">
        <v>41590</v>
      </c>
      <c r="C119" s="184" t="s">
        <v>2786</v>
      </c>
      <c r="D119" s="184" t="s">
        <v>2787</v>
      </c>
      <c r="E119" s="63" t="s">
        <v>2296</v>
      </c>
      <c r="F119" s="63" t="s">
        <v>229</v>
      </c>
      <c r="G119" s="93">
        <v>41639</v>
      </c>
      <c r="H119" s="93">
        <v>41617</v>
      </c>
      <c r="I119" s="63" t="s">
        <v>2750</v>
      </c>
      <c r="J119" s="63" t="s">
        <v>993</v>
      </c>
      <c r="K119" s="236"/>
      <c r="L119" s="80"/>
      <c r="M119" s="80"/>
      <c r="N119" s="80"/>
      <c r="O119" s="80"/>
      <c r="P119" s="80"/>
      <c r="Q119" s="80"/>
      <c r="R119" s="80"/>
      <c r="S119" s="80"/>
      <c r="T119" s="80"/>
      <c r="U119" s="80"/>
      <c r="V119" s="80"/>
      <c r="W119" s="80"/>
      <c r="X119" s="80"/>
      <c r="Y119" s="80"/>
      <c r="Z119" s="80"/>
    </row>
    <row r="120" spans="1:26" s="98" customFormat="1" ht="27" x14ac:dyDescent="0.25">
      <c r="A120" s="63" t="s">
        <v>2789</v>
      </c>
      <c r="B120" s="182">
        <v>41599</v>
      </c>
      <c r="C120" s="184" t="s">
        <v>2790</v>
      </c>
      <c r="D120" s="184" t="s">
        <v>2791</v>
      </c>
      <c r="E120" s="63" t="s">
        <v>486</v>
      </c>
      <c r="F120" s="63" t="s">
        <v>999</v>
      </c>
      <c r="G120" s="93">
        <v>41670</v>
      </c>
      <c r="H120" s="112">
        <v>41624</v>
      </c>
      <c r="I120" s="63" t="s">
        <v>2750</v>
      </c>
      <c r="J120" s="63" t="s">
        <v>993</v>
      </c>
      <c r="K120" s="236"/>
      <c r="L120" s="80"/>
      <c r="M120" s="80"/>
      <c r="N120" s="80"/>
      <c r="O120" s="80"/>
      <c r="P120" s="80"/>
      <c r="Q120" s="80"/>
      <c r="R120" s="80"/>
      <c r="S120" s="80"/>
      <c r="T120" s="80"/>
      <c r="U120" s="80"/>
      <c r="V120" s="80"/>
      <c r="W120" s="80"/>
      <c r="X120" s="80"/>
      <c r="Y120" s="80"/>
      <c r="Z120" s="80"/>
    </row>
    <row r="121" spans="1:26" s="98" customFormat="1" ht="27" x14ac:dyDescent="0.25">
      <c r="A121" s="63" t="s">
        <v>2793</v>
      </c>
      <c r="B121" s="182">
        <v>41600</v>
      </c>
      <c r="C121" s="184" t="s">
        <v>2794</v>
      </c>
      <c r="D121" s="184" t="s">
        <v>2795</v>
      </c>
      <c r="E121" s="63" t="s">
        <v>2428</v>
      </c>
      <c r="F121" s="63" t="s">
        <v>229</v>
      </c>
      <c r="G121" s="93">
        <v>41600</v>
      </c>
      <c r="H121" s="220">
        <v>41600</v>
      </c>
      <c r="I121" s="63" t="s">
        <v>2750</v>
      </c>
      <c r="J121" s="63" t="s">
        <v>798</v>
      </c>
      <c r="K121" s="236"/>
      <c r="L121" s="80"/>
      <c r="M121" s="80"/>
      <c r="N121" s="80"/>
      <c r="O121" s="80"/>
      <c r="P121" s="80"/>
      <c r="Q121" s="80"/>
      <c r="R121" s="80"/>
      <c r="S121" s="80"/>
      <c r="T121" s="80"/>
      <c r="U121" s="80"/>
      <c r="V121" s="80"/>
      <c r="W121" s="80"/>
      <c r="X121" s="80"/>
      <c r="Y121" s="80"/>
      <c r="Z121" s="80"/>
    </row>
    <row r="122" spans="1:26" s="98" customFormat="1" ht="27" x14ac:dyDescent="0.25">
      <c r="A122" s="63" t="s">
        <v>2796</v>
      </c>
      <c r="B122" s="182">
        <v>41603</v>
      </c>
      <c r="C122" s="184" t="s">
        <v>2797</v>
      </c>
      <c r="D122" s="184" t="s">
        <v>2798</v>
      </c>
      <c r="E122" s="63" t="s">
        <v>727</v>
      </c>
      <c r="F122" s="63" t="s">
        <v>229</v>
      </c>
      <c r="G122" s="93">
        <v>41603</v>
      </c>
      <c r="H122" s="112">
        <v>41603</v>
      </c>
      <c r="I122" s="63" t="s">
        <v>2750</v>
      </c>
      <c r="J122" s="63" t="s">
        <v>798</v>
      </c>
      <c r="K122" s="236"/>
      <c r="L122" s="80"/>
      <c r="M122" s="80"/>
      <c r="N122" s="80"/>
      <c r="O122" s="80"/>
      <c r="P122" s="80"/>
      <c r="Q122" s="80"/>
      <c r="R122" s="80"/>
      <c r="S122" s="80"/>
      <c r="T122" s="80"/>
      <c r="U122" s="80"/>
      <c r="V122" s="80"/>
      <c r="W122" s="80"/>
      <c r="X122" s="80"/>
      <c r="Y122" s="80"/>
      <c r="Z122" s="80"/>
    </row>
    <row r="123" spans="1:26" s="98" customFormat="1" ht="40.5" x14ac:dyDescent="0.25">
      <c r="A123" s="63" t="s">
        <v>2799</v>
      </c>
      <c r="B123" s="182">
        <v>41604</v>
      </c>
      <c r="C123" s="230" t="s">
        <v>2999</v>
      </c>
      <c r="D123" s="184" t="s">
        <v>2800</v>
      </c>
      <c r="E123" s="63" t="s">
        <v>999</v>
      </c>
      <c r="F123" s="63" t="s">
        <v>999</v>
      </c>
      <c r="G123" s="93">
        <v>41698</v>
      </c>
      <c r="H123" s="112" t="s">
        <v>1056</v>
      </c>
      <c r="I123" s="63" t="s">
        <v>1139</v>
      </c>
      <c r="J123" s="63" t="s">
        <v>1173</v>
      </c>
      <c r="K123" s="236"/>
      <c r="L123" s="80"/>
      <c r="M123" s="80"/>
      <c r="N123" s="80"/>
      <c r="O123" s="80"/>
      <c r="P123" s="80"/>
      <c r="Q123" s="80"/>
      <c r="R123" s="80"/>
      <c r="S123" s="80"/>
      <c r="T123" s="80"/>
      <c r="U123" s="80"/>
      <c r="V123" s="80"/>
      <c r="W123" s="80"/>
      <c r="X123" s="80"/>
      <c r="Y123" s="80"/>
      <c r="Z123" s="80"/>
    </row>
    <row r="124" spans="1:26" s="98" customFormat="1" ht="27" x14ac:dyDescent="0.25">
      <c r="A124" s="63" t="s">
        <v>2802</v>
      </c>
      <c r="B124" s="182">
        <v>41627</v>
      </c>
      <c r="C124" s="184" t="s">
        <v>2803</v>
      </c>
      <c r="D124" s="184" t="s">
        <v>2804</v>
      </c>
      <c r="E124" s="63" t="s">
        <v>2106</v>
      </c>
      <c r="F124" s="63" t="s">
        <v>229</v>
      </c>
      <c r="G124" s="93">
        <v>41670</v>
      </c>
      <c r="H124" s="112">
        <v>41653</v>
      </c>
      <c r="I124" s="63" t="s">
        <v>2750</v>
      </c>
      <c r="J124" s="63" t="s">
        <v>798</v>
      </c>
      <c r="K124" s="236"/>
      <c r="L124" s="80"/>
      <c r="M124" s="80"/>
      <c r="N124" s="80"/>
      <c r="O124" s="80"/>
      <c r="P124" s="80"/>
      <c r="Q124" s="80"/>
      <c r="R124" s="80"/>
      <c r="S124" s="80"/>
      <c r="T124" s="80"/>
      <c r="U124" s="80"/>
      <c r="V124" s="80"/>
      <c r="W124" s="80"/>
      <c r="X124" s="80"/>
      <c r="Y124" s="80"/>
      <c r="Z124" s="80"/>
    </row>
    <row r="125" spans="1:26" s="98" customFormat="1" ht="27" x14ac:dyDescent="0.25">
      <c r="A125" s="63" t="s">
        <v>2805</v>
      </c>
      <c r="B125" s="182">
        <v>41634</v>
      </c>
      <c r="C125" s="184" t="s">
        <v>2806</v>
      </c>
      <c r="D125" s="184" t="s">
        <v>2807</v>
      </c>
      <c r="E125" s="63" t="s">
        <v>2428</v>
      </c>
      <c r="F125" s="63" t="s">
        <v>229</v>
      </c>
      <c r="G125" s="93">
        <v>41656</v>
      </c>
      <c r="H125" s="112">
        <v>41654</v>
      </c>
      <c r="I125" s="63" t="s">
        <v>2750</v>
      </c>
      <c r="J125" s="63" t="s">
        <v>798</v>
      </c>
      <c r="K125" s="236"/>
      <c r="L125" s="80"/>
      <c r="M125" s="80"/>
      <c r="N125" s="80"/>
      <c r="O125" s="80"/>
      <c r="P125" s="80"/>
      <c r="Q125" s="80"/>
      <c r="R125" s="80"/>
      <c r="S125" s="80"/>
      <c r="T125" s="80"/>
      <c r="U125" s="80"/>
      <c r="V125" s="80"/>
      <c r="W125" s="80"/>
      <c r="X125" s="80"/>
      <c r="Y125" s="80"/>
      <c r="Z125" s="80"/>
    </row>
    <row r="126" spans="1:26" s="108" customFormat="1" x14ac:dyDescent="0.25">
      <c r="A126" s="143"/>
      <c r="B126" s="227"/>
      <c r="C126" s="242"/>
      <c r="D126" s="219" t="s">
        <v>2262</v>
      </c>
      <c r="E126" s="231"/>
      <c r="F126" s="231"/>
      <c r="G126" s="242"/>
      <c r="H126" s="246"/>
      <c r="I126" s="231"/>
      <c r="J126" s="231"/>
      <c r="K126" s="80"/>
      <c r="L126" s="80"/>
      <c r="M126" s="107"/>
      <c r="N126" s="107"/>
      <c r="O126" s="107"/>
      <c r="P126" s="107"/>
      <c r="Q126" s="107"/>
      <c r="R126" s="107"/>
      <c r="S126" s="107"/>
      <c r="T126" s="107"/>
      <c r="U126" s="107"/>
      <c r="V126" s="107"/>
      <c r="W126" s="107"/>
      <c r="X126" s="107"/>
      <c r="Y126" s="107"/>
      <c r="Z126" s="107"/>
    </row>
    <row r="127" spans="1:26" s="167" customFormat="1" ht="16.5" x14ac:dyDescent="0.3">
      <c r="A127" s="63"/>
      <c r="B127" s="182"/>
      <c r="C127" s="183"/>
      <c r="D127" s="111"/>
      <c r="E127" s="63"/>
      <c r="F127" s="63"/>
      <c r="G127" s="93"/>
      <c r="H127" s="93"/>
      <c r="I127" s="93"/>
      <c r="J127" s="63"/>
      <c r="K127" s="80"/>
      <c r="L127" s="165"/>
      <c r="M127" s="166"/>
      <c r="N127" s="166"/>
      <c r="O127" s="166"/>
      <c r="P127" s="166"/>
      <c r="Q127" s="166"/>
      <c r="R127" s="166"/>
      <c r="S127" s="166"/>
      <c r="T127" s="166"/>
      <c r="U127" s="166"/>
      <c r="V127" s="166"/>
      <c r="W127" s="166"/>
      <c r="X127" s="166"/>
      <c r="Y127" s="166"/>
      <c r="Z127" s="166"/>
    </row>
    <row r="128" spans="1:26" s="168" customFormat="1" ht="16.5" x14ac:dyDescent="0.3">
      <c r="A128" s="63"/>
      <c r="B128" s="186"/>
      <c r="C128" s="235"/>
      <c r="D128" s="111"/>
      <c r="E128" s="63"/>
      <c r="F128" s="63"/>
      <c r="G128" s="93"/>
      <c r="H128" s="93"/>
      <c r="I128" s="93"/>
      <c r="J128" s="63"/>
      <c r="K128" s="80"/>
      <c r="L128" s="165"/>
      <c r="M128" s="165"/>
      <c r="N128" s="165"/>
      <c r="O128" s="165"/>
      <c r="P128" s="165"/>
      <c r="Q128" s="165"/>
      <c r="R128" s="165"/>
      <c r="S128" s="165"/>
      <c r="T128" s="165"/>
      <c r="U128" s="165"/>
      <c r="V128" s="165"/>
      <c r="W128" s="165"/>
      <c r="X128" s="165"/>
      <c r="Y128" s="165"/>
      <c r="Z128" s="165"/>
    </row>
    <row r="129" spans="1:26" s="167" customFormat="1" ht="16.5" x14ac:dyDescent="0.3">
      <c r="A129" s="63"/>
      <c r="B129" s="182"/>
      <c r="C129" s="183"/>
      <c r="D129" s="111"/>
      <c r="E129" s="63"/>
      <c r="F129" s="63"/>
      <c r="G129" s="93"/>
      <c r="H129" s="93"/>
      <c r="I129" s="93"/>
      <c r="J129" s="63"/>
      <c r="K129" s="80"/>
      <c r="L129" s="165"/>
      <c r="M129" s="166"/>
      <c r="N129" s="166"/>
      <c r="O129" s="166"/>
      <c r="P129" s="166"/>
      <c r="Q129" s="166"/>
      <c r="R129" s="166"/>
      <c r="S129" s="166"/>
      <c r="T129" s="166"/>
      <c r="U129" s="166"/>
      <c r="V129" s="166"/>
      <c r="W129" s="166"/>
      <c r="X129" s="166"/>
      <c r="Y129" s="166"/>
      <c r="Z129" s="166"/>
    </row>
    <row r="130" spans="1:26" s="167" customFormat="1" ht="16.5" x14ac:dyDescent="0.3">
      <c r="A130" s="63"/>
      <c r="B130" s="182"/>
      <c r="C130" s="183"/>
      <c r="D130" s="111"/>
      <c r="E130" s="63"/>
      <c r="F130" s="63"/>
      <c r="G130" s="93"/>
      <c r="H130" s="93"/>
      <c r="I130" s="93"/>
      <c r="J130" s="63"/>
      <c r="K130" s="80"/>
      <c r="L130" s="165"/>
      <c r="M130" s="166"/>
      <c r="N130" s="166"/>
      <c r="O130" s="166"/>
      <c r="P130" s="166"/>
      <c r="Q130" s="166"/>
      <c r="R130" s="166"/>
      <c r="S130" s="166"/>
      <c r="T130" s="166"/>
      <c r="U130" s="166"/>
      <c r="V130" s="166"/>
      <c r="W130" s="166"/>
      <c r="X130" s="166"/>
      <c r="Y130" s="166"/>
      <c r="Z130" s="166"/>
    </row>
    <row r="131" spans="1:26" s="167" customFormat="1" ht="16.5" x14ac:dyDescent="0.3">
      <c r="A131" s="63"/>
      <c r="B131" s="182"/>
      <c r="C131" s="184"/>
      <c r="D131" s="120"/>
      <c r="E131" s="63"/>
      <c r="F131" s="63"/>
      <c r="G131" s="93"/>
      <c r="H131" s="93"/>
      <c r="I131" s="93"/>
      <c r="J131" s="63"/>
      <c r="K131" s="80"/>
      <c r="L131" s="165"/>
      <c r="M131" s="166"/>
      <c r="N131" s="166"/>
      <c r="O131" s="166"/>
      <c r="P131" s="166"/>
      <c r="Q131" s="166"/>
      <c r="R131" s="166"/>
      <c r="S131" s="166"/>
      <c r="T131" s="166"/>
      <c r="U131" s="166"/>
      <c r="V131" s="166"/>
      <c r="W131" s="166"/>
      <c r="X131" s="166"/>
      <c r="Y131" s="166"/>
      <c r="Z131" s="166"/>
    </row>
    <row r="132" spans="1:26" s="167" customFormat="1" ht="16.5" x14ac:dyDescent="0.3">
      <c r="A132" s="63"/>
      <c r="B132" s="182"/>
      <c r="C132" s="183"/>
      <c r="D132" s="111"/>
      <c r="E132" s="63"/>
      <c r="F132" s="63"/>
      <c r="G132" s="93"/>
      <c r="H132" s="93"/>
      <c r="I132" s="93"/>
      <c r="J132" s="63"/>
      <c r="K132" s="80"/>
      <c r="L132" s="165"/>
      <c r="M132" s="166"/>
      <c r="N132" s="166"/>
      <c r="O132" s="166"/>
      <c r="P132" s="166"/>
      <c r="Q132" s="166"/>
      <c r="R132" s="166"/>
      <c r="S132" s="166"/>
      <c r="T132" s="166"/>
      <c r="U132" s="166"/>
      <c r="V132" s="166"/>
      <c r="W132" s="166"/>
      <c r="X132" s="166"/>
      <c r="Y132" s="166"/>
      <c r="Z132" s="166"/>
    </row>
    <row r="133" spans="1:26" s="167" customFormat="1" ht="16.5" x14ac:dyDescent="0.3">
      <c r="A133" s="63"/>
      <c r="B133" s="182"/>
      <c r="C133" s="183"/>
      <c r="D133" s="111"/>
      <c r="E133" s="63"/>
      <c r="F133" s="63"/>
      <c r="G133" s="93"/>
      <c r="H133" s="93"/>
      <c r="I133" s="93"/>
      <c r="J133" s="63"/>
      <c r="K133" s="80"/>
      <c r="L133" s="165"/>
      <c r="M133" s="166"/>
      <c r="N133" s="166"/>
      <c r="O133" s="166"/>
      <c r="P133" s="166"/>
      <c r="Q133" s="166"/>
      <c r="R133" s="166"/>
      <c r="S133" s="166"/>
      <c r="T133" s="166"/>
      <c r="U133" s="166"/>
      <c r="V133" s="166"/>
      <c r="W133" s="166"/>
      <c r="X133" s="166"/>
      <c r="Y133" s="166"/>
      <c r="Z133" s="166"/>
    </row>
    <row r="134" spans="1:26" s="167" customFormat="1" ht="16.5" x14ac:dyDescent="0.3">
      <c r="A134" s="63"/>
      <c r="B134" s="182"/>
      <c r="C134" s="183"/>
      <c r="D134" s="111"/>
      <c r="E134" s="63"/>
      <c r="F134" s="63"/>
      <c r="G134" s="93"/>
      <c r="H134" s="93"/>
      <c r="I134" s="93"/>
      <c r="J134" s="63"/>
      <c r="K134" s="80"/>
      <c r="L134" s="165"/>
      <c r="M134" s="166"/>
      <c r="N134" s="166"/>
      <c r="O134" s="166"/>
      <c r="P134" s="166"/>
      <c r="Q134" s="166"/>
      <c r="R134" s="166"/>
      <c r="S134" s="166"/>
      <c r="T134" s="166"/>
      <c r="U134" s="166"/>
      <c r="V134" s="166"/>
      <c r="W134" s="166"/>
      <c r="X134" s="166"/>
      <c r="Y134" s="166"/>
      <c r="Z134" s="166"/>
    </row>
    <row r="135" spans="1:26" s="166" customFormat="1" ht="16.5" x14ac:dyDescent="0.3">
      <c r="A135" s="63"/>
      <c r="B135" s="182"/>
      <c r="C135" s="183"/>
      <c r="D135" s="111"/>
      <c r="E135" s="63"/>
      <c r="F135" s="63"/>
      <c r="G135" s="93"/>
      <c r="H135" s="112"/>
      <c r="I135" s="112"/>
      <c r="J135" s="92"/>
      <c r="K135" s="80"/>
      <c r="L135" s="165"/>
    </row>
    <row r="136" spans="1:26" s="167" customFormat="1" ht="16.5" x14ac:dyDescent="0.3">
      <c r="A136" s="63"/>
      <c r="B136" s="182"/>
      <c r="C136" s="183"/>
      <c r="D136" s="111"/>
      <c r="E136" s="63"/>
      <c r="F136" s="63"/>
      <c r="G136" s="93"/>
      <c r="H136" s="93"/>
      <c r="I136" s="93"/>
      <c r="J136" s="63"/>
      <c r="K136" s="80"/>
      <c r="L136" s="165"/>
      <c r="M136" s="166"/>
      <c r="N136" s="166"/>
      <c r="O136" s="166"/>
      <c r="P136" s="166"/>
      <c r="Q136" s="166"/>
      <c r="R136" s="166"/>
      <c r="S136" s="166"/>
      <c r="T136" s="166"/>
      <c r="U136" s="166"/>
      <c r="V136" s="166"/>
      <c r="W136" s="166"/>
      <c r="X136" s="166"/>
      <c r="Y136" s="166"/>
      <c r="Z136" s="166"/>
    </row>
    <row r="137" spans="1:26" s="167" customFormat="1" ht="16.5" x14ac:dyDescent="0.3">
      <c r="A137" s="63"/>
      <c r="B137" s="182"/>
      <c r="C137" s="183"/>
      <c r="D137" s="111"/>
      <c r="E137" s="63"/>
      <c r="F137" s="63"/>
      <c r="G137" s="93"/>
      <c r="H137" s="93"/>
      <c r="I137" s="93"/>
      <c r="J137" s="63"/>
      <c r="K137" s="80"/>
      <c r="L137" s="165"/>
      <c r="M137" s="166"/>
      <c r="N137" s="166"/>
      <c r="O137" s="166"/>
      <c r="P137" s="166"/>
      <c r="Q137" s="166"/>
      <c r="R137" s="166"/>
      <c r="S137" s="166"/>
      <c r="T137" s="166"/>
      <c r="U137" s="166"/>
      <c r="V137" s="166"/>
      <c r="W137" s="166"/>
      <c r="X137" s="166"/>
      <c r="Y137" s="166"/>
      <c r="Z137" s="166"/>
    </row>
    <row r="138" spans="1:26" s="167" customFormat="1" ht="16.5" x14ac:dyDescent="0.3">
      <c r="A138" s="63"/>
      <c r="B138" s="182"/>
      <c r="C138" s="183"/>
      <c r="D138" s="111"/>
      <c r="E138" s="63"/>
      <c r="F138" s="63"/>
      <c r="G138" s="93"/>
      <c r="H138" s="93"/>
      <c r="I138" s="93"/>
      <c r="J138" s="63"/>
      <c r="K138" s="179"/>
      <c r="L138" s="165"/>
      <c r="M138" s="166"/>
      <c r="N138" s="166"/>
      <c r="O138" s="166"/>
      <c r="P138" s="166"/>
      <c r="Q138" s="166"/>
      <c r="R138" s="166"/>
      <c r="S138" s="166"/>
      <c r="T138" s="166"/>
      <c r="U138" s="166"/>
      <c r="V138" s="166"/>
      <c r="W138" s="166"/>
      <c r="X138" s="166"/>
      <c r="Y138" s="166"/>
      <c r="Z138" s="166"/>
    </row>
    <row r="139" spans="1:26" s="167" customFormat="1" ht="16.5" x14ac:dyDescent="0.3">
      <c r="A139" s="63"/>
      <c r="B139" s="182"/>
      <c r="C139" s="183"/>
      <c r="D139" s="111"/>
      <c r="E139" s="63"/>
      <c r="F139" s="63"/>
      <c r="G139" s="93"/>
      <c r="H139" s="93"/>
      <c r="I139" s="93"/>
      <c r="J139" s="63"/>
      <c r="K139" s="80"/>
      <c r="L139" s="165"/>
      <c r="M139" s="166"/>
      <c r="N139" s="166"/>
      <c r="O139" s="166"/>
      <c r="P139" s="166"/>
      <c r="Q139" s="166"/>
      <c r="R139" s="166"/>
      <c r="S139" s="166"/>
      <c r="T139" s="166"/>
      <c r="U139" s="166"/>
      <c r="V139" s="166"/>
      <c r="W139" s="166"/>
      <c r="X139" s="166"/>
      <c r="Y139" s="166"/>
      <c r="Z139" s="166"/>
    </row>
    <row r="140" spans="1:26" s="167" customFormat="1" ht="16.5" x14ac:dyDescent="0.3">
      <c r="A140" s="63"/>
      <c r="B140" s="182"/>
      <c r="C140" s="183"/>
      <c r="D140" s="111"/>
      <c r="E140" s="63"/>
      <c r="F140" s="63"/>
      <c r="G140" s="93"/>
      <c r="H140" s="93"/>
      <c r="I140" s="93"/>
      <c r="J140" s="63"/>
      <c r="K140" s="80"/>
      <c r="L140" s="165"/>
      <c r="M140" s="166"/>
      <c r="N140" s="166"/>
      <c r="O140" s="166"/>
      <c r="P140" s="166"/>
      <c r="Q140" s="166"/>
      <c r="R140" s="166"/>
      <c r="S140" s="166"/>
      <c r="T140" s="166"/>
      <c r="U140" s="166"/>
      <c r="V140" s="166"/>
      <c r="W140" s="166"/>
      <c r="X140" s="166"/>
      <c r="Y140" s="166"/>
      <c r="Z140" s="166"/>
    </row>
    <row r="141" spans="1:26" s="167" customFormat="1" ht="16.5" x14ac:dyDescent="0.3">
      <c r="A141" s="92"/>
      <c r="B141" s="188"/>
      <c r="C141" s="185"/>
      <c r="D141" s="120"/>
      <c r="E141" s="92"/>
      <c r="F141" s="92"/>
      <c r="G141" s="112"/>
      <c r="H141" s="112"/>
      <c r="I141" s="112"/>
      <c r="J141" s="63"/>
      <c r="K141" s="80"/>
      <c r="L141" s="165"/>
      <c r="M141" s="166"/>
      <c r="N141" s="166"/>
      <c r="O141" s="166"/>
      <c r="P141" s="166"/>
      <c r="Q141" s="166"/>
      <c r="R141" s="166"/>
      <c r="S141" s="166"/>
      <c r="T141" s="166"/>
      <c r="U141" s="166"/>
      <c r="V141" s="166"/>
      <c r="W141" s="166"/>
      <c r="X141" s="166"/>
      <c r="Y141" s="166"/>
      <c r="Z141" s="166"/>
    </row>
    <row r="142" spans="1:26" s="167" customFormat="1" ht="16.5" x14ac:dyDescent="0.3">
      <c r="A142" s="63"/>
      <c r="B142" s="182"/>
      <c r="C142" s="183"/>
      <c r="D142" s="111"/>
      <c r="E142" s="63"/>
      <c r="F142" s="63"/>
      <c r="G142" s="93"/>
      <c r="H142" s="93"/>
      <c r="I142" s="93"/>
      <c r="J142" s="63"/>
      <c r="K142" s="80"/>
      <c r="L142" s="165"/>
      <c r="M142" s="166"/>
      <c r="N142" s="166"/>
      <c r="O142" s="166"/>
      <c r="P142" s="166"/>
      <c r="Q142" s="166"/>
      <c r="R142" s="166"/>
      <c r="S142" s="166"/>
      <c r="T142" s="166"/>
      <c r="U142" s="166"/>
      <c r="V142" s="166"/>
      <c r="W142" s="166"/>
      <c r="X142" s="166"/>
      <c r="Y142" s="166"/>
      <c r="Z142" s="166"/>
    </row>
    <row r="143" spans="1:26" s="167" customFormat="1" ht="16.5" x14ac:dyDescent="0.3">
      <c r="A143" s="63"/>
      <c r="B143" s="182"/>
      <c r="C143" s="183"/>
      <c r="D143" s="111"/>
      <c r="E143" s="63"/>
      <c r="F143" s="63"/>
      <c r="G143" s="93"/>
      <c r="H143" s="93"/>
      <c r="I143" s="93"/>
      <c r="J143" s="63"/>
      <c r="K143" s="80"/>
      <c r="L143" s="165"/>
      <c r="M143" s="166"/>
      <c r="N143" s="166"/>
      <c r="O143" s="166"/>
      <c r="P143" s="166"/>
      <c r="Q143" s="166"/>
      <c r="R143" s="166"/>
      <c r="S143" s="166"/>
      <c r="T143" s="166"/>
      <c r="U143" s="166"/>
      <c r="V143" s="166"/>
      <c r="W143" s="166"/>
      <c r="X143" s="166"/>
      <c r="Y143" s="166"/>
      <c r="Z143" s="166"/>
    </row>
    <row r="144" spans="1:26" s="167" customFormat="1" ht="16.5" x14ac:dyDescent="0.3">
      <c r="A144" s="63"/>
      <c r="B144" s="182"/>
      <c r="C144" s="184"/>
      <c r="D144" s="243"/>
      <c r="E144" s="63"/>
      <c r="F144" s="63"/>
      <c r="G144" s="93"/>
      <c r="H144" s="93"/>
      <c r="I144" s="93"/>
      <c r="J144" s="63"/>
      <c r="K144" s="80"/>
      <c r="L144" s="165"/>
      <c r="M144" s="166"/>
      <c r="N144" s="166"/>
      <c r="O144" s="166"/>
      <c r="P144" s="166"/>
      <c r="Q144" s="166"/>
      <c r="R144" s="166"/>
      <c r="S144" s="166"/>
      <c r="T144" s="166"/>
      <c r="U144" s="166"/>
      <c r="V144" s="166"/>
      <c r="W144" s="166"/>
      <c r="X144" s="166"/>
      <c r="Y144" s="166"/>
      <c r="Z144" s="166"/>
    </row>
    <row r="145" spans="1:26" s="167" customFormat="1" ht="16.5" x14ac:dyDescent="0.3">
      <c r="A145" s="63"/>
      <c r="B145" s="182"/>
      <c r="C145" s="183"/>
      <c r="D145" s="111"/>
      <c r="E145" s="63"/>
      <c r="F145" s="63"/>
      <c r="G145" s="93"/>
      <c r="H145" s="93"/>
      <c r="I145" s="93"/>
      <c r="J145" s="63"/>
      <c r="K145" s="80"/>
      <c r="L145" s="165"/>
      <c r="M145" s="166"/>
      <c r="N145" s="166"/>
      <c r="O145" s="166"/>
      <c r="P145" s="166"/>
      <c r="Q145" s="166"/>
      <c r="R145" s="166"/>
      <c r="S145" s="166"/>
      <c r="T145" s="166"/>
      <c r="U145" s="166"/>
      <c r="V145" s="166"/>
      <c r="W145" s="166"/>
      <c r="X145" s="166"/>
      <c r="Y145" s="166"/>
      <c r="Z145" s="166"/>
    </row>
    <row r="146" spans="1:26" s="167" customFormat="1" ht="16.5" x14ac:dyDescent="0.3">
      <c r="A146" s="63"/>
      <c r="B146" s="182"/>
      <c r="C146" s="183"/>
      <c r="D146" s="111"/>
      <c r="E146" s="63"/>
      <c r="F146" s="63"/>
      <c r="G146" s="93"/>
      <c r="H146" s="93"/>
      <c r="I146" s="93"/>
      <c r="J146" s="63"/>
      <c r="K146" s="80"/>
      <c r="L146" s="165"/>
      <c r="M146" s="166"/>
      <c r="N146" s="166"/>
      <c r="O146" s="166"/>
      <c r="P146" s="166"/>
      <c r="Q146" s="166"/>
      <c r="R146" s="166"/>
      <c r="S146" s="166"/>
      <c r="T146" s="166"/>
      <c r="U146" s="166"/>
      <c r="V146" s="166"/>
      <c r="W146" s="166"/>
      <c r="X146" s="166"/>
      <c r="Y146" s="166"/>
      <c r="Z146" s="166"/>
    </row>
    <row r="147" spans="1:26" s="167" customFormat="1" ht="16.5" x14ac:dyDescent="0.3">
      <c r="A147" s="63"/>
      <c r="B147" s="182"/>
      <c r="C147" s="185"/>
      <c r="D147" s="138"/>
      <c r="E147" s="63"/>
      <c r="F147" s="63"/>
      <c r="G147" s="93"/>
      <c r="H147" s="93"/>
      <c r="I147" s="93"/>
      <c r="J147" s="63"/>
      <c r="K147" s="80"/>
      <c r="L147" s="165"/>
      <c r="M147" s="166"/>
      <c r="N147" s="166"/>
      <c r="O147" s="166"/>
      <c r="P147" s="166"/>
      <c r="Q147" s="166"/>
      <c r="R147" s="166"/>
      <c r="S147" s="166"/>
      <c r="T147" s="166"/>
      <c r="U147" s="166"/>
      <c r="V147" s="166"/>
      <c r="W147" s="166"/>
      <c r="X147" s="166"/>
      <c r="Y147" s="166"/>
      <c r="Z147" s="166"/>
    </row>
    <row r="148" spans="1:26" s="167" customFormat="1" ht="16.5" x14ac:dyDescent="0.3">
      <c r="A148" s="92"/>
      <c r="B148" s="188"/>
      <c r="C148" s="183"/>
      <c r="D148" s="111"/>
      <c r="E148" s="63"/>
      <c r="F148" s="63"/>
      <c r="G148" s="93"/>
      <c r="H148" s="93"/>
      <c r="I148" s="93"/>
      <c r="J148" s="63"/>
      <c r="K148" s="80"/>
      <c r="L148" s="165"/>
      <c r="M148" s="166"/>
      <c r="N148" s="166"/>
      <c r="O148" s="166"/>
      <c r="P148" s="166"/>
      <c r="Q148" s="166"/>
      <c r="R148" s="166"/>
      <c r="S148" s="166"/>
      <c r="T148" s="166"/>
      <c r="U148" s="166"/>
      <c r="V148" s="166"/>
      <c r="W148" s="166"/>
      <c r="X148" s="166"/>
      <c r="Y148" s="166"/>
      <c r="Z148" s="166"/>
    </row>
    <row r="149" spans="1:26" s="167" customFormat="1" ht="16.5" x14ac:dyDescent="0.3">
      <c r="A149" s="92"/>
      <c r="B149" s="188"/>
      <c r="C149" s="183"/>
      <c r="D149" s="189"/>
      <c r="E149" s="63"/>
      <c r="F149" s="63"/>
      <c r="G149" s="93"/>
      <c r="H149" s="93"/>
      <c r="I149" s="93"/>
      <c r="J149" s="63"/>
      <c r="K149" s="80"/>
      <c r="L149" s="165"/>
      <c r="M149" s="166"/>
      <c r="N149" s="166"/>
      <c r="O149" s="166"/>
      <c r="P149" s="166"/>
      <c r="Q149" s="166"/>
      <c r="R149" s="166"/>
      <c r="S149" s="166"/>
      <c r="T149" s="166"/>
      <c r="U149" s="166"/>
      <c r="V149" s="166"/>
      <c r="W149" s="166"/>
      <c r="X149" s="166"/>
      <c r="Y149" s="166"/>
      <c r="Z149" s="166"/>
    </row>
    <row r="150" spans="1:26" s="167" customFormat="1" ht="16.5" x14ac:dyDescent="0.3">
      <c r="A150" s="92"/>
      <c r="B150" s="188"/>
      <c r="C150" s="183"/>
      <c r="D150" s="189"/>
      <c r="E150" s="63"/>
      <c r="F150" s="63"/>
      <c r="G150" s="93"/>
      <c r="H150" s="93"/>
      <c r="I150" s="237"/>
      <c r="J150" s="117"/>
      <c r="K150" s="80"/>
      <c r="L150" s="165"/>
      <c r="M150" s="166"/>
      <c r="N150" s="166"/>
      <c r="O150" s="166"/>
      <c r="P150" s="166"/>
      <c r="Q150" s="166"/>
      <c r="R150" s="166"/>
      <c r="S150" s="166"/>
      <c r="T150" s="166"/>
      <c r="U150" s="166"/>
      <c r="V150" s="166"/>
      <c r="W150" s="166"/>
      <c r="X150" s="166"/>
      <c r="Y150" s="166"/>
      <c r="Z150" s="166"/>
    </row>
    <row r="151" spans="1:26" s="167" customFormat="1" ht="16.5" x14ac:dyDescent="0.3">
      <c r="A151" s="92"/>
      <c r="B151" s="188"/>
      <c r="C151" s="183"/>
      <c r="D151" s="189"/>
      <c r="E151" s="63"/>
      <c r="F151" s="63"/>
      <c r="G151" s="93"/>
      <c r="H151" s="93"/>
      <c r="I151" s="93"/>
      <c r="J151" s="63"/>
      <c r="K151" s="80"/>
      <c r="L151" s="165"/>
      <c r="M151" s="166"/>
      <c r="N151" s="166"/>
      <c r="O151" s="166"/>
      <c r="P151" s="166"/>
      <c r="Q151" s="166"/>
      <c r="R151" s="166"/>
      <c r="S151" s="166"/>
      <c r="T151" s="166"/>
      <c r="U151" s="166"/>
      <c r="V151" s="166"/>
      <c r="W151" s="166"/>
      <c r="X151" s="166"/>
      <c r="Y151" s="166"/>
      <c r="Z151" s="166"/>
    </row>
    <row r="152" spans="1:26" s="167" customFormat="1" ht="16.5" x14ac:dyDescent="0.3">
      <c r="A152" s="92"/>
      <c r="B152" s="188"/>
      <c r="C152" s="183"/>
      <c r="D152" s="111"/>
      <c r="E152" s="63"/>
      <c r="F152" s="63"/>
      <c r="G152" s="93"/>
      <c r="H152" s="93"/>
      <c r="I152" s="93"/>
      <c r="J152" s="63"/>
      <c r="K152" s="80"/>
      <c r="L152" s="165"/>
      <c r="M152" s="166"/>
      <c r="N152" s="166"/>
      <c r="O152" s="166"/>
      <c r="P152" s="166"/>
      <c r="Q152" s="166"/>
      <c r="R152" s="166"/>
      <c r="S152" s="166"/>
      <c r="T152" s="166"/>
      <c r="U152" s="166"/>
      <c r="V152" s="166"/>
      <c r="W152" s="166"/>
      <c r="X152" s="166"/>
      <c r="Y152" s="166"/>
      <c r="Z152" s="166"/>
    </row>
    <row r="153" spans="1:26" s="167" customFormat="1" ht="16.5" x14ac:dyDescent="0.3">
      <c r="A153" s="92"/>
      <c r="B153" s="188"/>
      <c r="C153" s="183"/>
      <c r="D153" s="111"/>
      <c r="E153" s="63"/>
      <c r="F153" s="63"/>
      <c r="G153" s="93"/>
      <c r="H153" s="93"/>
      <c r="I153" s="93"/>
      <c r="J153" s="63"/>
      <c r="K153" s="80"/>
      <c r="L153" s="165"/>
      <c r="M153" s="166"/>
      <c r="N153" s="166"/>
      <c r="O153" s="166"/>
      <c r="P153" s="166"/>
      <c r="Q153" s="166"/>
      <c r="R153" s="166"/>
      <c r="S153" s="166"/>
      <c r="T153" s="166"/>
      <c r="U153" s="166"/>
      <c r="V153" s="166"/>
      <c r="W153" s="166"/>
      <c r="X153" s="166"/>
      <c r="Y153" s="166"/>
      <c r="Z153" s="166"/>
    </row>
    <row r="154" spans="1:26" s="167" customFormat="1" ht="16.5" x14ac:dyDescent="0.3">
      <c r="A154" s="92"/>
      <c r="B154" s="188"/>
      <c r="C154" s="183"/>
      <c r="D154" s="183"/>
      <c r="E154" s="63"/>
      <c r="F154" s="63"/>
      <c r="G154" s="93"/>
      <c r="H154" s="93"/>
      <c r="I154" s="93"/>
      <c r="J154" s="63"/>
      <c r="K154" s="80"/>
      <c r="L154" s="165"/>
      <c r="M154" s="166"/>
      <c r="N154" s="166"/>
      <c r="O154" s="166"/>
      <c r="P154" s="166"/>
      <c r="Q154" s="166"/>
      <c r="R154" s="166"/>
      <c r="S154" s="166"/>
      <c r="T154" s="166"/>
      <c r="U154" s="166"/>
      <c r="V154" s="166"/>
      <c r="W154" s="166"/>
      <c r="X154" s="166"/>
      <c r="Y154" s="166"/>
      <c r="Z154" s="166"/>
    </row>
    <row r="155" spans="1:26" s="167" customFormat="1" ht="16.5" x14ac:dyDescent="0.3">
      <c r="A155" s="92"/>
      <c r="B155" s="188"/>
      <c r="C155" s="183"/>
      <c r="D155" s="138"/>
      <c r="E155" s="63"/>
      <c r="F155" s="63"/>
      <c r="G155" s="93"/>
      <c r="H155" s="93"/>
      <c r="I155" s="93"/>
      <c r="J155" s="63"/>
      <c r="K155" s="80"/>
      <c r="L155" s="165"/>
      <c r="M155" s="166"/>
      <c r="N155" s="166"/>
      <c r="O155" s="166"/>
      <c r="P155" s="166"/>
      <c r="Q155" s="166"/>
      <c r="R155" s="166"/>
      <c r="S155" s="166"/>
      <c r="T155" s="166"/>
      <c r="U155" s="166"/>
      <c r="V155" s="166"/>
      <c r="W155" s="166"/>
      <c r="X155" s="166"/>
      <c r="Y155" s="166"/>
      <c r="Z155" s="166"/>
    </row>
    <row r="156" spans="1:26" s="167" customFormat="1" ht="16.5" x14ac:dyDescent="0.3">
      <c r="A156" s="92"/>
      <c r="B156" s="188"/>
      <c r="C156" s="183"/>
      <c r="D156" s="138"/>
      <c r="E156" s="63"/>
      <c r="F156" s="63"/>
      <c r="G156" s="93"/>
      <c r="H156" s="93"/>
      <c r="I156" s="93"/>
      <c r="J156" s="63"/>
      <c r="K156" s="80"/>
      <c r="L156" s="165"/>
      <c r="M156" s="166"/>
      <c r="N156" s="166"/>
      <c r="O156" s="166"/>
      <c r="P156" s="166"/>
      <c r="Q156" s="166"/>
      <c r="R156" s="166"/>
      <c r="S156" s="166"/>
      <c r="T156" s="166"/>
      <c r="U156" s="166"/>
      <c r="V156" s="166"/>
      <c r="W156" s="166"/>
      <c r="X156" s="166"/>
      <c r="Y156" s="166"/>
      <c r="Z156" s="166"/>
    </row>
    <row r="157" spans="1:26" s="167" customFormat="1" ht="16.5" x14ac:dyDescent="0.3">
      <c r="A157" s="92"/>
      <c r="B157" s="188"/>
      <c r="C157" s="183"/>
      <c r="D157" s="138"/>
      <c r="E157" s="63"/>
      <c r="F157" s="63"/>
      <c r="G157" s="93"/>
      <c r="H157" s="93"/>
      <c r="I157" s="93"/>
      <c r="J157" s="63"/>
      <c r="K157" s="80"/>
      <c r="L157" s="165"/>
      <c r="M157" s="166"/>
      <c r="N157" s="166"/>
      <c r="O157" s="166"/>
      <c r="P157" s="166"/>
      <c r="Q157" s="166"/>
      <c r="R157" s="166"/>
      <c r="S157" s="166"/>
      <c r="T157" s="166"/>
      <c r="U157" s="166"/>
      <c r="V157" s="166"/>
      <c r="W157" s="166"/>
      <c r="X157" s="166"/>
      <c r="Y157" s="166"/>
      <c r="Z157" s="166"/>
    </row>
    <row r="158" spans="1:26" s="167" customFormat="1" ht="16.5" x14ac:dyDescent="0.3">
      <c r="A158" s="92"/>
      <c r="B158" s="188"/>
      <c r="C158" s="183"/>
      <c r="D158" s="124"/>
      <c r="E158" s="63"/>
      <c r="F158" s="63"/>
      <c r="G158" s="93"/>
      <c r="H158" s="93"/>
      <c r="I158" s="93"/>
      <c r="J158" s="63"/>
      <c r="K158" s="80"/>
      <c r="L158" s="165"/>
      <c r="M158" s="166"/>
      <c r="N158" s="166"/>
      <c r="O158" s="166"/>
      <c r="P158" s="166"/>
      <c r="Q158" s="166"/>
      <c r="R158" s="166"/>
      <c r="S158" s="166"/>
      <c r="T158" s="166"/>
      <c r="U158" s="166"/>
      <c r="V158" s="166"/>
      <c r="W158" s="166"/>
      <c r="X158" s="166"/>
      <c r="Y158" s="166"/>
      <c r="Z158" s="166"/>
    </row>
    <row r="159" spans="1:26" s="167" customFormat="1" ht="16.5" x14ac:dyDescent="0.3">
      <c r="A159" s="92"/>
      <c r="B159" s="188"/>
      <c r="C159" s="183"/>
      <c r="D159" s="140"/>
      <c r="E159" s="63"/>
      <c r="F159" s="63"/>
      <c r="G159" s="93"/>
      <c r="H159" s="93"/>
      <c r="I159" s="93"/>
      <c r="J159" s="63"/>
      <c r="K159" s="80"/>
      <c r="L159" s="165"/>
      <c r="M159" s="166"/>
      <c r="N159" s="166"/>
      <c r="O159" s="166"/>
      <c r="P159" s="166"/>
      <c r="Q159" s="166"/>
      <c r="R159" s="166"/>
      <c r="S159" s="166"/>
      <c r="T159" s="166"/>
      <c r="U159" s="166"/>
      <c r="V159" s="166"/>
      <c r="W159" s="166"/>
      <c r="X159" s="166"/>
      <c r="Y159" s="166"/>
      <c r="Z159" s="166"/>
    </row>
    <row r="160" spans="1:26" s="167" customFormat="1" ht="16.5" x14ac:dyDescent="0.3">
      <c r="A160" s="92"/>
      <c r="B160" s="188"/>
      <c r="C160" s="190"/>
      <c r="D160" s="140"/>
      <c r="E160" s="63"/>
      <c r="F160" s="63"/>
      <c r="G160" s="93"/>
      <c r="H160" s="93"/>
      <c r="I160" s="93"/>
      <c r="J160" s="63"/>
      <c r="K160" s="80"/>
      <c r="L160" s="165"/>
      <c r="M160" s="166"/>
      <c r="N160" s="166"/>
      <c r="O160" s="166"/>
      <c r="P160" s="166"/>
      <c r="Q160" s="166"/>
      <c r="R160" s="166"/>
      <c r="S160" s="166"/>
      <c r="T160" s="166"/>
      <c r="U160" s="166"/>
      <c r="V160" s="166"/>
      <c r="W160" s="166"/>
      <c r="X160" s="166"/>
      <c r="Y160" s="166"/>
      <c r="Z160" s="166"/>
    </row>
    <row r="161" spans="1:26" s="167" customFormat="1" ht="16.5" x14ac:dyDescent="0.3">
      <c r="A161" s="92"/>
      <c r="B161" s="188"/>
      <c r="C161" s="190"/>
      <c r="D161" s="125"/>
      <c r="E161" s="114"/>
      <c r="F161" s="114"/>
      <c r="G161" s="135"/>
      <c r="H161" s="93"/>
      <c r="I161" s="93"/>
      <c r="J161" s="63"/>
      <c r="K161" s="80"/>
      <c r="L161" s="165"/>
      <c r="M161" s="166"/>
      <c r="N161" s="166"/>
      <c r="O161" s="166"/>
      <c r="P161" s="166"/>
      <c r="Q161" s="166"/>
      <c r="R161" s="166"/>
      <c r="S161" s="166"/>
      <c r="T161" s="166"/>
      <c r="U161" s="166"/>
      <c r="V161" s="166"/>
      <c r="W161" s="166"/>
      <c r="X161" s="166"/>
      <c r="Y161" s="166"/>
      <c r="Z161" s="166"/>
    </row>
    <row r="162" spans="1:26" s="167" customFormat="1" ht="16.5" x14ac:dyDescent="0.3">
      <c r="A162" s="92"/>
      <c r="B162" s="188"/>
      <c r="C162" s="190"/>
      <c r="D162" s="125"/>
      <c r="E162" s="114"/>
      <c r="F162" s="114"/>
      <c r="G162" s="135"/>
      <c r="H162" s="93"/>
      <c r="I162" s="93"/>
      <c r="J162" s="63"/>
      <c r="K162" s="80"/>
      <c r="L162" s="165"/>
      <c r="M162" s="166"/>
      <c r="N162" s="166"/>
      <c r="O162" s="166"/>
      <c r="P162" s="166"/>
      <c r="Q162" s="166"/>
      <c r="R162" s="166"/>
      <c r="S162" s="166"/>
      <c r="T162" s="166"/>
      <c r="U162" s="166"/>
      <c r="V162" s="166"/>
      <c r="W162" s="166"/>
      <c r="X162" s="166"/>
      <c r="Y162" s="166"/>
      <c r="Z162" s="166"/>
    </row>
    <row r="163" spans="1:26" s="170" customFormat="1" ht="16.5" x14ac:dyDescent="0.2">
      <c r="A163" s="92"/>
      <c r="B163" s="188"/>
      <c r="C163" s="191"/>
      <c r="D163" s="111"/>
      <c r="E163" s="114"/>
      <c r="F163" s="114"/>
      <c r="G163" s="135"/>
      <c r="H163" s="93"/>
      <c r="I163" s="93"/>
      <c r="J163" s="63"/>
      <c r="K163" s="134"/>
      <c r="L163" s="169"/>
      <c r="M163" s="169"/>
      <c r="N163" s="169"/>
      <c r="O163" s="169"/>
      <c r="P163" s="169"/>
      <c r="Q163" s="169"/>
      <c r="R163" s="169"/>
      <c r="S163" s="169"/>
      <c r="T163" s="169"/>
      <c r="U163" s="169"/>
      <c r="V163" s="169"/>
      <c r="W163" s="169"/>
      <c r="X163" s="169"/>
      <c r="Y163" s="169"/>
      <c r="Z163" s="169"/>
    </row>
    <row r="164" spans="1:26" s="167" customFormat="1" ht="16.5" x14ac:dyDescent="0.3">
      <c r="A164" s="92"/>
      <c r="B164" s="188"/>
      <c r="C164" s="183"/>
      <c r="D164" s="111"/>
      <c r="E164" s="92"/>
      <c r="F164" s="92"/>
      <c r="G164" s="112"/>
      <c r="H164" s="93"/>
      <c r="I164" s="93"/>
      <c r="J164" s="63"/>
      <c r="K164" s="80"/>
      <c r="L164" s="165"/>
      <c r="M164" s="166"/>
      <c r="N164" s="166"/>
      <c r="O164" s="166"/>
      <c r="P164" s="166"/>
      <c r="Q164" s="166"/>
      <c r="R164" s="166"/>
      <c r="S164" s="166"/>
      <c r="T164" s="166"/>
      <c r="U164" s="166"/>
      <c r="V164" s="166"/>
      <c r="W164" s="166"/>
      <c r="X164" s="166"/>
      <c r="Y164" s="166"/>
      <c r="Z164" s="166"/>
    </row>
    <row r="165" spans="1:26" s="167" customFormat="1" ht="16.5" x14ac:dyDescent="0.3">
      <c r="A165" s="63"/>
      <c r="B165" s="182"/>
      <c r="C165" s="183"/>
      <c r="D165" s="111"/>
      <c r="E165" s="92"/>
      <c r="F165" s="92"/>
      <c r="G165" s="112"/>
      <c r="H165" s="93"/>
      <c r="I165" s="93"/>
      <c r="J165" s="63"/>
      <c r="K165" s="80"/>
      <c r="L165" s="165"/>
      <c r="M165" s="166"/>
      <c r="N165" s="166"/>
      <c r="O165" s="166"/>
      <c r="P165" s="166"/>
      <c r="Q165" s="166"/>
      <c r="R165" s="166"/>
      <c r="S165" s="166"/>
      <c r="T165" s="166"/>
      <c r="U165" s="166"/>
      <c r="V165" s="166"/>
      <c r="W165" s="166"/>
      <c r="X165" s="166"/>
      <c r="Y165" s="166"/>
      <c r="Z165" s="166"/>
    </row>
    <row r="166" spans="1:26" s="167" customFormat="1" ht="16.5" x14ac:dyDescent="0.3">
      <c r="A166" s="92"/>
      <c r="B166" s="188"/>
      <c r="C166" s="185"/>
      <c r="D166" s="120"/>
      <c r="E166" s="92"/>
      <c r="F166" s="92"/>
      <c r="G166" s="112"/>
      <c r="H166" s="93"/>
      <c r="I166" s="93"/>
      <c r="J166" s="63"/>
      <c r="K166" s="80"/>
      <c r="L166" s="165"/>
      <c r="M166" s="166"/>
      <c r="N166" s="166"/>
      <c r="O166" s="166"/>
      <c r="P166" s="166"/>
      <c r="Q166" s="166"/>
      <c r="R166" s="166"/>
      <c r="S166" s="166"/>
      <c r="T166" s="166"/>
      <c r="U166" s="166"/>
      <c r="V166" s="166"/>
      <c r="W166" s="166"/>
      <c r="X166" s="166"/>
      <c r="Y166" s="166"/>
      <c r="Z166" s="166"/>
    </row>
    <row r="167" spans="1:26" s="167" customFormat="1" ht="16.5" x14ac:dyDescent="0.3">
      <c r="A167" s="92"/>
      <c r="B167" s="188"/>
      <c r="C167" s="183"/>
      <c r="D167" s="111"/>
      <c r="E167" s="92"/>
      <c r="F167" s="92"/>
      <c r="G167" s="112"/>
      <c r="H167" s="93"/>
      <c r="I167" s="93"/>
      <c r="J167" s="63"/>
      <c r="K167" s="80"/>
      <c r="L167" s="165"/>
      <c r="M167" s="166"/>
      <c r="N167" s="166"/>
      <c r="O167" s="166"/>
      <c r="P167" s="166"/>
      <c r="Q167" s="166"/>
      <c r="R167" s="166"/>
      <c r="S167" s="166"/>
      <c r="T167" s="166"/>
      <c r="U167" s="166"/>
      <c r="V167" s="166"/>
      <c r="W167" s="166"/>
      <c r="X167" s="166"/>
      <c r="Y167" s="166"/>
      <c r="Z167" s="166"/>
    </row>
    <row r="168" spans="1:26" s="167" customFormat="1" ht="16.5" x14ac:dyDescent="0.3">
      <c r="A168" s="92"/>
      <c r="B168" s="188"/>
      <c r="C168" s="183"/>
      <c r="D168" s="111"/>
      <c r="E168" s="92"/>
      <c r="F168" s="92"/>
      <c r="G168" s="112"/>
      <c r="H168" s="93"/>
      <c r="I168" s="93"/>
      <c r="J168" s="63"/>
      <c r="K168" s="80"/>
      <c r="L168" s="165"/>
      <c r="M168" s="166"/>
      <c r="N168" s="166"/>
      <c r="O168" s="166"/>
      <c r="P168" s="166"/>
      <c r="Q168" s="166"/>
      <c r="R168" s="166"/>
      <c r="S168" s="166"/>
      <c r="T168" s="166"/>
      <c r="U168" s="166"/>
      <c r="V168" s="166"/>
      <c r="W168" s="166"/>
      <c r="X168" s="166"/>
      <c r="Y168" s="166"/>
      <c r="Z168" s="166"/>
    </row>
    <row r="169" spans="1:26" s="167" customFormat="1" ht="16.5" x14ac:dyDescent="0.3">
      <c r="A169" s="92"/>
      <c r="B169" s="188"/>
      <c r="C169" s="183"/>
      <c r="D169" s="111"/>
      <c r="E169" s="92"/>
      <c r="F169" s="92"/>
      <c r="G169" s="112"/>
      <c r="H169" s="93"/>
      <c r="I169" s="93"/>
      <c r="J169" s="63"/>
      <c r="K169" s="80"/>
      <c r="L169" s="165"/>
      <c r="M169" s="166"/>
      <c r="N169" s="166"/>
      <c r="O169" s="166"/>
      <c r="P169" s="166"/>
      <c r="Q169" s="166"/>
      <c r="R169" s="166"/>
      <c r="S169" s="166"/>
      <c r="T169" s="166"/>
      <c r="U169" s="166"/>
      <c r="V169" s="166"/>
      <c r="W169" s="166"/>
      <c r="X169" s="166"/>
      <c r="Y169" s="166"/>
      <c r="Z169" s="166"/>
    </row>
    <row r="170" spans="1:26" s="167" customFormat="1" ht="16.5" x14ac:dyDescent="0.3">
      <c r="A170" s="92"/>
      <c r="B170" s="188"/>
      <c r="C170" s="183"/>
      <c r="D170" s="111"/>
      <c r="E170" s="63"/>
      <c r="F170" s="92"/>
      <c r="G170" s="112"/>
      <c r="H170" s="93"/>
      <c r="I170" s="93"/>
      <c r="J170" s="63"/>
      <c r="K170" s="80"/>
      <c r="L170" s="165"/>
      <c r="M170" s="166"/>
      <c r="N170" s="166"/>
      <c r="O170" s="166"/>
      <c r="P170" s="166"/>
      <c r="Q170" s="166"/>
      <c r="R170" s="166"/>
      <c r="S170" s="166"/>
      <c r="T170" s="166"/>
      <c r="U170" s="166"/>
      <c r="V170" s="166"/>
      <c r="W170" s="166"/>
      <c r="X170" s="166"/>
      <c r="Y170" s="166"/>
      <c r="Z170" s="166"/>
    </row>
    <row r="171" spans="1:26" s="167" customFormat="1" ht="16.5" x14ac:dyDescent="0.3">
      <c r="A171" s="92"/>
      <c r="B171" s="188"/>
      <c r="C171" s="183"/>
      <c r="D171" s="111"/>
      <c r="E171" s="63"/>
      <c r="F171" s="92"/>
      <c r="G171" s="112"/>
      <c r="H171" s="93"/>
      <c r="I171" s="93"/>
      <c r="J171" s="63"/>
      <c r="K171" s="80"/>
      <c r="L171" s="165"/>
      <c r="M171" s="166"/>
      <c r="N171" s="166"/>
      <c r="O171" s="166"/>
      <c r="P171" s="166"/>
      <c r="Q171" s="166"/>
      <c r="R171" s="166"/>
      <c r="S171" s="166"/>
      <c r="T171" s="166"/>
      <c r="U171" s="166"/>
      <c r="V171" s="166"/>
      <c r="W171" s="166"/>
      <c r="X171" s="166"/>
      <c r="Y171" s="166"/>
      <c r="Z171" s="166"/>
    </row>
    <row r="172" spans="1:26" s="167" customFormat="1" ht="16.5" x14ac:dyDescent="0.3">
      <c r="A172" s="92"/>
      <c r="B172" s="188"/>
      <c r="C172" s="183"/>
      <c r="D172" s="111"/>
      <c r="E172" s="92"/>
      <c r="F172" s="92"/>
      <c r="G172" s="112"/>
      <c r="H172" s="93"/>
      <c r="I172" s="93"/>
      <c r="J172" s="63"/>
      <c r="K172" s="80"/>
      <c r="L172" s="165"/>
      <c r="M172" s="166"/>
      <c r="N172" s="166"/>
      <c r="O172" s="166"/>
      <c r="P172" s="166"/>
      <c r="Q172" s="166"/>
      <c r="R172" s="166"/>
      <c r="S172" s="166"/>
      <c r="T172" s="166"/>
      <c r="U172" s="166"/>
      <c r="V172" s="166"/>
      <c r="W172" s="166"/>
      <c r="X172" s="166"/>
      <c r="Y172" s="166"/>
      <c r="Z172" s="166"/>
    </row>
    <row r="173" spans="1:26" s="167" customFormat="1" ht="16.5" x14ac:dyDescent="0.3">
      <c r="A173" s="92"/>
      <c r="B173" s="188"/>
      <c r="C173" s="183"/>
      <c r="D173" s="111"/>
      <c r="E173" s="92"/>
      <c r="F173" s="92"/>
      <c r="G173" s="112"/>
      <c r="H173" s="93"/>
      <c r="I173" s="93"/>
      <c r="J173" s="63"/>
      <c r="K173" s="80"/>
      <c r="L173" s="165"/>
      <c r="M173" s="166"/>
      <c r="N173" s="166"/>
      <c r="O173" s="166"/>
      <c r="P173" s="166"/>
      <c r="Q173" s="166"/>
      <c r="R173" s="166"/>
      <c r="S173" s="166"/>
      <c r="T173" s="166"/>
      <c r="U173" s="166"/>
      <c r="V173" s="166"/>
      <c r="W173" s="166"/>
      <c r="X173" s="166"/>
      <c r="Y173" s="166"/>
      <c r="Z173" s="166"/>
    </row>
    <row r="174" spans="1:26" s="167" customFormat="1" ht="16.5" x14ac:dyDescent="0.3">
      <c r="A174" s="92"/>
      <c r="B174" s="188"/>
      <c r="C174" s="183"/>
      <c r="D174" s="111"/>
      <c r="E174" s="92"/>
      <c r="F174" s="92"/>
      <c r="G174" s="112"/>
      <c r="H174" s="93"/>
      <c r="I174" s="93"/>
      <c r="J174" s="63"/>
      <c r="K174" s="80"/>
      <c r="L174" s="165"/>
      <c r="M174" s="166"/>
      <c r="N174" s="166"/>
      <c r="O174" s="166"/>
      <c r="P174" s="166"/>
      <c r="Q174" s="166"/>
      <c r="R174" s="166"/>
      <c r="S174" s="166"/>
      <c r="T174" s="166"/>
      <c r="U174" s="166"/>
      <c r="V174" s="166"/>
      <c r="W174" s="166"/>
      <c r="X174" s="166"/>
      <c r="Y174" s="166"/>
      <c r="Z174" s="166"/>
    </row>
    <row r="175" spans="1:26" s="167" customFormat="1" ht="16.5" x14ac:dyDescent="0.3">
      <c r="A175" s="92"/>
      <c r="B175" s="188"/>
      <c r="C175" s="183"/>
      <c r="D175" s="111"/>
      <c r="E175" s="92"/>
      <c r="F175" s="92"/>
      <c r="G175" s="112"/>
      <c r="H175" s="93"/>
      <c r="I175" s="93"/>
      <c r="J175" s="63"/>
      <c r="K175" s="80"/>
      <c r="L175" s="165"/>
      <c r="M175" s="166"/>
      <c r="N175" s="166"/>
      <c r="O175" s="166"/>
      <c r="P175" s="166"/>
      <c r="Q175" s="166"/>
      <c r="R175" s="166"/>
      <c r="S175" s="166"/>
      <c r="T175" s="166"/>
      <c r="U175" s="166"/>
      <c r="V175" s="166"/>
      <c r="W175" s="166"/>
      <c r="X175" s="166"/>
      <c r="Y175" s="166"/>
      <c r="Z175" s="166"/>
    </row>
    <row r="176" spans="1:26" s="167" customFormat="1" ht="16.5" x14ac:dyDescent="0.3">
      <c r="A176" s="92"/>
      <c r="B176" s="188"/>
      <c r="C176" s="183"/>
      <c r="D176" s="111"/>
      <c r="E176" s="92"/>
      <c r="F176" s="92"/>
      <c r="G176" s="112"/>
      <c r="H176" s="93"/>
      <c r="I176" s="93"/>
      <c r="J176" s="63"/>
      <c r="K176" s="80"/>
      <c r="L176" s="165"/>
      <c r="M176" s="166"/>
      <c r="N176" s="166"/>
      <c r="O176" s="166"/>
      <c r="P176" s="166"/>
      <c r="Q176" s="166"/>
      <c r="R176" s="166"/>
      <c r="S176" s="166"/>
      <c r="T176" s="166"/>
      <c r="U176" s="166"/>
      <c r="V176" s="166"/>
      <c r="W176" s="166"/>
      <c r="X176" s="166"/>
      <c r="Y176" s="166"/>
      <c r="Z176" s="166"/>
    </row>
    <row r="177" spans="1:26" s="167" customFormat="1" ht="16.5" x14ac:dyDescent="0.3">
      <c r="A177" s="92"/>
      <c r="B177" s="188"/>
      <c r="C177" s="183"/>
      <c r="D177" s="111"/>
      <c r="E177" s="92"/>
      <c r="F177" s="92"/>
      <c r="G177" s="112"/>
      <c r="H177" s="93"/>
      <c r="I177" s="93"/>
      <c r="J177" s="63"/>
      <c r="K177" s="80"/>
      <c r="L177" s="165"/>
      <c r="M177" s="166"/>
      <c r="N177" s="166"/>
      <c r="O177" s="166"/>
      <c r="P177" s="166"/>
      <c r="Q177" s="166"/>
      <c r="R177" s="166"/>
      <c r="S177" s="166"/>
      <c r="T177" s="166"/>
      <c r="U177" s="166"/>
      <c r="V177" s="166"/>
      <c r="W177" s="166"/>
      <c r="X177" s="166"/>
      <c r="Y177" s="166"/>
      <c r="Z177" s="166"/>
    </row>
    <row r="178" spans="1:26" s="167" customFormat="1" ht="16.5" x14ac:dyDescent="0.3">
      <c r="A178" s="92"/>
      <c r="B178" s="188"/>
      <c r="C178" s="183"/>
      <c r="D178" s="111"/>
      <c r="E178" s="92"/>
      <c r="F178" s="92"/>
      <c r="G178" s="112"/>
      <c r="H178" s="93"/>
      <c r="I178" s="93"/>
      <c r="J178" s="63"/>
      <c r="K178" s="80"/>
      <c r="L178" s="165"/>
      <c r="M178" s="166"/>
      <c r="N178" s="166"/>
      <c r="O178" s="166"/>
      <c r="P178" s="166"/>
      <c r="Q178" s="166"/>
      <c r="R178" s="166"/>
      <c r="S178" s="166"/>
      <c r="T178" s="166"/>
      <c r="U178" s="166"/>
      <c r="V178" s="166"/>
      <c r="W178" s="166"/>
      <c r="X178" s="166"/>
      <c r="Y178" s="166"/>
      <c r="Z178" s="166"/>
    </row>
    <row r="179" spans="1:26" s="167" customFormat="1" ht="16.5" x14ac:dyDescent="0.3">
      <c r="A179" s="92"/>
      <c r="B179" s="188"/>
      <c r="C179" s="183"/>
      <c r="D179" s="111"/>
      <c r="E179" s="63"/>
      <c r="F179" s="92"/>
      <c r="G179" s="112"/>
      <c r="H179" s="93"/>
      <c r="I179" s="93"/>
      <c r="J179" s="63"/>
      <c r="K179" s="80"/>
      <c r="L179" s="165"/>
      <c r="M179" s="166"/>
      <c r="N179" s="166"/>
      <c r="O179" s="166"/>
      <c r="P179" s="166"/>
      <c r="Q179" s="166"/>
      <c r="R179" s="166"/>
      <c r="S179" s="166"/>
      <c r="T179" s="166"/>
      <c r="U179" s="166"/>
      <c r="V179" s="166"/>
      <c r="W179" s="166"/>
      <c r="X179" s="166"/>
      <c r="Y179" s="166"/>
      <c r="Z179" s="166"/>
    </row>
    <row r="180" spans="1:26" s="167" customFormat="1" ht="16.5" x14ac:dyDescent="0.3">
      <c r="A180" s="92"/>
      <c r="B180" s="188"/>
      <c r="C180" s="183"/>
      <c r="D180" s="111"/>
      <c r="E180" s="92"/>
      <c r="F180" s="92"/>
      <c r="G180" s="112"/>
      <c r="H180" s="93"/>
      <c r="I180" s="93"/>
      <c r="J180" s="63"/>
      <c r="K180" s="80"/>
      <c r="L180" s="165"/>
      <c r="M180" s="166"/>
      <c r="N180" s="166"/>
      <c r="O180" s="166"/>
      <c r="P180" s="166"/>
      <c r="Q180" s="166"/>
      <c r="R180" s="166"/>
      <c r="S180" s="166"/>
      <c r="T180" s="166"/>
      <c r="U180" s="166"/>
      <c r="V180" s="166"/>
      <c r="W180" s="166"/>
      <c r="X180" s="166"/>
      <c r="Y180" s="166"/>
      <c r="Z180" s="166"/>
    </row>
    <row r="181" spans="1:26" s="167" customFormat="1" ht="16.5" x14ac:dyDescent="0.3">
      <c r="A181" s="92"/>
      <c r="B181" s="188"/>
      <c r="C181" s="185"/>
      <c r="D181" s="111"/>
      <c r="E181" s="92"/>
      <c r="F181" s="92"/>
      <c r="G181" s="112"/>
      <c r="H181" s="93"/>
      <c r="I181" s="93"/>
      <c r="J181" s="63"/>
      <c r="K181" s="80"/>
      <c r="L181" s="165"/>
      <c r="M181" s="166"/>
      <c r="N181" s="166"/>
      <c r="O181" s="166"/>
      <c r="P181" s="166"/>
      <c r="Q181" s="166"/>
      <c r="R181" s="166"/>
      <c r="S181" s="166"/>
      <c r="T181" s="166"/>
      <c r="U181" s="166"/>
      <c r="V181" s="166"/>
      <c r="W181" s="166"/>
      <c r="X181" s="166"/>
      <c r="Y181" s="166"/>
      <c r="Z181" s="166"/>
    </row>
    <row r="182" spans="1:26" s="167" customFormat="1" ht="16.5" x14ac:dyDescent="0.3">
      <c r="A182" s="92"/>
      <c r="B182" s="188"/>
      <c r="C182" s="185"/>
      <c r="D182" s="111"/>
      <c r="E182" s="92"/>
      <c r="F182" s="92"/>
      <c r="G182" s="112"/>
      <c r="H182" s="93"/>
      <c r="I182" s="93"/>
      <c r="J182" s="63"/>
      <c r="K182" s="80"/>
      <c r="L182" s="165"/>
      <c r="M182" s="166"/>
      <c r="N182" s="166"/>
      <c r="O182" s="166"/>
      <c r="P182" s="166"/>
      <c r="Q182" s="166"/>
      <c r="R182" s="166"/>
      <c r="S182" s="166"/>
      <c r="T182" s="166"/>
      <c r="U182" s="166"/>
      <c r="V182" s="166"/>
      <c r="W182" s="166"/>
      <c r="X182" s="166"/>
      <c r="Y182" s="166"/>
      <c r="Z182" s="166"/>
    </row>
    <row r="183" spans="1:26" s="167" customFormat="1" ht="16.5" x14ac:dyDescent="0.3">
      <c r="A183" s="92"/>
      <c r="B183" s="188"/>
      <c r="C183" s="185"/>
      <c r="D183" s="111"/>
      <c r="E183" s="92"/>
      <c r="F183" s="92"/>
      <c r="G183" s="112"/>
      <c r="H183" s="93"/>
      <c r="I183" s="93"/>
      <c r="J183" s="63"/>
      <c r="K183" s="80"/>
      <c r="L183" s="165"/>
      <c r="M183" s="166"/>
      <c r="N183" s="166"/>
      <c r="O183" s="166"/>
      <c r="P183" s="166"/>
      <c r="Q183" s="166"/>
      <c r="R183" s="166"/>
      <c r="S183" s="166"/>
      <c r="T183" s="166"/>
      <c r="U183" s="166"/>
      <c r="V183" s="166"/>
      <c r="W183" s="166"/>
      <c r="X183" s="166"/>
      <c r="Y183" s="166"/>
      <c r="Z183" s="166"/>
    </row>
    <row r="184" spans="1:26" s="167" customFormat="1" ht="16.5" x14ac:dyDescent="0.3">
      <c r="A184" s="92"/>
      <c r="B184" s="188"/>
      <c r="C184" s="183"/>
      <c r="D184" s="111"/>
      <c r="E184" s="92"/>
      <c r="F184" s="92"/>
      <c r="G184" s="112"/>
      <c r="H184" s="93"/>
      <c r="I184" s="93"/>
      <c r="J184" s="63"/>
      <c r="K184" s="80"/>
      <c r="L184" s="165"/>
      <c r="M184" s="166"/>
      <c r="N184" s="166"/>
      <c r="O184" s="166"/>
      <c r="P184" s="166"/>
      <c r="Q184" s="166"/>
      <c r="R184" s="166"/>
      <c r="S184" s="166"/>
      <c r="T184" s="166"/>
      <c r="U184" s="166"/>
      <c r="V184" s="166"/>
      <c r="W184" s="166"/>
      <c r="X184" s="166"/>
      <c r="Y184" s="166"/>
      <c r="Z184" s="166"/>
    </row>
    <row r="185" spans="1:26" s="167" customFormat="1" ht="16.5" x14ac:dyDescent="0.3">
      <c r="A185" s="92"/>
      <c r="B185" s="188"/>
      <c r="C185" s="183"/>
      <c r="D185" s="111"/>
      <c r="E185" s="92"/>
      <c r="F185" s="92"/>
      <c r="G185" s="112"/>
      <c r="H185" s="93"/>
      <c r="I185" s="93"/>
      <c r="J185" s="63"/>
      <c r="K185" s="80"/>
      <c r="L185" s="165"/>
      <c r="M185" s="166"/>
      <c r="N185" s="166"/>
      <c r="O185" s="166"/>
      <c r="P185" s="166"/>
      <c r="Q185" s="166"/>
      <c r="R185" s="166"/>
      <c r="S185" s="166"/>
      <c r="T185" s="166"/>
      <c r="U185" s="166"/>
      <c r="V185" s="166"/>
      <c r="W185" s="166"/>
      <c r="X185" s="166"/>
      <c r="Y185" s="166"/>
      <c r="Z185" s="166"/>
    </row>
    <row r="186" spans="1:26" s="167" customFormat="1" ht="16.5" x14ac:dyDescent="0.3">
      <c r="A186" s="92"/>
      <c r="B186" s="188"/>
      <c r="C186" s="183"/>
      <c r="D186" s="111"/>
      <c r="E186" s="92"/>
      <c r="F186" s="92"/>
      <c r="G186" s="112"/>
      <c r="H186" s="93"/>
      <c r="I186" s="93"/>
      <c r="J186" s="63"/>
      <c r="K186" s="80"/>
      <c r="L186" s="165"/>
      <c r="M186" s="166"/>
      <c r="N186" s="166"/>
      <c r="O186" s="166"/>
      <c r="P186" s="166"/>
      <c r="Q186" s="166"/>
      <c r="R186" s="166"/>
      <c r="S186" s="166"/>
      <c r="T186" s="166"/>
      <c r="U186" s="166"/>
      <c r="V186" s="166"/>
      <c r="W186" s="166"/>
      <c r="X186" s="166"/>
      <c r="Y186" s="166"/>
      <c r="Z186" s="166"/>
    </row>
    <row r="187" spans="1:26" s="167" customFormat="1" ht="16.5" x14ac:dyDescent="0.3">
      <c r="A187" s="92"/>
      <c r="B187" s="188"/>
      <c r="C187" s="192"/>
      <c r="D187" s="111"/>
      <c r="E187" s="92"/>
      <c r="F187" s="92"/>
      <c r="G187" s="112"/>
      <c r="H187" s="93"/>
      <c r="I187" s="93"/>
      <c r="J187" s="63"/>
      <c r="K187" s="80"/>
      <c r="L187" s="165"/>
      <c r="M187" s="166"/>
      <c r="N187" s="166"/>
      <c r="O187" s="166"/>
      <c r="P187" s="166"/>
      <c r="Q187" s="166"/>
      <c r="R187" s="166"/>
      <c r="S187" s="166"/>
      <c r="T187" s="166"/>
      <c r="U187" s="166"/>
      <c r="V187" s="166"/>
      <c r="W187" s="166"/>
      <c r="X187" s="166"/>
      <c r="Y187" s="166"/>
      <c r="Z187" s="166"/>
    </row>
    <row r="188" spans="1:26" s="167" customFormat="1" ht="16.5" x14ac:dyDescent="0.3">
      <c r="A188" s="92"/>
      <c r="B188" s="188"/>
      <c r="C188" s="183"/>
      <c r="D188" s="111"/>
      <c r="E188" s="92"/>
      <c r="F188" s="92"/>
      <c r="G188" s="112"/>
      <c r="H188" s="93"/>
      <c r="I188" s="93"/>
      <c r="J188" s="63"/>
      <c r="K188" s="80"/>
      <c r="L188" s="165"/>
      <c r="M188" s="166"/>
      <c r="N188" s="166"/>
      <c r="O188" s="166"/>
      <c r="P188" s="166"/>
      <c r="Q188" s="166"/>
      <c r="R188" s="166"/>
      <c r="S188" s="166"/>
      <c r="T188" s="166"/>
      <c r="U188" s="166"/>
      <c r="V188" s="166"/>
      <c r="W188" s="166"/>
      <c r="X188" s="166"/>
      <c r="Y188" s="166"/>
      <c r="Z188" s="166"/>
    </row>
    <row r="189" spans="1:26" s="167" customFormat="1" ht="16.5" x14ac:dyDescent="0.3">
      <c r="A189" s="92"/>
      <c r="B189" s="188"/>
      <c r="C189" s="183"/>
      <c r="D189" s="124"/>
      <c r="E189" s="92"/>
      <c r="F189" s="92"/>
      <c r="G189" s="112"/>
      <c r="H189" s="93"/>
      <c r="I189" s="93"/>
      <c r="J189" s="63"/>
      <c r="K189" s="80"/>
      <c r="L189" s="165"/>
      <c r="M189" s="166"/>
      <c r="N189" s="166"/>
      <c r="O189" s="166"/>
      <c r="P189" s="166"/>
      <c r="Q189" s="166"/>
      <c r="R189" s="166"/>
      <c r="S189" s="166"/>
      <c r="T189" s="166"/>
      <c r="U189" s="166"/>
      <c r="V189" s="166"/>
      <c r="W189" s="166"/>
      <c r="X189" s="166"/>
      <c r="Y189" s="166"/>
      <c r="Z189" s="166"/>
    </row>
    <row r="190" spans="1:26" s="167" customFormat="1" ht="16.5" x14ac:dyDescent="0.3">
      <c r="A190" s="92"/>
      <c r="B190" s="188"/>
      <c r="C190" s="183"/>
      <c r="D190" s="126"/>
      <c r="E190" s="92"/>
      <c r="F190" s="92"/>
      <c r="G190" s="112"/>
      <c r="H190" s="93"/>
      <c r="I190" s="93"/>
      <c r="J190" s="63"/>
      <c r="K190" s="80"/>
      <c r="L190" s="165"/>
      <c r="M190" s="166"/>
      <c r="N190" s="166"/>
      <c r="O190" s="166"/>
      <c r="P190" s="166"/>
      <c r="Q190" s="166"/>
      <c r="R190" s="166"/>
      <c r="S190" s="166"/>
      <c r="T190" s="166"/>
      <c r="U190" s="166"/>
      <c r="V190" s="166"/>
      <c r="W190" s="166"/>
      <c r="X190" s="166"/>
      <c r="Y190" s="166"/>
      <c r="Z190" s="166"/>
    </row>
    <row r="191" spans="1:26" s="167" customFormat="1" ht="16.5" x14ac:dyDescent="0.3">
      <c r="A191" s="92"/>
      <c r="B191" s="188"/>
      <c r="C191" s="183"/>
      <c r="D191" s="124"/>
      <c r="E191" s="92"/>
      <c r="F191" s="92"/>
      <c r="G191" s="112"/>
      <c r="H191" s="93"/>
      <c r="I191" s="93"/>
      <c r="J191" s="63"/>
      <c r="K191" s="80"/>
      <c r="L191" s="165"/>
      <c r="M191" s="166"/>
      <c r="N191" s="166"/>
      <c r="O191" s="166"/>
      <c r="P191" s="166"/>
      <c r="Q191" s="166"/>
      <c r="R191" s="166"/>
      <c r="S191" s="166"/>
      <c r="T191" s="166"/>
      <c r="U191" s="166"/>
      <c r="V191" s="166"/>
      <c r="W191" s="166"/>
      <c r="X191" s="166"/>
      <c r="Y191" s="166"/>
      <c r="Z191" s="166"/>
    </row>
    <row r="192" spans="1:26" s="167" customFormat="1" ht="16.5" x14ac:dyDescent="0.3">
      <c r="A192" s="92"/>
      <c r="B192" s="188"/>
      <c r="C192" s="183"/>
      <c r="D192" s="124"/>
      <c r="E192" s="92"/>
      <c r="F192" s="92"/>
      <c r="G192" s="112"/>
      <c r="H192" s="93"/>
      <c r="I192" s="93"/>
      <c r="J192" s="63"/>
      <c r="K192" s="80"/>
      <c r="L192" s="165"/>
      <c r="M192" s="166"/>
      <c r="N192" s="166"/>
      <c r="O192" s="166"/>
      <c r="P192" s="166"/>
      <c r="Q192" s="166"/>
      <c r="R192" s="166"/>
      <c r="S192" s="166"/>
      <c r="T192" s="166"/>
      <c r="U192" s="166"/>
      <c r="V192" s="166"/>
      <c r="W192" s="166"/>
      <c r="X192" s="166"/>
      <c r="Y192" s="166"/>
      <c r="Z192" s="166"/>
    </row>
    <row r="193" spans="1:26" s="167" customFormat="1" ht="16.5" x14ac:dyDescent="0.3">
      <c r="A193" s="92"/>
      <c r="B193" s="188"/>
      <c r="C193" s="183"/>
      <c r="D193" s="124"/>
      <c r="E193" s="92"/>
      <c r="F193" s="92"/>
      <c r="G193" s="112"/>
      <c r="H193" s="93"/>
      <c r="I193" s="93"/>
      <c r="J193" s="63"/>
      <c r="K193" s="80"/>
      <c r="L193" s="165"/>
      <c r="M193" s="166"/>
      <c r="N193" s="166"/>
      <c r="O193" s="166"/>
      <c r="P193" s="166"/>
      <c r="Q193" s="166"/>
      <c r="R193" s="166"/>
      <c r="S193" s="166"/>
      <c r="T193" s="166"/>
      <c r="U193" s="166"/>
      <c r="V193" s="166"/>
      <c r="W193" s="166"/>
      <c r="X193" s="166"/>
      <c r="Y193" s="166"/>
      <c r="Z193" s="166"/>
    </row>
    <row r="194" spans="1:26" s="167" customFormat="1" ht="16.5" x14ac:dyDescent="0.3">
      <c r="A194" s="92"/>
      <c r="B194" s="188"/>
      <c r="C194" s="183"/>
      <c r="D194" s="124"/>
      <c r="E194" s="92"/>
      <c r="F194" s="92"/>
      <c r="G194" s="112"/>
      <c r="H194" s="93"/>
      <c r="I194" s="93"/>
      <c r="J194" s="63"/>
      <c r="K194" s="80"/>
      <c r="L194" s="165"/>
      <c r="M194" s="166"/>
      <c r="N194" s="166"/>
      <c r="O194" s="166"/>
      <c r="P194" s="166"/>
      <c r="Q194" s="166"/>
      <c r="R194" s="166"/>
      <c r="S194" s="166"/>
      <c r="T194" s="166"/>
      <c r="U194" s="166"/>
      <c r="V194" s="166"/>
      <c r="W194" s="166"/>
      <c r="X194" s="166"/>
      <c r="Y194" s="166"/>
      <c r="Z194" s="166"/>
    </row>
    <row r="195" spans="1:26" s="167" customFormat="1" ht="16.5" x14ac:dyDescent="0.3">
      <c r="A195" s="92"/>
      <c r="B195" s="188"/>
      <c r="C195" s="183"/>
      <c r="D195" s="124"/>
      <c r="E195" s="92"/>
      <c r="F195" s="92"/>
      <c r="G195" s="112"/>
      <c r="H195" s="93"/>
      <c r="I195" s="93"/>
      <c r="J195" s="63"/>
      <c r="K195" s="80"/>
      <c r="L195" s="165"/>
      <c r="M195" s="166"/>
      <c r="N195" s="166"/>
      <c r="O195" s="166"/>
      <c r="P195" s="166"/>
      <c r="Q195" s="166"/>
      <c r="R195" s="166"/>
      <c r="S195" s="166"/>
      <c r="T195" s="166"/>
      <c r="U195" s="166"/>
      <c r="V195" s="166"/>
      <c r="W195" s="166"/>
      <c r="X195" s="166"/>
      <c r="Y195" s="166"/>
      <c r="Z195" s="166"/>
    </row>
    <row r="196" spans="1:26" s="167" customFormat="1" ht="16.5" x14ac:dyDescent="0.3">
      <c r="A196" s="92"/>
      <c r="B196" s="188"/>
      <c r="C196" s="183"/>
      <c r="D196" s="124"/>
      <c r="E196" s="92"/>
      <c r="F196" s="92"/>
      <c r="G196" s="112"/>
      <c r="H196" s="93"/>
      <c r="I196" s="93"/>
      <c r="J196" s="63"/>
      <c r="K196" s="80"/>
      <c r="L196" s="165"/>
      <c r="M196" s="166"/>
      <c r="N196" s="166"/>
      <c r="O196" s="166"/>
      <c r="P196" s="166"/>
      <c r="Q196" s="166"/>
      <c r="R196" s="166"/>
      <c r="S196" s="166"/>
      <c r="T196" s="166"/>
      <c r="U196" s="166"/>
      <c r="V196" s="166"/>
      <c r="W196" s="166"/>
      <c r="X196" s="166"/>
      <c r="Y196" s="166"/>
      <c r="Z196" s="166"/>
    </row>
    <row r="197" spans="1:26" s="167" customFormat="1" ht="16.5" x14ac:dyDescent="0.3">
      <c r="A197" s="92"/>
      <c r="B197" s="188"/>
      <c r="C197" s="193"/>
      <c r="D197" s="111"/>
      <c r="E197" s="92"/>
      <c r="F197" s="92"/>
      <c r="G197" s="112"/>
      <c r="H197" s="93"/>
      <c r="I197" s="93"/>
      <c r="J197" s="63"/>
      <c r="K197" s="80"/>
      <c r="L197" s="165"/>
      <c r="M197" s="166"/>
      <c r="N197" s="166"/>
      <c r="O197" s="166"/>
      <c r="P197" s="166"/>
      <c r="Q197" s="166"/>
      <c r="R197" s="166"/>
      <c r="S197" s="166"/>
      <c r="T197" s="166"/>
      <c r="U197" s="166"/>
      <c r="V197" s="166"/>
      <c r="W197" s="166"/>
      <c r="X197" s="166"/>
      <c r="Y197" s="166"/>
      <c r="Z197" s="166"/>
    </row>
    <row r="198" spans="1:26" s="167" customFormat="1" ht="16.5" x14ac:dyDescent="0.3">
      <c r="A198" s="92"/>
      <c r="B198" s="188"/>
      <c r="C198" s="193"/>
      <c r="D198" s="111"/>
      <c r="E198" s="92"/>
      <c r="F198" s="92"/>
      <c r="G198" s="112"/>
      <c r="H198" s="93"/>
      <c r="I198" s="93"/>
      <c r="J198" s="63"/>
      <c r="K198" s="80"/>
      <c r="L198" s="165"/>
      <c r="M198" s="166"/>
      <c r="N198" s="166"/>
      <c r="O198" s="166"/>
      <c r="P198" s="166"/>
      <c r="Q198" s="166"/>
      <c r="R198" s="166"/>
      <c r="S198" s="166"/>
      <c r="T198" s="166"/>
      <c r="U198" s="166"/>
      <c r="V198" s="166"/>
      <c r="W198" s="166"/>
      <c r="X198" s="166"/>
      <c r="Y198" s="166"/>
      <c r="Z198" s="166"/>
    </row>
    <row r="199" spans="1:26" s="167" customFormat="1" ht="16.5" x14ac:dyDescent="0.3">
      <c r="A199" s="92"/>
      <c r="B199" s="188"/>
      <c r="C199" s="183"/>
      <c r="D199" s="111"/>
      <c r="E199" s="92"/>
      <c r="F199" s="92"/>
      <c r="G199" s="112"/>
      <c r="H199" s="93"/>
      <c r="I199" s="93"/>
      <c r="J199" s="63"/>
      <c r="K199" s="80"/>
      <c r="L199" s="165"/>
      <c r="M199" s="166"/>
      <c r="N199" s="166"/>
      <c r="O199" s="166"/>
      <c r="P199" s="166"/>
      <c r="Q199" s="166"/>
      <c r="R199" s="166"/>
      <c r="S199" s="166"/>
      <c r="T199" s="166"/>
      <c r="U199" s="166"/>
      <c r="V199" s="166"/>
      <c r="W199" s="166"/>
      <c r="X199" s="166"/>
      <c r="Y199" s="166"/>
      <c r="Z199" s="166"/>
    </row>
    <row r="200" spans="1:26" s="167" customFormat="1" ht="16.5" x14ac:dyDescent="0.3">
      <c r="A200" s="92"/>
      <c r="B200" s="188"/>
      <c r="C200" s="183"/>
      <c r="D200" s="111"/>
      <c r="E200" s="92"/>
      <c r="F200" s="92"/>
      <c r="G200" s="112"/>
      <c r="H200" s="93"/>
      <c r="I200" s="93"/>
      <c r="J200" s="63"/>
      <c r="K200" s="80"/>
      <c r="L200" s="165"/>
      <c r="M200" s="166"/>
      <c r="N200" s="166"/>
      <c r="O200" s="166"/>
      <c r="P200" s="166"/>
      <c r="Q200" s="166"/>
      <c r="R200" s="166"/>
      <c r="S200" s="166"/>
      <c r="T200" s="166"/>
      <c r="U200" s="166"/>
      <c r="V200" s="166"/>
      <c r="W200" s="166"/>
      <c r="X200" s="166"/>
      <c r="Y200" s="166"/>
      <c r="Z200" s="166"/>
    </row>
    <row r="201" spans="1:26" s="167" customFormat="1" ht="16.5" x14ac:dyDescent="0.3">
      <c r="A201" s="92"/>
      <c r="B201" s="188"/>
      <c r="C201" s="183"/>
      <c r="D201" s="111"/>
      <c r="E201" s="92"/>
      <c r="F201" s="92"/>
      <c r="G201" s="112"/>
      <c r="H201" s="93"/>
      <c r="I201" s="93"/>
      <c r="J201" s="63"/>
      <c r="K201" s="80"/>
      <c r="L201" s="165"/>
      <c r="M201" s="166"/>
      <c r="N201" s="166"/>
      <c r="O201" s="166"/>
      <c r="P201" s="166"/>
      <c r="Q201" s="166"/>
      <c r="R201" s="166"/>
      <c r="S201" s="166"/>
      <c r="T201" s="166"/>
      <c r="U201" s="166"/>
      <c r="V201" s="166"/>
      <c r="W201" s="166"/>
      <c r="X201" s="166"/>
      <c r="Y201" s="166"/>
      <c r="Z201" s="166"/>
    </row>
    <row r="202" spans="1:26" s="167" customFormat="1" ht="16.5" x14ac:dyDescent="0.3">
      <c r="A202" s="92"/>
      <c r="B202" s="188"/>
      <c r="C202" s="183"/>
      <c r="D202" s="111"/>
      <c r="E202" s="92"/>
      <c r="F202" s="92"/>
      <c r="G202" s="93"/>
      <c r="H202" s="159"/>
      <c r="I202" s="159"/>
      <c r="J202" s="63"/>
      <c r="K202" s="80"/>
      <c r="L202" s="165"/>
      <c r="M202" s="166"/>
      <c r="N202" s="166"/>
      <c r="O202" s="166"/>
      <c r="P202" s="166"/>
      <c r="Q202" s="166"/>
      <c r="R202" s="166"/>
      <c r="S202" s="166"/>
      <c r="T202" s="166"/>
      <c r="U202" s="166"/>
      <c r="V202" s="166"/>
      <c r="W202" s="166"/>
      <c r="X202" s="166"/>
      <c r="Y202" s="166"/>
      <c r="Z202" s="166"/>
    </row>
    <row r="203" spans="1:26" s="167" customFormat="1" ht="16.5" x14ac:dyDescent="0.3">
      <c r="A203" s="92"/>
      <c r="B203" s="188"/>
      <c r="C203" s="183"/>
      <c r="D203" s="111"/>
      <c r="E203" s="92"/>
      <c r="F203" s="92"/>
      <c r="G203" s="112"/>
      <c r="H203" s="93"/>
      <c r="I203" s="93"/>
      <c r="J203" s="63"/>
      <c r="K203" s="80"/>
      <c r="L203" s="165"/>
      <c r="M203" s="166"/>
      <c r="N203" s="166"/>
      <c r="O203" s="166"/>
      <c r="P203" s="166"/>
      <c r="Q203" s="166"/>
      <c r="R203" s="166"/>
      <c r="S203" s="166"/>
      <c r="T203" s="166"/>
      <c r="U203" s="166"/>
      <c r="V203" s="166"/>
      <c r="W203" s="166"/>
      <c r="X203" s="166"/>
      <c r="Y203" s="166"/>
      <c r="Z203" s="166"/>
    </row>
    <row r="204" spans="1:26" s="167" customFormat="1" ht="16.5" x14ac:dyDescent="0.3">
      <c r="A204" s="63"/>
      <c r="B204" s="186"/>
      <c r="C204" s="184"/>
      <c r="D204" s="111"/>
      <c r="E204" s="63"/>
      <c r="F204" s="63"/>
      <c r="G204" s="93"/>
      <c r="H204" s="93"/>
      <c r="I204" s="93"/>
      <c r="J204" s="63"/>
      <c r="K204" s="80"/>
      <c r="L204" s="165"/>
      <c r="M204" s="166"/>
      <c r="N204" s="166"/>
      <c r="O204" s="166"/>
      <c r="P204" s="166"/>
      <c r="Q204" s="166"/>
      <c r="R204" s="166"/>
      <c r="S204" s="166"/>
      <c r="T204" s="166"/>
      <c r="U204" s="166"/>
      <c r="V204" s="166"/>
      <c r="W204" s="166"/>
      <c r="X204" s="166"/>
      <c r="Y204" s="166"/>
      <c r="Z204" s="166"/>
    </row>
    <row r="205" spans="1:26" s="167" customFormat="1" ht="16.5" x14ac:dyDescent="0.3">
      <c r="A205" s="92"/>
      <c r="B205" s="188"/>
      <c r="C205" s="183"/>
      <c r="D205" s="111"/>
      <c r="E205" s="92"/>
      <c r="F205" s="92"/>
      <c r="G205" s="112"/>
      <c r="H205" s="93"/>
      <c r="I205" s="93"/>
      <c r="J205" s="63"/>
      <c r="K205" s="80"/>
      <c r="L205" s="165"/>
      <c r="M205" s="166"/>
      <c r="N205" s="166"/>
      <c r="O205" s="166"/>
      <c r="P205" s="166"/>
      <c r="Q205" s="166"/>
      <c r="R205" s="166"/>
      <c r="S205" s="166"/>
      <c r="T205" s="166"/>
      <c r="U205" s="166"/>
      <c r="V205" s="166"/>
      <c r="W205" s="166"/>
      <c r="X205" s="166"/>
      <c r="Y205" s="166"/>
      <c r="Z205" s="166"/>
    </row>
    <row r="206" spans="1:26" s="167" customFormat="1" ht="16.5" x14ac:dyDescent="0.3">
      <c r="A206" s="92"/>
      <c r="B206" s="188"/>
      <c r="C206" s="185"/>
      <c r="D206" s="120"/>
      <c r="E206" s="92"/>
      <c r="F206" s="92"/>
      <c r="G206" s="112"/>
      <c r="H206" s="93"/>
      <c r="I206" s="93"/>
      <c r="J206" s="63"/>
      <c r="K206" s="80"/>
      <c r="L206" s="165"/>
      <c r="M206" s="166"/>
      <c r="N206" s="166"/>
      <c r="O206" s="166"/>
      <c r="P206" s="166"/>
      <c r="Q206" s="166"/>
      <c r="R206" s="166"/>
      <c r="S206" s="166"/>
      <c r="T206" s="166"/>
      <c r="U206" s="166"/>
      <c r="V206" s="166"/>
      <c r="W206" s="166"/>
      <c r="X206" s="166"/>
      <c r="Y206" s="166"/>
      <c r="Z206" s="166"/>
    </row>
    <row r="207" spans="1:26" s="167" customFormat="1" ht="16.5" x14ac:dyDescent="0.3">
      <c r="A207" s="92"/>
      <c r="B207" s="188"/>
      <c r="C207" s="185"/>
      <c r="D207" s="120"/>
      <c r="E207" s="92"/>
      <c r="F207" s="92"/>
      <c r="G207" s="112"/>
      <c r="H207" s="93"/>
      <c r="I207" s="93"/>
      <c r="J207" s="63"/>
      <c r="K207" s="80"/>
      <c r="L207" s="165"/>
      <c r="M207" s="166"/>
      <c r="N207" s="166"/>
      <c r="O207" s="166"/>
      <c r="P207" s="166"/>
      <c r="Q207" s="166"/>
      <c r="R207" s="166"/>
      <c r="S207" s="166"/>
      <c r="T207" s="166"/>
      <c r="U207" s="166"/>
      <c r="V207" s="166"/>
      <c r="W207" s="166"/>
      <c r="X207" s="166"/>
      <c r="Y207" s="166"/>
      <c r="Z207" s="166"/>
    </row>
    <row r="208" spans="1:26" s="167" customFormat="1" ht="16.5" x14ac:dyDescent="0.3">
      <c r="A208" s="194"/>
      <c r="B208" s="195"/>
      <c r="C208" s="196"/>
      <c r="D208" s="197"/>
      <c r="E208" s="194"/>
      <c r="F208" s="194"/>
      <c r="G208" s="198"/>
      <c r="H208" s="199"/>
      <c r="I208" s="199"/>
      <c r="J208" s="200"/>
      <c r="K208" s="80"/>
      <c r="L208" s="165"/>
      <c r="M208" s="166"/>
      <c r="N208" s="166"/>
      <c r="O208" s="166"/>
      <c r="P208" s="166"/>
      <c r="Q208" s="166"/>
      <c r="R208" s="166"/>
      <c r="S208" s="166"/>
      <c r="T208" s="166"/>
      <c r="U208" s="166"/>
      <c r="V208" s="166"/>
      <c r="W208" s="166"/>
      <c r="X208" s="166"/>
      <c r="Y208" s="166"/>
      <c r="Z208" s="166"/>
    </row>
    <row r="209" spans="1:26" s="173" customFormat="1" ht="16.5" x14ac:dyDescent="0.3">
      <c r="A209" s="63"/>
      <c r="B209" s="186"/>
      <c r="C209" s="184"/>
      <c r="D209" s="111"/>
      <c r="E209" s="63"/>
      <c r="F209" s="63"/>
      <c r="G209" s="93"/>
      <c r="H209" s="93"/>
      <c r="I209" s="93"/>
      <c r="J209" s="63"/>
      <c r="K209" s="213"/>
      <c r="L209" s="171"/>
      <c r="M209" s="172"/>
      <c r="N209" s="172"/>
      <c r="O209" s="172"/>
      <c r="P209" s="172"/>
      <c r="Q209" s="172"/>
      <c r="R209" s="172"/>
      <c r="S209" s="172"/>
      <c r="T209" s="172"/>
      <c r="U209" s="172"/>
      <c r="V209" s="172"/>
      <c r="W209" s="172"/>
      <c r="X209" s="172"/>
      <c r="Y209" s="172"/>
      <c r="Z209" s="172"/>
    </row>
    <row r="210" spans="1:26" s="167" customFormat="1" ht="16.5" x14ac:dyDescent="0.3">
      <c r="A210" s="201"/>
      <c r="B210" s="202"/>
      <c r="C210" s="203"/>
      <c r="D210" s="204"/>
      <c r="E210" s="201"/>
      <c r="F210" s="201"/>
      <c r="G210" s="205"/>
      <c r="H210" s="206"/>
      <c r="I210" s="206"/>
      <c r="J210" s="207"/>
      <c r="K210" s="80"/>
      <c r="L210" s="165"/>
      <c r="M210" s="166"/>
      <c r="N210" s="166"/>
      <c r="O210" s="166"/>
      <c r="P210" s="166"/>
      <c r="Q210" s="166"/>
      <c r="R210" s="166"/>
      <c r="S210" s="166"/>
      <c r="T210" s="166"/>
      <c r="U210" s="166"/>
      <c r="V210" s="166"/>
      <c r="W210" s="166"/>
      <c r="X210" s="166"/>
      <c r="Y210" s="166"/>
      <c r="Z210" s="166"/>
    </row>
    <row r="211" spans="1:26" s="167" customFormat="1" ht="16.5" x14ac:dyDescent="0.3">
      <c r="A211" s="92"/>
      <c r="B211" s="188"/>
      <c r="C211" s="185"/>
      <c r="D211" s="120"/>
      <c r="E211" s="92"/>
      <c r="F211" s="92"/>
      <c r="G211" s="112"/>
      <c r="H211" s="93"/>
      <c r="I211" s="93"/>
      <c r="J211" s="63"/>
      <c r="K211" s="80"/>
      <c r="L211" s="165"/>
      <c r="M211" s="166"/>
      <c r="N211" s="166"/>
      <c r="O211" s="166"/>
      <c r="P211" s="166"/>
      <c r="Q211" s="166"/>
      <c r="R211" s="166"/>
      <c r="S211" s="166"/>
      <c r="T211" s="166"/>
      <c r="U211" s="166"/>
      <c r="V211" s="166"/>
      <c r="W211" s="166"/>
      <c r="X211" s="166"/>
      <c r="Y211" s="166"/>
      <c r="Z211" s="166"/>
    </row>
    <row r="212" spans="1:26" s="167" customFormat="1" ht="16.5" x14ac:dyDescent="0.3">
      <c r="A212" s="92"/>
      <c r="B212" s="188"/>
      <c r="C212" s="185"/>
      <c r="D212" s="120"/>
      <c r="E212" s="92"/>
      <c r="F212" s="92"/>
      <c r="G212" s="112"/>
      <c r="H212" s="93"/>
      <c r="I212" s="93"/>
      <c r="J212" s="63"/>
      <c r="K212" s="80"/>
      <c r="L212" s="165"/>
      <c r="M212" s="166"/>
      <c r="N212" s="166"/>
      <c r="O212" s="166"/>
      <c r="P212" s="166"/>
      <c r="Q212" s="166"/>
      <c r="R212" s="166"/>
      <c r="S212" s="166"/>
      <c r="T212" s="166"/>
      <c r="U212" s="166"/>
      <c r="V212" s="166"/>
      <c r="W212" s="166"/>
      <c r="X212" s="166"/>
      <c r="Y212" s="166"/>
      <c r="Z212" s="166"/>
    </row>
    <row r="213" spans="1:26" s="167" customFormat="1" ht="16.5" x14ac:dyDescent="0.3">
      <c r="A213" s="92"/>
      <c r="B213" s="188"/>
      <c r="C213" s="185"/>
      <c r="D213" s="120"/>
      <c r="E213" s="92"/>
      <c r="F213" s="92"/>
      <c r="G213" s="112"/>
      <c r="H213" s="93"/>
      <c r="I213" s="93"/>
      <c r="J213" s="63"/>
      <c r="K213" s="80"/>
      <c r="L213" s="165"/>
      <c r="M213" s="166"/>
      <c r="N213" s="166"/>
      <c r="O213" s="166"/>
      <c r="P213" s="166"/>
      <c r="Q213" s="166"/>
      <c r="R213" s="166"/>
      <c r="S213" s="166"/>
      <c r="T213" s="166"/>
      <c r="U213" s="166"/>
      <c r="V213" s="166"/>
      <c r="W213" s="166"/>
      <c r="X213" s="166"/>
      <c r="Y213" s="166"/>
      <c r="Z213" s="166"/>
    </row>
    <row r="214" spans="1:26" s="167" customFormat="1" ht="16.5" x14ac:dyDescent="0.3">
      <c r="A214" s="92"/>
      <c r="B214" s="188"/>
      <c r="C214" s="185"/>
      <c r="D214" s="120"/>
      <c r="E214" s="92"/>
      <c r="F214" s="92"/>
      <c r="G214" s="112"/>
      <c r="H214" s="93"/>
      <c r="I214" s="93"/>
      <c r="J214" s="63"/>
      <c r="K214" s="80"/>
      <c r="L214" s="165"/>
      <c r="M214" s="166"/>
      <c r="N214" s="166"/>
      <c r="O214" s="166"/>
      <c r="P214" s="166"/>
      <c r="Q214" s="166"/>
      <c r="R214" s="166"/>
      <c r="S214" s="166"/>
      <c r="T214" s="166"/>
      <c r="U214" s="166"/>
      <c r="V214" s="166"/>
      <c r="W214" s="166"/>
      <c r="X214" s="166"/>
      <c r="Y214" s="166"/>
      <c r="Z214" s="166"/>
    </row>
    <row r="215" spans="1:26" s="167" customFormat="1" ht="16.5" x14ac:dyDescent="0.3">
      <c r="A215" s="92"/>
      <c r="B215" s="188"/>
      <c r="C215" s="185"/>
      <c r="D215" s="120"/>
      <c r="E215" s="92"/>
      <c r="F215" s="92"/>
      <c r="G215" s="112"/>
      <c r="H215" s="93"/>
      <c r="I215" s="93"/>
      <c r="J215" s="63"/>
      <c r="K215" s="80"/>
      <c r="L215" s="165"/>
      <c r="M215" s="166"/>
      <c r="N215" s="166"/>
      <c r="O215" s="166"/>
      <c r="P215" s="166"/>
      <c r="Q215" s="166"/>
      <c r="R215" s="166"/>
      <c r="S215" s="166"/>
      <c r="T215" s="166"/>
      <c r="U215" s="166"/>
      <c r="V215" s="166"/>
      <c r="W215" s="166"/>
      <c r="X215" s="166"/>
      <c r="Y215" s="166"/>
      <c r="Z215" s="166"/>
    </row>
    <row r="216" spans="1:26" s="167" customFormat="1" ht="16.5" x14ac:dyDescent="0.3">
      <c r="A216" s="92"/>
      <c r="B216" s="188"/>
      <c r="C216" s="185"/>
      <c r="D216" s="120"/>
      <c r="E216" s="92"/>
      <c r="F216" s="92"/>
      <c r="G216" s="112"/>
      <c r="H216" s="93"/>
      <c r="I216" s="93"/>
      <c r="J216" s="63"/>
      <c r="K216" s="80"/>
      <c r="L216" s="165"/>
      <c r="M216" s="166"/>
      <c r="N216" s="166"/>
      <c r="O216" s="166"/>
      <c r="P216" s="166"/>
      <c r="Q216" s="166"/>
      <c r="R216" s="166"/>
      <c r="S216" s="166"/>
      <c r="T216" s="166"/>
      <c r="U216" s="166"/>
      <c r="V216" s="166"/>
      <c r="W216" s="166"/>
      <c r="X216" s="166"/>
      <c r="Y216" s="166"/>
      <c r="Z216" s="166"/>
    </row>
    <row r="217" spans="1:26" s="167" customFormat="1" ht="16.5" x14ac:dyDescent="0.3">
      <c r="A217" s="92"/>
      <c r="B217" s="188"/>
      <c r="C217" s="185"/>
      <c r="D217" s="120"/>
      <c r="E217" s="92"/>
      <c r="F217" s="92"/>
      <c r="G217" s="112"/>
      <c r="H217" s="93"/>
      <c r="I217" s="93"/>
      <c r="J217" s="63"/>
      <c r="K217" s="80"/>
      <c r="L217" s="165"/>
      <c r="M217" s="166"/>
      <c r="N217" s="166"/>
      <c r="O217" s="166"/>
      <c r="P217" s="166"/>
      <c r="Q217" s="166"/>
      <c r="R217" s="166"/>
      <c r="S217" s="166"/>
      <c r="T217" s="166"/>
      <c r="U217" s="166"/>
      <c r="V217" s="166"/>
      <c r="W217" s="166"/>
      <c r="X217" s="166"/>
      <c r="Y217" s="166"/>
      <c r="Z217" s="166"/>
    </row>
    <row r="218" spans="1:26" s="167" customFormat="1" ht="16.5" x14ac:dyDescent="0.3">
      <c r="A218" s="92"/>
      <c r="B218" s="188"/>
      <c r="C218" s="185"/>
      <c r="D218" s="120"/>
      <c r="E218" s="92"/>
      <c r="F218" s="92"/>
      <c r="G218" s="112"/>
      <c r="H218" s="93"/>
      <c r="I218" s="93"/>
      <c r="J218" s="63"/>
      <c r="K218" s="80"/>
      <c r="L218" s="165"/>
      <c r="M218" s="166"/>
      <c r="N218" s="166"/>
      <c r="O218" s="166"/>
      <c r="P218" s="166"/>
      <c r="Q218" s="166"/>
      <c r="R218" s="166"/>
      <c r="S218" s="166"/>
      <c r="T218" s="166"/>
      <c r="U218" s="166"/>
      <c r="V218" s="166"/>
      <c r="W218" s="166"/>
      <c r="X218" s="166"/>
      <c r="Y218" s="166"/>
      <c r="Z218" s="166"/>
    </row>
    <row r="219" spans="1:26" s="167" customFormat="1" ht="16.5" x14ac:dyDescent="0.3">
      <c r="A219" s="92"/>
      <c r="B219" s="188"/>
      <c r="C219" s="185"/>
      <c r="D219" s="120"/>
      <c r="E219" s="92"/>
      <c r="F219" s="92"/>
      <c r="G219" s="112"/>
      <c r="H219" s="93"/>
      <c r="I219" s="93"/>
      <c r="J219" s="63"/>
      <c r="K219" s="80"/>
      <c r="L219" s="165"/>
      <c r="M219" s="166"/>
      <c r="N219" s="166"/>
      <c r="O219" s="166"/>
      <c r="P219" s="166"/>
      <c r="Q219" s="166"/>
      <c r="R219" s="166"/>
      <c r="S219" s="166"/>
      <c r="T219" s="166"/>
      <c r="U219" s="166"/>
      <c r="V219" s="166"/>
      <c r="W219" s="166"/>
      <c r="X219" s="166"/>
      <c r="Y219" s="166"/>
      <c r="Z219" s="166"/>
    </row>
    <row r="220" spans="1:26" s="167" customFormat="1" ht="16.5" x14ac:dyDescent="0.3">
      <c r="A220" s="92"/>
      <c r="B220" s="188"/>
      <c r="C220" s="185"/>
      <c r="D220" s="120"/>
      <c r="E220" s="92"/>
      <c r="F220" s="92"/>
      <c r="G220" s="112"/>
      <c r="H220" s="93"/>
      <c r="I220" s="93"/>
      <c r="J220" s="63"/>
      <c r="K220" s="80"/>
      <c r="L220" s="165"/>
      <c r="M220" s="166"/>
      <c r="N220" s="166"/>
      <c r="O220" s="166"/>
      <c r="P220" s="166"/>
      <c r="Q220" s="166"/>
      <c r="R220" s="166"/>
      <c r="S220" s="166"/>
      <c r="T220" s="166"/>
      <c r="U220" s="166"/>
      <c r="V220" s="166"/>
      <c r="W220" s="166"/>
      <c r="X220" s="166"/>
      <c r="Y220" s="166"/>
      <c r="Z220" s="166"/>
    </row>
    <row r="221" spans="1:26" s="167" customFormat="1" ht="16.5" x14ac:dyDescent="0.3">
      <c r="A221" s="92"/>
      <c r="B221" s="188"/>
      <c r="C221" s="185"/>
      <c r="D221" s="120"/>
      <c r="E221" s="92"/>
      <c r="F221" s="92"/>
      <c r="G221" s="112"/>
      <c r="H221" s="93"/>
      <c r="I221" s="93"/>
      <c r="J221" s="63"/>
      <c r="K221" s="80"/>
      <c r="L221" s="165"/>
      <c r="M221" s="166"/>
      <c r="N221" s="166"/>
      <c r="O221" s="166"/>
      <c r="P221" s="166"/>
      <c r="Q221" s="166"/>
      <c r="R221" s="166"/>
      <c r="S221" s="166"/>
      <c r="T221" s="166"/>
      <c r="U221" s="166"/>
      <c r="V221" s="166"/>
      <c r="W221" s="166"/>
      <c r="X221" s="166"/>
      <c r="Y221" s="166"/>
      <c r="Z221" s="166"/>
    </row>
    <row r="222" spans="1:26" s="167" customFormat="1" ht="16.5" x14ac:dyDescent="0.3">
      <c r="A222" s="92"/>
      <c r="B222" s="188"/>
      <c r="C222" s="185"/>
      <c r="D222" s="120"/>
      <c r="E222" s="92"/>
      <c r="F222" s="92"/>
      <c r="G222" s="112"/>
      <c r="H222" s="93"/>
      <c r="I222" s="93"/>
      <c r="J222" s="63"/>
      <c r="K222" s="80"/>
      <c r="L222" s="165"/>
      <c r="M222" s="166"/>
      <c r="N222" s="166"/>
      <c r="O222" s="166"/>
      <c r="P222" s="166"/>
      <c r="Q222" s="166"/>
      <c r="R222" s="166"/>
      <c r="S222" s="166"/>
      <c r="T222" s="166"/>
      <c r="U222" s="166"/>
      <c r="V222" s="166"/>
      <c r="W222" s="166"/>
      <c r="X222" s="166"/>
      <c r="Y222" s="166"/>
      <c r="Z222" s="166"/>
    </row>
    <row r="223" spans="1:26" s="167" customFormat="1" ht="16.5" x14ac:dyDescent="0.3">
      <c r="A223" s="92"/>
      <c r="B223" s="188"/>
      <c r="C223" s="185"/>
      <c r="D223" s="120"/>
      <c r="E223" s="92"/>
      <c r="F223" s="92"/>
      <c r="G223" s="112"/>
      <c r="H223" s="93"/>
      <c r="I223" s="93"/>
      <c r="J223" s="63"/>
      <c r="K223" s="80"/>
      <c r="L223" s="165"/>
      <c r="M223" s="166"/>
      <c r="N223" s="166"/>
      <c r="O223" s="166"/>
      <c r="P223" s="166"/>
      <c r="Q223" s="166"/>
      <c r="R223" s="166"/>
      <c r="S223" s="166"/>
      <c r="T223" s="166"/>
      <c r="U223" s="166"/>
      <c r="V223" s="166"/>
      <c r="W223" s="166"/>
      <c r="X223" s="166"/>
      <c r="Y223" s="166"/>
      <c r="Z223" s="166"/>
    </row>
    <row r="224" spans="1:26" s="167" customFormat="1" ht="16.5" x14ac:dyDescent="0.3">
      <c r="A224" s="92"/>
      <c r="B224" s="188"/>
      <c r="C224" s="185"/>
      <c r="D224" s="120"/>
      <c r="E224" s="92"/>
      <c r="F224" s="92"/>
      <c r="G224" s="112"/>
      <c r="H224" s="93"/>
      <c r="I224" s="93"/>
      <c r="J224" s="63"/>
      <c r="K224" s="80"/>
      <c r="L224" s="165"/>
      <c r="M224" s="166"/>
      <c r="N224" s="166"/>
      <c r="O224" s="166"/>
      <c r="P224" s="166"/>
      <c r="Q224" s="166"/>
      <c r="R224" s="166"/>
      <c r="S224" s="166"/>
      <c r="T224" s="166"/>
      <c r="U224" s="166"/>
      <c r="V224" s="166"/>
      <c r="W224" s="166"/>
      <c r="X224" s="166"/>
      <c r="Y224" s="166"/>
      <c r="Z224" s="166"/>
    </row>
    <row r="225" spans="1:26" s="167" customFormat="1" ht="16.5" x14ac:dyDescent="0.3">
      <c r="A225" s="92"/>
      <c r="B225" s="188"/>
      <c r="C225" s="185"/>
      <c r="D225" s="120"/>
      <c r="E225" s="92"/>
      <c r="F225" s="92"/>
      <c r="G225" s="112"/>
      <c r="H225" s="93"/>
      <c r="I225" s="93"/>
      <c r="J225" s="63"/>
      <c r="K225" s="80"/>
      <c r="L225" s="165"/>
      <c r="M225" s="166"/>
      <c r="N225" s="166"/>
      <c r="O225" s="166"/>
      <c r="P225" s="166"/>
      <c r="Q225" s="166"/>
      <c r="R225" s="166"/>
      <c r="S225" s="166"/>
      <c r="T225" s="166"/>
      <c r="U225" s="166"/>
      <c r="V225" s="166"/>
      <c r="W225" s="166"/>
      <c r="X225" s="166"/>
      <c r="Y225" s="166"/>
      <c r="Z225" s="166"/>
    </row>
    <row r="226" spans="1:26" s="167" customFormat="1" ht="16.5" x14ac:dyDescent="0.3">
      <c r="A226" s="92"/>
      <c r="B226" s="188"/>
      <c r="C226" s="185"/>
      <c r="D226" s="120"/>
      <c r="E226" s="92"/>
      <c r="F226" s="92"/>
      <c r="G226" s="112"/>
      <c r="H226" s="93"/>
      <c r="I226" s="93"/>
      <c r="J226" s="63"/>
      <c r="K226" s="80"/>
      <c r="L226" s="165"/>
      <c r="M226" s="166"/>
      <c r="N226" s="166"/>
      <c r="O226" s="166"/>
      <c r="P226" s="166"/>
      <c r="Q226" s="166"/>
      <c r="R226" s="166"/>
      <c r="S226" s="166"/>
      <c r="T226" s="166"/>
      <c r="U226" s="166"/>
      <c r="V226" s="166"/>
      <c r="W226" s="166"/>
      <c r="X226" s="166"/>
      <c r="Y226" s="166"/>
      <c r="Z226" s="166"/>
    </row>
    <row r="227" spans="1:26" s="167" customFormat="1" ht="16.5" x14ac:dyDescent="0.3">
      <c r="A227" s="92"/>
      <c r="B227" s="188"/>
      <c r="C227" s="185"/>
      <c r="D227" s="120"/>
      <c r="E227" s="92"/>
      <c r="F227" s="92"/>
      <c r="G227" s="112"/>
      <c r="H227" s="93"/>
      <c r="I227" s="93"/>
      <c r="J227" s="63"/>
      <c r="K227" s="80"/>
      <c r="L227" s="165"/>
      <c r="M227" s="166"/>
      <c r="N227" s="166"/>
      <c r="O227" s="166"/>
      <c r="P227" s="166"/>
      <c r="Q227" s="166"/>
      <c r="R227" s="166"/>
      <c r="S227" s="166"/>
      <c r="T227" s="166"/>
      <c r="U227" s="166"/>
      <c r="V227" s="166"/>
      <c r="W227" s="166"/>
      <c r="X227" s="166"/>
      <c r="Y227" s="166"/>
      <c r="Z227" s="166"/>
    </row>
    <row r="228" spans="1:26" s="167" customFormat="1" ht="16.5" x14ac:dyDescent="0.3">
      <c r="A228" s="92"/>
      <c r="B228" s="188"/>
      <c r="C228" s="185"/>
      <c r="D228" s="120"/>
      <c r="E228" s="92"/>
      <c r="F228" s="92"/>
      <c r="G228" s="112"/>
      <c r="H228" s="93"/>
      <c r="I228" s="93"/>
      <c r="J228" s="63"/>
      <c r="K228" s="80"/>
      <c r="L228" s="165"/>
      <c r="M228" s="166"/>
      <c r="N228" s="166"/>
      <c r="O228" s="166"/>
      <c r="P228" s="166"/>
      <c r="Q228" s="166"/>
      <c r="R228" s="166"/>
      <c r="S228" s="166"/>
      <c r="T228" s="166"/>
      <c r="U228" s="166"/>
      <c r="V228" s="166"/>
      <c r="W228" s="166"/>
      <c r="X228" s="166"/>
      <c r="Y228" s="166"/>
      <c r="Z228" s="166"/>
    </row>
    <row r="229" spans="1:26" s="167" customFormat="1" ht="16.5" x14ac:dyDescent="0.3">
      <c r="A229" s="92"/>
      <c r="B229" s="188"/>
      <c r="C229" s="185"/>
      <c r="D229" s="120"/>
      <c r="E229" s="92"/>
      <c r="F229" s="92"/>
      <c r="G229" s="112"/>
      <c r="H229" s="93"/>
      <c r="I229" s="93"/>
      <c r="J229" s="63"/>
      <c r="K229" s="80"/>
      <c r="L229" s="165"/>
      <c r="M229" s="166"/>
      <c r="N229" s="166"/>
      <c r="O229" s="166"/>
      <c r="P229" s="166"/>
      <c r="Q229" s="166"/>
      <c r="R229" s="166"/>
      <c r="S229" s="166"/>
      <c r="T229" s="166"/>
      <c r="U229" s="166"/>
      <c r="V229" s="166"/>
      <c r="W229" s="166"/>
      <c r="X229" s="166"/>
      <c r="Y229" s="166"/>
      <c r="Z229" s="166"/>
    </row>
    <row r="230" spans="1:26" s="167" customFormat="1" ht="16.5" x14ac:dyDescent="0.3">
      <c r="A230" s="92"/>
      <c r="B230" s="188"/>
      <c r="C230" s="185"/>
      <c r="D230" s="120"/>
      <c r="E230" s="92"/>
      <c r="F230" s="92"/>
      <c r="G230" s="112"/>
      <c r="H230" s="93"/>
      <c r="I230" s="93"/>
      <c r="J230" s="63"/>
      <c r="K230" s="80"/>
      <c r="L230" s="165"/>
      <c r="M230" s="166"/>
      <c r="N230" s="166"/>
      <c r="O230" s="166"/>
      <c r="P230" s="166"/>
      <c r="Q230" s="166"/>
      <c r="R230" s="166"/>
      <c r="S230" s="166"/>
      <c r="T230" s="166"/>
      <c r="U230" s="166"/>
      <c r="V230" s="166"/>
      <c r="W230" s="166"/>
      <c r="X230" s="166"/>
      <c r="Y230" s="166"/>
      <c r="Z230" s="166"/>
    </row>
    <row r="231" spans="1:26" s="167" customFormat="1" ht="16.5" x14ac:dyDescent="0.3">
      <c r="A231" s="92"/>
      <c r="B231" s="188"/>
      <c r="C231" s="185"/>
      <c r="D231" s="120"/>
      <c r="E231" s="92"/>
      <c r="F231" s="92"/>
      <c r="G231" s="112"/>
      <c r="H231" s="93"/>
      <c r="I231" s="93"/>
      <c r="J231" s="63"/>
      <c r="K231" s="80"/>
      <c r="L231" s="165"/>
      <c r="M231" s="166"/>
      <c r="N231" s="166"/>
      <c r="O231" s="166"/>
      <c r="P231" s="166"/>
      <c r="Q231" s="166"/>
      <c r="R231" s="166"/>
      <c r="S231" s="166"/>
      <c r="T231" s="166"/>
      <c r="U231" s="166"/>
      <c r="V231" s="166"/>
      <c r="W231" s="166"/>
      <c r="X231" s="166"/>
      <c r="Y231" s="166"/>
      <c r="Z231" s="166"/>
    </row>
    <row r="232" spans="1:26" s="167" customFormat="1" ht="16.5" x14ac:dyDescent="0.3">
      <c r="A232" s="92"/>
      <c r="B232" s="188"/>
      <c r="C232" s="185"/>
      <c r="D232" s="120"/>
      <c r="E232" s="92"/>
      <c r="F232" s="92"/>
      <c r="G232" s="112"/>
      <c r="H232" s="93"/>
      <c r="I232" s="93"/>
      <c r="J232" s="63"/>
      <c r="K232" s="80"/>
      <c r="L232" s="165"/>
      <c r="M232" s="166"/>
      <c r="N232" s="166"/>
      <c r="O232" s="166"/>
      <c r="P232" s="166"/>
      <c r="Q232" s="166"/>
      <c r="R232" s="166"/>
      <c r="S232" s="166"/>
      <c r="T232" s="166"/>
      <c r="U232" s="166"/>
      <c r="V232" s="166"/>
      <c r="W232" s="166"/>
      <c r="X232" s="166"/>
      <c r="Y232" s="166"/>
      <c r="Z232" s="166"/>
    </row>
    <row r="233" spans="1:26" s="167" customFormat="1" ht="16.5" x14ac:dyDescent="0.3">
      <c r="A233" s="92"/>
      <c r="B233" s="188"/>
      <c r="C233" s="185"/>
      <c r="D233" s="120"/>
      <c r="E233" s="92"/>
      <c r="F233" s="92"/>
      <c r="G233" s="112"/>
      <c r="H233" s="93"/>
      <c r="I233" s="93"/>
      <c r="J233" s="63"/>
      <c r="K233" s="80"/>
      <c r="L233" s="165"/>
      <c r="M233" s="166"/>
      <c r="N233" s="166"/>
      <c r="O233" s="166"/>
      <c r="P233" s="166"/>
      <c r="Q233" s="166"/>
      <c r="R233" s="166"/>
      <c r="S233" s="166"/>
      <c r="T233" s="166"/>
      <c r="U233" s="166"/>
      <c r="V233" s="166"/>
      <c r="W233" s="166"/>
      <c r="X233" s="166"/>
      <c r="Y233" s="166"/>
      <c r="Z233" s="166"/>
    </row>
    <row r="234" spans="1:26" s="167" customFormat="1" ht="16.5" x14ac:dyDescent="0.3">
      <c r="A234" s="92"/>
      <c r="B234" s="188"/>
      <c r="C234" s="185"/>
      <c r="D234" s="120"/>
      <c r="E234" s="92"/>
      <c r="F234" s="92"/>
      <c r="G234" s="112"/>
      <c r="H234" s="93"/>
      <c r="I234" s="93"/>
      <c r="J234" s="63"/>
      <c r="K234" s="80"/>
      <c r="L234" s="165"/>
      <c r="M234" s="166"/>
      <c r="N234" s="166"/>
      <c r="O234" s="166"/>
      <c r="P234" s="166"/>
      <c r="Q234" s="166"/>
      <c r="R234" s="166"/>
      <c r="S234" s="166"/>
      <c r="T234" s="166"/>
      <c r="U234" s="166"/>
      <c r="V234" s="166"/>
      <c r="W234" s="166"/>
      <c r="X234" s="166"/>
      <c r="Y234" s="166"/>
      <c r="Z234" s="166"/>
    </row>
    <row r="235" spans="1:26" s="167" customFormat="1" ht="16.5" x14ac:dyDescent="0.3">
      <c r="A235" s="92"/>
      <c r="B235" s="188"/>
      <c r="C235" s="185"/>
      <c r="D235" s="120"/>
      <c r="E235" s="92"/>
      <c r="F235" s="92"/>
      <c r="G235" s="112"/>
      <c r="H235" s="93"/>
      <c r="I235" s="93"/>
      <c r="J235" s="63"/>
      <c r="K235" s="80"/>
      <c r="L235" s="165"/>
      <c r="M235" s="166"/>
      <c r="N235" s="166"/>
      <c r="O235" s="166"/>
      <c r="P235" s="166"/>
      <c r="Q235" s="166"/>
      <c r="R235" s="166"/>
      <c r="S235" s="166"/>
      <c r="T235" s="166"/>
      <c r="U235" s="166"/>
      <c r="V235" s="166"/>
      <c r="W235" s="166"/>
      <c r="X235" s="166"/>
      <c r="Y235" s="166"/>
      <c r="Z235" s="166"/>
    </row>
    <row r="236" spans="1:26" s="167" customFormat="1" ht="16.5" x14ac:dyDescent="0.3">
      <c r="A236" s="92"/>
      <c r="B236" s="188"/>
      <c r="C236" s="185"/>
      <c r="D236" s="120"/>
      <c r="E236" s="92"/>
      <c r="F236" s="92"/>
      <c r="G236" s="112"/>
      <c r="H236" s="93"/>
      <c r="I236" s="93"/>
      <c r="J236" s="63"/>
      <c r="K236" s="80"/>
      <c r="L236" s="165"/>
      <c r="M236" s="166"/>
      <c r="N236" s="166"/>
      <c r="O236" s="166"/>
      <c r="P236" s="166"/>
      <c r="Q236" s="166"/>
      <c r="R236" s="166"/>
      <c r="S236" s="166"/>
      <c r="T236" s="166"/>
      <c r="U236" s="166"/>
      <c r="V236" s="166"/>
      <c r="W236" s="166"/>
      <c r="X236" s="166"/>
      <c r="Y236" s="166"/>
      <c r="Z236" s="166"/>
    </row>
    <row r="237" spans="1:26" s="167" customFormat="1" ht="16.5" x14ac:dyDescent="0.3">
      <c r="A237" s="92"/>
      <c r="B237" s="188"/>
      <c r="C237" s="185"/>
      <c r="D237" s="120"/>
      <c r="E237" s="92"/>
      <c r="F237" s="92"/>
      <c r="G237" s="112"/>
      <c r="H237" s="93"/>
      <c r="I237" s="93"/>
      <c r="J237" s="63"/>
      <c r="K237" s="80"/>
      <c r="L237" s="165"/>
      <c r="M237" s="166"/>
      <c r="N237" s="166"/>
      <c r="O237" s="166"/>
      <c r="P237" s="166"/>
      <c r="Q237" s="166"/>
      <c r="R237" s="166"/>
      <c r="S237" s="166"/>
      <c r="T237" s="166"/>
      <c r="U237" s="166"/>
      <c r="V237" s="166"/>
      <c r="W237" s="166"/>
      <c r="X237" s="166"/>
      <c r="Y237" s="166"/>
      <c r="Z237" s="166"/>
    </row>
    <row r="238" spans="1:26" s="167" customFormat="1" ht="16.5" x14ac:dyDescent="0.3">
      <c r="A238" s="92"/>
      <c r="B238" s="188"/>
      <c r="C238" s="185"/>
      <c r="D238" s="120"/>
      <c r="E238" s="92"/>
      <c r="F238" s="92"/>
      <c r="G238" s="112"/>
      <c r="H238" s="93"/>
      <c r="I238" s="93"/>
      <c r="J238" s="63"/>
      <c r="K238" s="80"/>
      <c r="L238" s="165"/>
      <c r="M238" s="166"/>
      <c r="N238" s="166"/>
      <c r="O238" s="166"/>
      <c r="P238" s="166"/>
      <c r="Q238" s="166"/>
      <c r="R238" s="166"/>
      <c r="S238" s="166"/>
      <c r="T238" s="166"/>
      <c r="U238" s="166"/>
      <c r="V238" s="166"/>
      <c r="W238" s="166"/>
      <c r="X238" s="166"/>
      <c r="Y238" s="166"/>
      <c r="Z238" s="166"/>
    </row>
    <row r="239" spans="1:26" s="167" customFormat="1" ht="16.5" x14ac:dyDescent="0.3">
      <c r="A239" s="92"/>
      <c r="B239" s="188"/>
      <c r="C239" s="185"/>
      <c r="D239" s="120"/>
      <c r="E239" s="92"/>
      <c r="F239" s="92"/>
      <c r="G239" s="112"/>
      <c r="H239" s="93"/>
      <c r="I239" s="93"/>
      <c r="J239" s="63"/>
      <c r="K239" s="80"/>
      <c r="L239" s="165"/>
      <c r="M239" s="166"/>
      <c r="N239" s="166"/>
      <c r="O239" s="166"/>
      <c r="P239" s="166"/>
      <c r="Q239" s="166"/>
      <c r="R239" s="166"/>
      <c r="S239" s="166"/>
      <c r="T239" s="166"/>
      <c r="U239" s="166"/>
      <c r="V239" s="166"/>
      <c r="W239" s="166"/>
      <c r="X239" s="166"/>
      <c r="Y239" s="166"/>
      <c r="Z239" s="166"/>
    </row>
    <row r="240" spans="1:26" s="167" customFormat="1" ht="16.5" x14ac:dyDescent="0.3">
      <c r="A240" s="92"/>
      <c r="B240" s="188"/>
      <c r="C240" s="185"/>
      <c r="D240" s="120"/>
      <c r="E240" s="92"/>
      <c r="F240" s="92"/>
      <c r="G240" s="112"/>
      <c r="H240" s="93"/>
      <c r="I240" s="93"/>
      <c r="J240" s="63"/>
      <c r="K240" s="80"/>
      <c r="L240" s="165"/>
      <c r="M240" s="166"/>
      <c r="N240" s="166"/>
      <c r="O240" s="166"/>
      <c r="P240" s="166"/>
      <c r="Q240" s="166"/>
      <c r="R240" s="166"/>
      <c r="S240" s="166"/>
      <c r="T240" s="166"/>
      <c r="U240" s="166"/>
      <c r="V240" s="166"/>
      <c r="W240" s="166"/>
      <c r="X240" s="166"/>
      <c r="Y240" s="166"/>
      <c r="Z240" s="166"/>
    </row>
    <row r="241" spans="1:26" s="167" customFormat="1" ht="16.5" x14ac:dyDescent="0.3">
      <c r="A241" s="92"/>
      <c r="B241" s="188"/>
      <c r="C241" s="185"/>
      <c r="D241" s="120"/>
      <c r="E241" s="92"/>
      <c r="F241" s="92"/>
      <c r="G241" s="112"/>
      <c r="H241" s="93"/>
      <c r="I241" s="93"/>
      <c r="J241" s="63"/>
      <c r="K241" s="80"/>
      <c r="L241" s="165"/>
      <c r="M241" s="166"/>
      <c r="N241" s="166"/>
      <c r="O241" s="166"/>
      <c r="P241" s="166"/>
      <c r="Q241" s="166"/>
      <c r="R241" s="166"/>
      <c r="S241" s="166"/>
      <c r="T241" s="166"/>
      <c r="U241" s="166"/>
      <c r="V241" s="166"/>
      <c r="W241" s="166"/>
      <c r="X241" s="166"/>
      <c r="Y241" s="166"/>
      <c r="Z241" s="166"/>
    </row>
    <row r="242" spans="1:26" s="167" customFormat="1" ht="16.5" x14ac:dyDescent="0.3">
      <c r="A242" s="92"/>
      <c r="B242" s="188"/>
      <c r="C242" s="185"/>
      <c r="D242" s="120"/>
      <c r="E242" s="92"/>
      <c r="F242" s="92"/>
      <c r="G242" s="112"/>
      <c r="H242" s="93"/>
      <c r="I242" s="93"/>
      <c r="J242" s="63"/>
      <c r="K242" s="80"/>
      <c r="L242" s="165"/>
      <c r="M242" s="166"/>
      <c r="N242" s="166"/>
      <c r="O242" s="166"/>
      <c r="P242" s="166"/>
      <c r="Q242" s="166"/>
      <c r="R242" s="166"/>
      <c r="S242" s="166"/>
      <c r="T242" s="166"/>
      <c r="U242" s="166"/>
      <c r="V242" s="166"/>
      <c r="W242" s="166"/>
      <c r="X242" s="166"/>
      <c r="Y242" s="166"/>
      <c r="Z242" s="166"/>
    </row>
    <row r="243" spans="1:26" s="167" customFormat="1" ht="16.5" x14ac:dyDescent="0.3">
      <c r="A243" s="92"/>
      <c r="B243" s="188"/>
      <c r="C243" s="185"/>
      <c r="D243" s="120"/>
      <c r="E243" s="92"/>
      <c r="F243" s="92"/>
      <c r="G243" s="112"/>
      <c r="H243" s="93"/>
      <c r="I243" s="93"/>
      <c r="J243" s="63"/>
      <c r="K243" s="80"/>
      <c r="L243" s="165"/>
      <c r="M243" s="166"/>
      <c r="N243" s="166"/>
      <c r="O243" s="166"/>
      <c r="P243" s="166"/>
      <c r="Q243" s="166"/>
      <c r="R243" s="166"/>
      <c r="S243" s="166"/>
      <c r="T243" s="166"/>
      <c r="U243" s="166"/>
      <c r="V243" s="166"/>
      <c r="W243" s="166"/>
      <c r="X243" s="166"/>
      <c r="Y243" s="166"/>
      <c r="Z243" s="166"/>
    </row>
    <row r="244" spans="1:26" s="167" customFormat="1" ht="16.5" x14ac:dyDescent="0.3">
      <c r="A244" s="92"/>
      <c r="B244" s="188"/>
      <c r="C244" s="185"/>
      <c r="D244" s="120"/>
      <c r="E244" s="92"/>
      <c r="F244" s="92"/>
      <c r="G244" s="112"/>
      <c r="H244" s="93"/>
      <c r="I244" s="93"/>
      <c r="J244" s="63"/>
      <c r="K244" s="80"/>
      <c r="L244" s="165"/>
      <c r="M244" s="166"/>
      <c r="N244" s="166"/>
      <c r="O244" s="166"/>
      <c r="P244" s="166"/>
      <c r="Q244" s="166"/>
      <c r="R244" s="166"/>
      <c r="S244" s="166"/>
      <c r="T244" s="166"/>
      <c r="U244" s="166"/>
      <c r="V244" s="166"/>
      <c r="W244" s="166"/>
      <c r="X244" s="166"/>
      <c r="Y244" s="166"/>
      <c r="Z244" s="166"/>
    </row>
    <row r="245" spans="1:26" s="167" customFormat="1" ht="16.5" x14ac:dyDescent="0.3">
      <c r="A245" s="92"/>
      <c r="B245" s="188"/>
      <c r="C245" s="185"/>
      <c r="D245" s="120"/>
      <c r="E245" s="92"/>
      <c r="F245" s="92"/>
      <c r="G245" s="112"/>
      <c r="H245" s="93"/>
      <c r="I245" s="93"/>
      <c r="J245" s="63"/>
      <c r="K245" s="80"/>
      <c r="L245" s="165"/>
      <c r="M245" s="166"/>
      <c r="N245" s="166"/>
      <c r="O245" s="166"/>
      <c r="P245" s="166"/>
      <c r="Q245" s="166"/>
      <c r="R245" s="166"/>
      <c r="S245" s="166"/>
      <c r="T245" s="166"/>
      <c r="U245" s="166"/>
      <c r="V245" s="166"/>
      <c r="W245" s="166"/>
      <c r="X245" s="166"/>
      <c r="Y245" s="166"/>
      <c r="Z245" s="166"/>
    </row>
    <row r="246" spans="1:26" s="167" customFormat="1" ht="16.5" x14ac:dyDescent="0.3">
      <c r="A246" s="92"/>
      <c r="B246" s="188"/>
      <c r="C246" s="185"/>
      <c r="D246" s="120"/>
      <c r="E246" s="92"/>
      <c r="F246" s="92"/>
      <c r="G246" s="112"/>
      <c r="H246" s="93"/>
      <c r="I246" s="93"/>
      <c r="J246" s="63"/>
      <c r="K246" s="80"/>
      <c r="L246" s="165"/>
      <c r="M246" s="166"/>
      <c r="N246" s="166"/>
      <c r="O246" s="166"/>
      <c r="P246" s="166"/>
      <c r="Q246" s="166"/>
      <c r="R246" s="166"/>
      <c r="S246" s="166"/>
      <c r="T246" s="166"/>
      <c r="U246" s="166"/>
      <c r="V246" s="166"/>
      <c r="W246" s="166"/>
      <c r="X246" s="166"/>
      <c r="Y246" s="166"/>
      <c r="Z246" s="166"/>
    </row>
    <row r="247" spans="1:26" s="167" customFormat="1" ht="16.5" x14ac:dyDescent="0.3">
      <c r="A247" s="92"/>
      <c r="B247" s="188"/>
      <c r="C247" s="185"/>
      <c r="D247" s="120"/>
      <c r="E247" s="92"/>
      <c r="F247" s="92"/>
      <c r="G247" s="112"/>
      <c r="H247" s="93"/>
      <c r="I247" s="93"/>
      <c r="J247" s="63"/>
      <c r="K247" s="80"/>
      <c r="L247" s="165"/>
      <c r="M247" s="166"/>
      <c r="N247" s="166"/>
      <c r="O247" s="166"/>
      <c r="P247" s="166"/>
      <c r="Q247" s="166"/>
      <c r="R247" s="166"/>
      <c r="S247" s="166"/>
      <c r="T247" s="166"/>
      <c r="U247" s="166"/>
      <c r="V247" s="166"/>
      <c r="W247" s="166"/>
      <c r="X247" s="166"/>
      <c r="Y247" s="166"/>
      <c r="Z247" s="166"/>
    </row>
    <row r="248" spans="1:26" s="167" customFormat="1" ht="16.5" x14ac:dyDescent="0.3">
      <c r="A248" s="92"/>
      <c r="B248" s="188"/>
      <c r="C248" s="185"/>
      <c r="D248" s="120"/>
      <c r="E248" s="92"/>
      <c r="F248" s="92"/>
      <c r="G248" s="112"/>
      <c r="H248" s="93"/>
      <c r="I248" s="93"/>
      <c r="J248" s="63"/>
      <c r="K248" s="80"/>
      <c r="L248" s="165"/>
      <c r="M248" s="166"/>
      <c r="N248" s="166"/>
      <c r="O248" s="166"/>
      <c r="P248" s="166"/>
      <c r="Q248" s="166"/>
      <c r="R248" s="166"/>
      <c r="S248" s="166"/>
      <c r="T248" s="166"/>
      <c r="U248" s="166"/>
      <c r="V248" s="166"/>
      <c r="W248" s="166"/>
      <c r="X248" s="166"/>
      <c r="Y248" s="166"/>
      <c r="Z248" s="166"/>
    </row>
    <row r="249" spans="1:26" s="167" customFormat="1" ht="16.5" x14ac:dyDescent="0.3">
      <c r="A249" s="92"/>
      <c r="B249" s="188"/>
      <c r="C249" s="185"/>
      <c r="D249" s="120"/>
      <c r="E249" s="92"/>
      <c r="F249" s="92"/>
      <c r="G249" s="112"/>
      <c r="H249" s="93"/>
      <c r="I249" s="93"/>
      <c r="J249" s="63"/>
      <c r="K249" s="80"/>
      <c r="L249" s="165"/>
      <c r="M249" s="166"/>
      <c r="N249" s="166"/>
      <c r="O249" s="166"/>
      <c r="P249" s="166"/>
      <c r="Q249" s="166"/>
      <c r="R249" s="166"/>
      <c r="S249" s="166"/>
      <c r="T249" s="166"/>
      <c r="U249" s="166"/>
      <c r="V249" s="166"/>
      <c r="W249" s="166"/>
      <c r="X249" s="166"/>
      <c r="Y249" s="166"/>
      <c r="Z249" s="166"/>
    </row>
    <row r="250" spans="1:26" s="167" customFormat="1" ht="16.5" x14ac:dyDescent="0.3">
      <c r="A250" s="92"/>
      <c r="B250" s="188"/>
      <c r="C250" s="185"/>
      <c r="D250" s="120"/>
      <c r="E250" s="92"/>
      <c r="F250" s="92"/>
      <c r="G250" s="112"/>
      <c r="H250" s="93"/>
      <c r="I250" s="93"/>
      <c r="J250" s="63"/>
      <c r="K250" s="80"/>
      <c r="L250" s="165"/>
      <c r="M250" s="166"/>
      <c r="N250" s="166"/>
      <c r="O250" s="166"/>
      <c r="P250" s="166"/>
      <c r="Q250" s="166"/>
      <c r="R250" s="166"/>
      <c r="S250" s="166"/>
      <c r="T250" s="166"/>
      <c r="U250" s="166"/>
      <c r="V250" s="166"/>
      <c r="W250" s="166"/>
      <c r="X250" s="166"/>
      <c r="Y250" s="166"/>
      <c r="Z250" s="166"/>
    </row>
    <row r="251" spans="1:26" s="167" customFormat="1" ht="16.5" x14ac:dyDescent="0.3">
      <c r="A251" s="92"/>
      <c r="B251" s="188"/>
      <c r="C251" s="185"/>
      <c r="D251" s="120"/>
      <c r="E251" s="92"/>
      <c r="F251" s="92"/>
      <c r="G251" s="112"/>
      <c r="H251" s="93"/>
      <c r="I251" s="93"/>
      <c r="J251" s="63"/>
      <c r="K251" s="80"/>
      <c r="L251" s="165"/>
      <c r="M251" s="166"/>
      <c r="N251" s="166"/>
      <c r="O251" s="166"/>
      <c r="P251" s="166"/>
      <c r="Q251" s="166"/>
      <c r="R251" s="166"/>
      <c r="S251" s="166"/>
      <c r="T251" s="166"/>
      <c r="U251" s="166"/>
      <c r="V251" s="166"/>
      <c r="W251" s="166"/>
      <c r="X251" s="166"/>
      <c r="Y251" s="166"/>
      <c r="Z251" s="166"/>
    </row>
    <row r="252" spans="1:26" s="167" customFormat="1" ht="16.5" x14ac:dyDescent="0.3">
      <c r="A252" s="92"/>
      <c r="B252" s="188"/>
      <c r="C252" s="185"/>
      <c r="D252" s="120"/>
      <c r="E252" s="92"/>
      <c r="F252" s="92"/>
      <c r="G252" s="112"/>
      <c r="H252" s="93"/>
      <c r="I252" s="93"/>
      <c r="J252" s="63"/>
      <c r="K252" s="80"/>
      <c r="L252" s="165"/>
      <c r="M252" s="166"/>
      <c r="N252" s="166"/>
      <c r="O252" s="166"/>
      <c r="P252" s="166"/>
      <c r="Q252" s="166"/>
      <c r="R252" s="166"/>
      <c r="S252" s="166"/>
      <c r="T252" s="166"/>
      <c r="U252" s="166"/>
      <c r="V252" s="166"/>
      <c r="W252" s="166"/>
      <c r="X252" s="166"/>
      <c r="Y252" s="166"/>
      <c r="Z252" s="166"/>
    </row>
    <row r="253" spans="1:26" s="167" customFormat="1" ht="16.5" x14ac:dyDescent="0.3">
      <c r="A253" s="92"/>
      <c r="B253" s="188"/>
      <c r="C253" s="185"/>
      <c r="D253" s="120"/>
      <c r="E253" s="92"/>
      <c r="F253" s="92"/>
      <c r="G253" s="112"/>
      <c r="H253" s="93"/>
      <c r="I253" s="93"/>
      <c r="J253" s="63"/>
      <c r="K253" s="80"/>
      <c r="L253" s="165"/>
      <c r="M253" s="166"/>
      <c r="N253" s="166"/>
      <c r="O253" s="166"/>
      <c r="P253" s="166"/>
      <c r="Q253" s="166"/>
      <c r="R253" s="166"/>
      <c r="S253" s="166"/>
      <c r="T253" s="166"/>
      <c r="U253" s="166"/>
      <c r="V253" s="166"/>
      <c r="W253" s="166"/>
      <c r="X253" s="166"/>
      <c r="Y253" s="166"/>
      <c r="Z253" s="166"/>
    </row>
    <row r="254" spans="1:26" s="167" customFormat="1" ht="16.5" x14ac:dyDescent="0.3">
      <c r="A254" s="92"/>
      <c r="B254" s="188"/>
      <c r="C254" s="185"/>
      <c r="D254" s="120"/>
      <c r="E254" s="92"/>
      <c r="F254" s="92"/>
      <c r="G254" s="112"/>
      <c r="H254" s="93"/>
      <c r="I254" s="93"/>
      <c r="J254" s="63"/>
      <c r="K254" s="80"/>
      <c r="L254" s="165"/>
      <c r="M254" s="166"/>
      <c r="N254" s="166"/>
      <c r="O254" s="166"/>
      <c r="P254" s="166"/>
      <c r="Q254" s="166"/>
      <c r="R254" s="166"/>
      <c r="S254" s="166"/>
      <c r="T254" s="166"/>
      <c r="U254" s="166"/>
      <c r="V254" s="166"/>
      <c r="W254" s="166"/>
      <c r="X254" s="166"/>
      <c r="Y254" s="166"/>
      <c r="Z254" s="166"/>
    </row>
    <row r="255" spans="1:26" s="167" customFormat="1" ht="16.5" x14ac:dyDescent="0.3">
      <c r="A255" s="92"/>
      <c r="B255" s="188"/>
      <c r="C255" s="185"/>
      <c r="D255" s="120"/>
      <c r="E255" s="92"/>
      <c r="F255" s="92"/>
      <c r="G255" s="112"/>
      <c r="H255" s="93"/>
      <c r="I255" s="93"/>
      <c r="J255" s="63"/>
      <c r="K255" s="80"/>
      <c r="L255" s="165"/>
      <c r="M255" s="166"/>
      <c r="N255" s="166"/>
      <c r="O255" s="166"/>
      <c r="P255" s="166"/>
      <c r="Q255" s="166"/>
      <c r="R255" s="166"/>
      <c r="S255" s="166"/>
      <c r="T255" s="166"/>
      <c r="U255" s="166"/>
      <c r="V255" s="166"/>
      <c r="W255" s="166"/>
      <c r="X255" s="166"/>
      <c r="Y255" s="166"/>
      <c r="Z255" s="166"/>
    </row>
    <row r="256" spans="1:26" s="167" customFormat="1" ht="16.5" x14ac:dyDescent="0.3">
      <c r="A256" s="92"/>
      <c r="B256" s="188"/>
      <c r="C256" s="185"/>
      <c r="D256" s="120"/>
      <c r="E256" s="92"/>
      <c r="F256" s="92"/>
      <c r="G256" s="112"/>
      <c r="H256" s="93"/>
      <c r="I256" s="93"/>
      <c r="J256" s="63"/>
      <c r="K256" s="80"/>
      <c r="L256" s="165"/>
      <c r="M256" s="166"/>
      <c r="N256" s="166"/>
      <c r="O256" s="166"/>
      <c r="P256" s="166"/>
      <c r="Q256" s="166"/>
      <c r="R256" s="166"/>
      <c r="S256" s="166"/>
      <c r="T256" s="166"/>
      <c r="U256" s="166"/>
      <c r="V256" s="166"/>
      <c r="W256" s="166"/>
      <c r="X256" s="166"/>
      <c r="Y256" s="166"/>
      <c r="Z256" s="166"/>
    </row>
    <row r="257" spans="1:26" s="167" customFormat="1" ht="16.5" x14ac:dyDescent="0.3">
      <c r="A257" s="92"/>
      <c r="B257" s="188"/>
      <c r="C257" s="185"/>
      <c r="D257" s="120"/>
      <c r="E257" s="92"/>
      <c r="F257" s="92"/>
      <c r="G257" s="112"/>
      <c r="H257" s="93"/>
      <c r="I257" s="93"/>
      <c r="J257" s="63"/>
      <c r="K257" s="80"/>
      <c r="L257" s="165"/>
      <c r="M257" s="166"/>
      <c r="N257" s="166"/>
      <c r="O257" s="166"/>
      <c r="P257" s="166"/>
      <c r="Q257" s="166"/>
      <c r="R257" s="166"/>
      <c r="S257" s="166"/>
      <c r="T257" s="166"/>
      <c r="U257" s="166"/>
      <c r="V257" s="166"/>
      <c r="W257" s="166"/>
      <c r="X257" s="166"/>
      <c r="Y257" s="166"/>
      <c r="Z257" s="166"/>
    </row>
    <row r="258" spans="1:26" s="167" customFormat="1" ht="16.5" x14ac:dyDescent="0.3">
      <c r="A258" s="92"/>
      <c r="B258" s="188"/>
      <c r="C258" s="185"/>
      <c r="D258" s="120"/>
      <c r="E258" s="92"/>
      <c r="F258" s="92"/>
      <c r="G258" s="112"/>
      <c r="H258" s="93"/>
      <c r="I258" s="93"/>
      <c r="J258" s="63"/>
      <c r="K258" s="80"/>
      <c r="L258" s="165"/>
      <c r="M258" s="166"/>
      <c r="N258" s="166"/>
      <c r="O258" s="166"/>
      <c r="P258" s="166"/>
      <c r="Q258" s="166"/>
      <c r="R258" s="166"/>
      <c r="S258" s="166"/>
      <c r="T258" s="166"/>
      <c r="U258" s="166"/>
      <c r="V258" s="166"/>
      <c r="W258" s="166"/>
      <c r="X258" s="166"/>
      <c r="Y258" s="166"/>
      <c r="Z258" s="166"/>
    </row>
    <row r="259" spans="1:26" s="167" customFormat="1" ht="16.5" x14ac:dyDescent="0.3">
      <c r="A259" s="92"/>
      <c r="B259" s="188"/>
      <c r="C259" s="185"/>
      <c r="D259" s="120"/>
      <c r="E259" s="92"/>
      <c r="F259" s="92"/>
      <c r="G259" s="112"/>
      <c r="H259" s="93"/>
      <c r="I259" s="93"/>
      <c r="J259" s="63"/>
      <c r="K259" s="80"/>
      <c r="L259" s="165"/>
      <c r="M259" s="166"/>
      <c r="N259" s="166"/>
      <c r="O259" s="166"/>
      <c r="P259" s="166"/>
      <c r="Q259" s="166"/>
      <c r="R259" s="166"/>
      <c r="S259" s="166"/>
      <c r="T259" s="166"/>
      <c r="U259" s="166"/>
      <c r="V259" s="166"/>
      <c r="W259" s="166"/>
      <c r="X259" s="166"/>
      <c r="Y259" s="166"/>
      <c r="Z259" s="166"/>
    </row>
    <row r="260" spans="1:26" s="167" customFormat="1" ht="16.5" x14ac:dyDescent="0.3">
      <c r="A260" s="92"/>
      <c r="B260" s="188"/>
      <c r="C260" s="185"/>
      <c r="D260" s="120"/>
      <c r="E260" s="92"/>
      <c r="F260" s="92"/>
      <c r="G260" s="112"/>
      <c r="H260" s="112"/>
      <c r="I260" s="112"/>
      <c r="J260" s="63"/>
      <c r="K260" s="80"/>
      <c r="L260" s="165"/>
      <c r="M260" s="166"/>
      <c r="N260" s="166"/>
      <c r="O260" s="166"/>
      <c r="P260" s="166"/>
      <c r="Q260" s="166"/>
      <c r="R260" s="166"/>
      <c r="S260" s="166"/>
      <c r="T260" s="166"/>
      <c r="U260" s="166"/>
      <c r="V260" s="166"/>
      <c r="W260" s="166"/>
      <c r="X260" s="166"/>
      <c r="Y260" s="166"/>
      <c r="Z260" s="166"/>
    </row>
    <row r="261" spans="1:26" s="167" customFormat="1" ht="16.5" x14ac:dyDescent="0.3">
      <c r="A261" s="92"/>
      <c r="B261" s="188"/>
      <c r="C261" s="185"/>
      <c r="D261" s="120"/>
      <c r="E261" s="92"/>
      <c r="F261" s="92"/>
      <c r="G261" s="112"/>
      <c r="H261" s="93"/>
      <c r="I261" s="93"/>
      <c r="J261" s="63"/>
      <c r="K261" s="80"/>
      <c r="L261" s="165"/>
      <c r="M261" s="166"/>
      <c r="N261" s="166"/>
      <c r="O261" s="166"/>
      <c r="P261" s="166"/>
      <c r="Q261" s="166"/>
      <c r="R261" s="166"/>
      <c r="S261" s="166"/>
      <c r="T261" s="166"/>
      <c r="U261" s="166"/>
      <c r="V261" s="166"/>
      <c r="W261" s="166"/>
      <c r="X261" s="166"/>
      <c r="Y261" s="166"/>
      <c r="Z261" s="166"/>
    </row>
    <row r="262" spans="1:26" s="167" customFormat="1" ht="16.5" x14ac:dyDescent="0.3">
      <c r="A262" s="92"/>
      <c r="B262" s="188"/>
      <c r="C262" s="185"/>
      <c r="D262" s="120"/>
      <c r="E262" s="92"/>
      <c r="F262" s="92"/>
      <c r="G262" s="112"/>
      <c r="H262" s="93"/>
      <c r="I262" s="93"/>
      <c r="J262" s="63"/>
      <c r="K262" s="80"/>
      <c r="L262" s="165"/>
      <c r="M262" s="166"/>
      <c r="N262" s="166"/>
      <c r="O262" s="166"/>
      <c r="P262" s="166"/>
      <c r="Q262" s="166"/>
      <c r="R262" s="166"/>
      <c r="S262" s="166"/>
      <c r="T262" s="166"/>
      <c r="U262" s="166"/>
      <c r="V262" s="166"/>
      <c r="W262" s="166"/>
      <c r="X262" s="166"/>
      <c r="Y262" s="166"/>
      <c r="Z262" s="166"/>
    </row>
    <row r="263" spans="1:26" s="167" customFormat="1" ht="16.5" x14ac:dyDescent="0.3">
      <c r="A263" s="92"/>
      <c r="B263" s="188"/>
      <c r="C263" s="185"/>
      <c r="D263" s="120"/>
      <c r="E263" s="92"/>
      <c r="F263" s="92"/>
      <c r="G263" s="112"/>
      <c r="H263" s="93"/>
      <c r="I263" s="93"/>
      <c r="J263" s="63"/>
      <c r="K263" s="80"/>
      <c r="L263" s="165"/>
      <c r="M263" s="166"/>
      <c r="N263" s="166"/>
      <c r="O263" s="166"/>
      <c r="P263" s="166"/>
      <c r="Q263" s="166"/>
      <c r="R263" s="166"/>
      <c r="S263" s="166"/>
      <c r="T263" s="166"/>
      <c r="U263" s="166"/>
      <c r="V263" s="166"/>
      <c r="W263" s="166"/>
      <c r="X263" s="166"/>
      <c r="Y263" s="166"/>
      <c r="Z263" s="166"/>
    </row>
    <row r="264" spans="1:26" s="167" customFormat="1" ht="16.5" x14ac:dyDescent="0.3">
      <c r="A264" s="92"/>
      <c r="B264" s="188"/>
      <c r="C264" s="185"/>
      <c r="D264" s="120"/>
      <c r="E264" s="92"/>
      <c r="F264" s="92"/>
      <c r="G264" s="112"/>
      <c r="H264" s="93"/>
      <c r="I264" s="93"/>
      <c r="J264" s="63"/>
      <c r="K264" s="80"/>
      <c r="L264" s="165"/>
      <c r="M264" s="166"/>
      <c r="N264" s="166"/>
      <c r="O264" s="166"/>
      <c r="P264" s="166"/>
      <c r="Q264" s="166"/>
      <c r="R264" s="166"/>
      <c r="S264" s="166"/>
      <c r="T264" s="166"/>
      <c r="U264" s="166"/>
      <c r="V264" s="166"/>
      <c r="W264" s="166"/>
      <c r="X264" s="166"/>
      <c r="Y264" s="166"/>
      <c r="Z264" s="166"/>
    </row>
    <row r="265" spans="1:26" s="167" customFormat="1" ht="16.5" x14ac:dyDescent="0.3">
      <c r="A265" s="92"/>
      <c r="B265" s="188"/>
      <c r="C265" s="185"/>
      <c r="D265" s="120"/>
      <c r="E265" s="92"/>
      <c r="F265" s="92"/>
      <c r="G265" s="112"/>
      <c r="H265" s="93"/>
      <c r="I265" s="93"/>
      <c r="J265" s="63"/>
      <c r="K265" s="80"/>
      <c r="L265" s="165"/>
      <c r="M265" s="166"/>
      <c r="N265" s="166"/>
      <c r="O265" s="166"/>
      <c r="P265" s="166"/>
      <c r="Q265" s="166"/>
      <c r="R265" s="166"/>
      <c r="S265" s="166"/>
      <c r="T265" s="166"/>
      <c r="U265" s="166"/>
      <c r="V265" s="166"/>
      <c r="W265" s="166"/>
      <c r="X265" s="166"/>
      <c r="Y265" s="166"/>
      <c r="Z265" s="166"/>
    </row>
    <row r="266" spans="1:26" s="167" customFormat="1" ht="16.5" x14ac:dyDescent="0.3">
      <c r="A266" s="92"/>
      <c r="B266" s="188"/>
      <c r="C266" s="185"/>
      <c r="D266" s="120"/>
      <c r="E266" s="92"/>
      <c r="F266" s="92"/>
      <c r="G266" s="112"/>
      <c r="H266" s="93"/>
      <c r="I266" s="93"/>
      <c r="J266" s="63"/>
      <c r="K266" s="80"/>
      <c r="L266" s="165"/>
      <c r="M266" s="166"/>
      <c r="N266" s="166"/>
      <c r="O266" s="166"/>
      <c r="P266" s="166"/>
      <c r="Q266" s="166"/>
      <c r="R266" s="166"/>
      <c r="S266" s="166"/>
      <c r="T266" s="166"/>
      <c r="U266" s="166"/>
      <c r="V266" s="166"/>
      <c r="W266" s="166"/>
      <c r="X266" s="166"/>
      <c r="Y266" s="166"/>
      <c r="Z266" s="166"/>
    </row>
    <row r="267" spans="1:26" s="167" customFormat="1" ht="16.5" x14ac:dyDescent="0.3">
      <c r="A267" s="92"/>
      <c r="B267" s="188"/>
      <c r="C267" s="185"/>
      <c r="D267" s="120"/>
      <c r="E267" s="92"/>
      <c r="F267" s="92"/>
      <c r="G267" s="112"/>
      <c r="H267" s="93"/>
      <c r="I267" s="93"/>
      <c r="J267" s="63"/>
      <c r="K267" s="80"/>
      <c r="L267" s="165"/>
      <c r="M267" s="166"/>
      <c r="N267" s="166"/>
      <c r="O267" s="166"/>
      <c r="P267" s="166"/>
      <c r="Q267" s="166"/>
      <c r="R267" s="166"/>
      <c r="S267" s="166"/>
      <c r="T267" s="166"/>
      <c r="U267" s="166"/>
      <c r="V267" s="166"/>
      <c r="W267" s="166"/>
      <c r="X267" s="166"/>
      <c r="Y267" s="166"/>
      <c r="Z267" s="166"/>
    </row>
    <row r="268" spans="1:26" s="167" customFormat="1" ht="16.5" x14ac:dyDescent="0.3">
      <c r="A268" s="92"/>
      <c r="B268" s="188"/>
      <c r="C268" s="185"/>
      <c r="D268" s="120"/>
      <c r="E268" s="92"/>
      <c r="F268" s="92"/>
      <c r="G268" s="112"/>
      <c r="H268" s="112"/>
      <c r="I268" s="112"/>
      <c r="J268" s="92"/>
      <c r="K268" s="80"/>
      <c r="L268" s="165"/>
      <c r="M268" s="166"/>
      <c r="N268" s="166"/>
      <c r="O268" s="166"/>
      <c r="P268" s="166"/>
      <c r="Q268" s="166"/>
      <c r="R268" s="166"/>
      <c r="S268" s="166"/>
      <c r="T268" s="166"/>
      <c r="U268" s="166"/>
      <c r="V268" s="166"/>
      <c r="W268" s="166"/>
      <c r="X268" s="166"/>
      <c r="Y268" s="166"/>
      <c r="Z268" s="166"/>
    </row>
    <row r="269" spans="1:26" s="167" customFormat="1" ht="16.5" x14ac:dyDescent="0.3">
      <c r="A269" s="92"/>
      <c r="B269" s="188"/>
      <c r="C269" s="185"/>
      <c r="D269" s="120"/>
      <c r="E269" s="92"/>
      <c r="F269" s="92"/>
      <c r="G269" s="112"/>
      <c r="H269" s="112"/>
      <c r="I269" s="112"/>
      <c r="J269" s="92"/>
      <c r="K269" s="80"/>
      <c r="L269" s="165"/>
      <c r="M269" s="166"/>
      <c r="N269" s="166"/>
      <c r="O269" s="166"/>
      <c r="P269" s="166"/>
      <c r="Q269" s="166"/>
      <c r="R269" s="166"/>
      <c r="S269" s="166"/>
      <c r="T269" s="166"/>
      <c r="U269" s="166"/>
      <c r="V269" s="166"/>
      <c r="W269" s="166"/>
      <c r="X269" s="166"/>
      <c r="Y269" s="166"/>
      <c r="Z269" s="166"/>
    </row>
    <row r="270" spans="1:26" s="167" customFormat="1" ht="16.5" x14ac:dyDescent="0.3">
      <c r="A270" s="116"/>
      <c r="B270" s="186"/>
      <c r="C270" s="118"/>
      <c r="D270" s="111"/>
      <c r="E270" s="63"/>
      <c r="F270" s="63"/>
      <c r="G270" s="93"/>
      <c r="H270" s="93"/>
      <c r="I270" s="93"/>
      <c r="J270" s="63"/>
      <c r="K270" s="80"/>
      <c r="L270" s="165"/>
      <c r="M270" s="166"/>
      <c r="N270" s="166"/>
      <c r="O270" s="166"/>
      <c r="P270" s="166"/>
      <c r="Q270" s="166"/>
      <c r="R270" s="166"/>
      <c r="S270" s="166"/>
      <c r="T270" s="166"/>
      <c r="U270" s="166"/>
      <c r="V270" s="166"/>
      <c r="W270" s="166"/>
      <c r="X270" s="166"/>
      <c r="Y270" s="166"/>
      <c r="Z270" s="166"/>
    </row>
    <row r="271" spans="1:26" s="167" customFormat="1" ht="16.5" x14ac:dyDescent="0.3">
      <c r="A271" s="92"/>
      <c r="B271" s="188"/>
      <c r="C271" s="185"/>
      <c r="D271" s="120"/>
      <c r="E271" s="63"/>
      <c r="F271" s="63"/>
      <c r="G271" s="93"/>
      <c r="H271" s="93"/>
      <c r="I271" s="93"/>
      <c r="J271" s="63"/>
      <c r="K271" s="80"/>
      <c r="L271" s="165"/>
      <c r="M271" s="166"/>
      <c r="N271" s="166"/>
      <c r="O271" s="166"/>
      <c r="P271" s="166"/>
      <c r="Q271" s="166"/>
      <c r="R271" s="166"/>
      <c r="S271" s="166"/>
      <c r="T271" s="166"/>
      <c r="U271" s="166"/>
      <c r="V271" s="166"/>
      <c r="W271" s="166"/>
      <c r="X271" s="166"/>
      <c r="Y271" s="166"/>
      <c r="Z271" s="166"/>
    </row>
    <row r="272" spans="1:26" s="167" customFormat="1" ht="16.5" x14ac:dyDescent="0.3">
      <c r="A272" s="92"/>
      <c r="B272" s="188"/>
      <c r="C272" s="185"/>
      <c r="D272" s="120"/>
      <c r="E272" s="92"/>
      <c r="F272" s="92"/>
      <c r="G272" s="112"/>
      <c r="H272" s="93"/>
      <c r="I272" s="93"/>
      <c r="J272" s="63"/>
      <c r="K272" s="80"/>
      <c r="L272" s="165"/>
      <c r="M272" s="166"/>
      <c r="N272" s="166"/>
      <c r="O272" s="166"/>
      <c r="P272" s="166"/>
      <c r="Q272" s="166"/>
      <c r="R272" s="166"/>
      <c r="S272" s="166"/>
      <c r="T272" s="166"/>
      <c r="U272" s="166"/>
      <c r="V272" s="166"/>
      <c r="W272" s="166"/>
      <c r="X272" s="166"/>
      <c r="Y272" s="166"/>
      <c r="Z272" s="166"/>
    </row>
    <row r="273" spans="1:26" s="167" customFormat="1" ht="16.5" x14ac:dyDescent="0.3">
      <c r="A273" s="92"/>
      <c r="B273" s="188"/>
      <c r="C273" s="185"/>
      <c r="D273" s="120"/>
      <c r="E273" s="92"/>
      <c r="F273" s="92"/>
      <c r="G273" s="112"/>
      <c r="H273" s="93"/>
      <c r="I273" s="93"/>
      <c r="J273" s="63"/>
      <c r="K273" s="80"/>
      <c r="L273" s="165"/>
      <c r="M273" s="166"/>
      <c r="N273" s="166"/>
      <c r="O273" s="166"/>
      <c r="P273" s="166"/>
      <c r="Q273" s="166"/>
      <c r="R273" s="166"/>
      <c r="S273" s="166"/>
      <c r="T273" s="166"/>
      <c r="U273" s="166"/>
      <c r="V273" s="166"/>
      <c r="W273" s="166"/>
      <c r="X273" s="166"/>
      <c r="Y273" s="166"/>
      <c r="Z273" s="166"/>
    </row>
    <row r="274" spans="1:26" s="167" customFormat="1" ht="16.5" x14ac:dyDescent="0.3">
      <c r="A274" s="145"/>
      <c r="B274" s="208"/>
      <c r="C274" s="209"/>
      <c r="D274" s="120"/>
      <c r="E274" s="92"/>
      <c r="F274" s="92"/>
      <c r="G274" s="112"/>
      <c r="H274" s="93"/>
      <c r="I274" s="93"/>
      <c r="J274" s="63"/>
      <c r="K274" s="80"/>
      <c r="L274" s="165"/>
      <c r="M274" s="166"/>
      <c r="N274" s="166"/>
      <c r="O274" s="166"/>
      <c r="P274" s="166"/>
      <c r="Q274" s="166"/>
      <c r="R274" s="166"/>
      <c r="S274" s="166"/>
      <c r="T274" s="166"/>
      <c r="U274" s="166"/>
      <c r="V274" s="166"/>
      <c r="W274" s="166"/>
      <c r="X274" s="166"/>
      <c r="Y274" s="166"/>
      <c r="Z274" s="166"/>
    </row>
    <row r="275" spans="1:26" s="167" customFormat="1" ht="16.5" x14ac:dyDescent="0.3">
      <c r="A275" s="92"/>
      <c r="B275" s="188"/>
      <c r="C275" s="185"/>
      <c r="D275" s="120"/>
      <c r="E275" s="92"/>
      <c r="F275" s="92"/>
      <c r="G275" s="112"/>
      <c r="H275" s="93"/>
      <c r="I275" s="93"/>
      <c r="J275" s="63"/>
      <c r="K275" s="80"/>
      <c r="L275" s="165"/>
      <c r="M275" s="166"/>
      <c r="N275" s="166"/>
      <c r="O275" s="166"/>
      <c r="P275" s="166"/>
      <c r="Q275" s="166"/>
      <c r="R275" s="166"/>
      <c r="S275" s="166"/>
      <c r="T275" s="166"/>
      <c r="U275" s="166"/>
      <c r="V275" s="166"/>
      <c r="W275" s="166"/>
      <c r="X275" s="166"/>
      <c r="Y275" s="166"/>
      <c r="Z275" s="166"/>
    </row>
    <row r="276" spans="1:26" s="167" customFormat="1" ht="16.5" x14ac:dyDescent="0.3">
      <c r="A276" s="92"/>
      <c r="B276" s="188"/>
      <c r="C276" s="185"/>
      <c r="D276" s="120"/>
      <c r="E276" s="92"/>
      <c r="F276" s="92"/>
      <c r="G276" s="112"/>
      <c r="H276" s="93"/>
      <c r="I276" s="93"/>
      <c r="J276" s="63"/>
      <c r="K276" s="80"/>
      <c r="L276" s="165"/>
      <c r="M276" s="166"/>
      <c r="N276" s="166"/>
      <c r="O276" s="166"/>
      <c r="P276" s="166"/>
      <c r="Q276" s="166"/>
      <c r="R276" s="166"/>
      <c r="S276" s="166"/>
      <c r="T276" s="166"/>
      <c r="U276" s="166"/>
      <c r="V276" s="166"/>
      <c r="W276" s="166"/>
      <c r="X276" s="166"/>
      <c r="Y276" s="166"/>
      <c r="Z276" s="166"/>
    </row>
    <row r="277" spans="1:26" s="167" customFormat="1" ht="16.5" x14ac:dyDescent="0.3">
      <c r="A277" s="92"/>
      <c r="B277" s="188"/>
      <c r="C277" s="185"/>
      <c r="D277" s="120"/>
      <c r="E277" s="92"/>
      <c r="F277" s="92"/>
      <c r="G277" s="112"/>
      <c r="H277" s="93"/>
      <c r="I277" s="93"/>
      <c r="J277" s="63"/>
      <c r="K277" s="80"/>
      <c r="L277" s="165"/>
      <c r="M277" s="166"/>
      <c r="N277" s="166"/>
      <c r="O277" s="166"/>
      <c r="P277" s="166"/>
      <c r="Q277" s="166"/>
      <c r="R277" s="166"/>
      <c r="S277" s="166"/>
      <c r="T277" s="166"/>
      <c r="U277" s="166"/>
      <c r="V277" s="166"/>
      <c r="W277" s="166"/>
      <c r="X277" s="166"/>
      <c r="Y277" s="166"/>
      <c r="Z277" s="166"/>
    </row>
    <row r="278" spans="1:26" s="167" customFormat="1" ht="16.5" x14ac:dyDescent="0.3">
      <c r="A278" s="92"/>
      <c r="B278" s="188"/>
      <c r="C278" s="183"/>
      <c r="D278" s="111"/>
      <c r="E278" s="92"/>
      <c r="F278" s="92"/>
      <c r="G278" s="112"/>
      <c r="H278" s="93"/>
      <c r="I278" s="93"/>
      <c r="J278" s="63"/>
      <c r="K278" s="80"/>
      <c r="L278" s="165"/>
      <c r="M278" s="166"/>
      <c r="N278" s="166"/>
      <c r="O278" s="166"/>
      <c r="P278" s="166"/>
      <c r="Q278" s="166"/>
      <c r="R278" s="166"/>
      <c r="S278" s="166"/>
      <c r="T278" s="166"/>
      <c r="U278" s="166"/>
      <c r="V278" s="166"/>
      <c r="W278" s="166"/>
      <c r="X278" s="166"/>
      <c r="Y278" s="166"/>
      <c r="Z278" s="166"/>
    </row>
    <row r="279" spans="1:26" s="167" customFormat="1" ht="16.5" x14ac:dyDescent="0.3">
      <c r="A279" s="92"/>
      <c r="B279" s="188"/>
      <c r="C279" s="185"/>
      <c r="D279" s="120"/>
      <c r="E279" s="92"/>
      <c r="F279" s="92"/>
      <c r="G279" s="112"/>
      <c r="H279" s="93"/>
      <c r="I279" s="93"/>
      <c r="J279" s="63"/>
      <c r="K279" s="80"/>
      <c r="L279" s="165"/>
      <c r="M279" s="166"/>
      <c r="N279" s="166"/>
      <c r="O279" s="166"/>
      <c r="P279" s="166"/>
      <c r="Q279" s="166"/>
      <c r="R279" s="166"/>
      <c r="S279" s="166"/>
      <c r="T279" s="166"/>
      <c r="U279" s="166"/>
      <c r="V279" s="166"/>
      <c r="W279" s="166"/>
      <c r="X279" s="166"/>
      <c r="Y279" s="166"/>
      <c r="Z279" s="166"/>
    </row>
    <row r="280" spans="1:26" s="167" customFormat="1" ht="16.5" x14ac:dyDescent="0.3">
      <c r="A280" s="92"/>
      <c r="B280" s="188"/>
      <c r="C280" s="185"/>
      <c r="D280" s="120"/>
      <c r="E280" s="92"/>
      <c r="F280" s="92"/>
      <c r="G280" s="112"/>
      <c r="H280" s="93"/>
      <c r="I280" s="93"/>
      <c r="J280" s="63"/>
      <c r="K280" s="80"/>
      <c r="L280" s="165"/>
      <c r="M280" s="166"/>
      <c r="N280" s="166"/>
      <c r="O280" s="166"/>
      <c r="P280" s="166"/>
      <c r="Q280" s="166"/>
      <c r="R280" s="166"/>
      <c r="S280" s="166"/>
      <c r="T280" s="166"/>
      <c r="U280" s="166"/>
      <c r="V280" s="166"/>
      <c r="W280" s="166"/>
      <c r="X280" s="166"/>
      <c r="Y280" s="166"/>
      <c r="Z280" s="166"/>
    </row>
    <row r="281" spans="1:26" s="167" customFormat="1" ht="16.5" x14ac:dyDescent="0.3">
      <c r="A281" s="92"/>
      <c r="B281" s="188"/>
      <c r="C281" s="185"/>
      <c r="D281" s="120"/>
      <c r="E281" s="92"/>
      <c r="F281" s="92"/>
      <c r="G281" s="112"/>
      <c r="H281" s="93"/>
      <c r="I281" s="93"/>
      <c r="J281" s="63"/>
      <c r="K281" s="80"/>
      <c r="L281" s="165"/>
      <c r="M281" s="166"/>
      <c r="N281" s="166"/>
      <c r="O281" s="166"/>
      <c r="P281" s="166"/>
      <c r="Q281" s="166"/>
      <c r="R281" s="166"/>
      <c r="S281" s="166"/>
      <c r="T281" s="166"/>
      <c r="U281" s="166"/>
      <c r="V281" s="166"/>
      <c r="W281" s="166"/>
      <c r="X281" s="166"/>
      <c r="Y281" s="166"/>
      <c r="Z281" s="166"/>
    </row>
    <row r="282" spans="1:26" s="167" customFormat="1" ht="16.5" x14ac:dyDescent="0.3">
      <c r="A282" s="92"/>
      <c r="B282" s="188"/>
      <c r="C282" s="185"/>
      <c r="D282" s="120"/>
      <c r="E282" s="92"/>
      <c r="F282" s="92"/>
      <c r="G282" s="112"/>
      <c r="H282" s="93"/>
      <c r="I282" s="93"/>
      <c r="J282" s="63"/>
      <c r="K282" s="80"/>
      <c r="L282" s="165"/>
      <c r="M282" s="166"/>
      <c r="N282" s="166"/>
      <c r="O282" s="166"/>
      <c r="P282" s="166"/>
      <c r="Q282" s="166"/>
      <c r="R282" s="166"/>
      <c r="S282" s="166"/>
      <c r="T282" s="166"/>
      <c r="U282" s="166"/>
      <c r="V282" s="166"/>
      <c r="W282" s="166"/>
      <c r="X282" s="166"/>
      <c r="Y282" s="166"/>
      <c r="Z282" s="166"/>
    </row>
    <row r="283" spans="1:26" s="167" customFormat="1" ht="16.5" x14ac:dyDescent="0.3">
      <c r="A283" s="92"/>
      <c r="B283" s="188"/>
      <c r="C283" s="185"/>
      <c r="D283" s="120"/>
      <c r="E283" s="92"/>
      <c r="F283" s="92"/>
      <c r="G283" s="112"/>
      <c r="H283" s="93"/>
      <c r="I283" s="93"/>
      <c r="J283" s="63"/>
      <c r="K283" s="80"/>
      <c r="L283" s="165"/>
      <c r="M283" s="166"/>
      <c r="N283" s="166"/>
      <c r="O283" s="166"/>
      <c r="P283" s="166"/>
      <c r="Q283" s="166"/>
      <c r="R283" s="166"/>
      <c r="S283" s="166"/>
      <c r="T283" s="166"/>
      <c r="U283" s="166"/>
      <c r="V283" s="166"/>
      <c r="W283" s="166"/>
      <c r="X283" s="166"/>
      <c r="Y283" s="166"/>
      <c r="Z283" s="166"/>
    </row>
    <row r="284" spans="1:26" s="167" customFormat="1" ht="16.5" x14ac:dyDescent="0.3">
      <c r="A284" s="92"/>
      <c r="B284" s="188"/>
      <c r="C284" s="185"/>
      <c r="D284" s="120"/>
      <c r="E284" s="92"/>
      <c r="F284" s="92"/>
      <c r="G284" s="112"/>
      <c r="H284" s="93"/>
      <c r="I284" s="93"/>
      <c r="J284" s="63"/>
      <c r="K284" s="80"/>
      <c r="L284" s="165"/>
      <c r="M284" s="166"/>
      <c r="N284" s="166"/>
      <c r="O284" s="166"/>
      <c r="P284" s="166"/>
      <c r="Q284" s="166"/>
      <c r="R284" s="166"/>
      <c r="S284" s="166"/>
      <c r="T284" s="166"/>
      <c r="U284" s="166"/>
      <c r="V284" s="166"/>
      <c r="W284" s="166"/>
      <c r="X284" s="166"/>
      <c r="Y284" s="166"/>
      <c r="Z284" s="166"/>
    </row>
    <row r="285" spans="1:26" s="167" customFormat="1" ht="16.5" x14ac:dyDescent="0.3">
      <c r="A285" s="92"/>
      <c r="B285" s="188"/>
      <c r="C285" s="185"/>
      <c r="D285" s="120"/>
      <c r="E285" s="92"/>
      <c r="F285" s="92"/>
      <c r="G285" s="112"/>
      <c r="H285" s="93"/>
      <c r="I285" s="93"/>
      <c r="J285" s="63"/>
      <c r="K285" s="80"/>
      <c r="L285" s="165"/>
      <c r="M285" s="166"/>
      <c r="N285" s="166"/>
      <c r="O285" s="166"/>
      <c r="P285" s="166"/>
      <c r="Q285" s="166"/>
      <c r="R285" s="166"/>
      <c r="S285" s="166"/>
      <c r="T285" s="166"/>
      <c r="U285" s="166"/>
      <c r="V285" s="166"/>
      <c r="W285" s="166"/>
      <c r="X285" s="166"/>
      <c r="Y285" s="166"/>
      <c r="Z285" s="166"/>
    </row>
    <row r="286" spans="1:26" s="167" customFormat="1" ht="16.5" x14ac:dyDescent="0.3">
      <c r="A286" s="92"/>
      <c r="B286" s="188"/>
      <c r="C286" s="185"/>
      <c r="D286" s="120"/>
      <c r="E286" s="92"/>
      <c r="F286" s="92"/>
      <c r="G286" s="112"/>
      <c r="H286" s="93"/>
      <c r="I286" s="93"/>
      <c r="J286" s="63"/>
      <c r="K286" s="80"/>
      <c r="L286" s="165"/>
      <c r="M286" s="166"/>
      <c r="N286" s="166"/>
      <c r="O286" s="166"/>
      <c r="P286" s="166"/>
      <c r="Q286" s="166"/>
      <c r="R286" s="166"/>
      <c r="S286" s="166"/>
      <c r="T286" s="166"/>
      <c r="U286" s="166"/>
      <c r="V286" s="166"/>
      <c r="W286" s="166"/>
      <c r="X286" s="166"/>
      <c r="Y286" s="166"/>
      <c r="Z286" s="166"/>
    </row>
    <row r="287" spans="1:26" s="167" customFormat="1" ht="16.5" x14ac:dyDescent="0.3">
      <c r="A287" s="92"/>
      <c r="B287" s="188"/>
      <c r="C287" s="210"/>
      <c r="D287" s="120"/>
      <c r="E287" s="92"/>
      <c r="F287" s="92"/>
      <c r="G287" s="112"/>
      <c r="H287" s="93"/>
      <c r="I287" s="93"/>
      <c r="J287" s="63"/>
      <c r="K287" s="80"/>
      <c r="L287" s="165"/>
      <c r="M287" s="166"/>
      <c r="N287" s="166"/>
      <c r="O287" s="166"/>
      <c r="P287" s="166"/>
      <c r="Q287" s="166"/>
      <c r="R287" s="166"/>
      <c r="S287" s="166"/>
      <c r="T287" s="166"/>
      <c r="U287" s="166"/>
      <c r="V287" s="166"/>
      <c r="W287" s="166"/>
      <c r="X287" s="166"/>
      <c r="Y287" s="166"/>
      <c r="Z287" s="166"/>
    </row>
    <row r="288" spans="1:26" s="167" customFormat="1" ht="16.5" x14ac:dyDescent="0.3">
      <c r="A288" s="92"/>
      <c r="B288" s="188"/>
      <c r="C288" s="185"/>
      <c r="D288" s="120"/>
      <c r="E288" s="92"/>
      <c r="F288" s="92"/>
      <c r="G288" s="112"/>
      <c r="H288" s="93"/>
      <c r="I288" s="93"/>
      <c r="J288" s="63"/>
      <c r="K288" s="80"/>
      <c r="L288" s="165"/>
      <c r="M288" s="166"/>
      <c r="N288" s="166"/>
      <c r="O288" s="166"/>
      <c r="P288" s="166"/>
      <c r="Q288" s="166"/>
      <c r="R288" s="166"/>
      <c r="S288" s="166"/>
      <c r="T288" s="166"/>
      <c r="U288" s="166"/>
      <c r="V288" s="166"/>
      <c r="W288" s="166"/>
      <c r="X288" s="166"/>
      <c r="Y288" s="166"/>
      <c r="Z288" s="166"/>
    </row>
    <row r="289" spans="1:26" s="167" customFormat="1" ht="16.5" x14ac:dyDescent="0.3">
      <c r="A289" s="92"/>
      <c r="B289" s="188"/>
      <c r="C289" s="185"/>
      <c r="D289" s="120"/>
      <c r="E289" s="92"/>
      <c r="F289" s="92"/>
      <c r="G289" s="112"/>
      <c r="H289" s="93"/>
      <c r="I289" s="93"/>
      <c r="J289" s="63"/>
      <c r="K289" s="80"/>
      <c r="L289" s="165"/>
      <c r="M289" s="166"/>
      <c r="N289" s="166"/>
      <c r="O289" s="166"/>
      <c r="P289" s="166"/>
      <c r="Q289" s="166"/>
      <c r="R289" s="166"/>
      <c r="S289" s="166"/>
      <c r="T289" s="166"/>
      <c r="U289" s="166"/>
      <c r="V289" s="166"/>
      <c r="W289" s="166"/>
      <c r="X289" s="166"/>
      <c r="Y289" s="166"/>
      <c r="Z289" s="166"/>
    </row>
    <row r="290" spans="1:26" s="167" customFormat="1" ht="16.5" x14ac:dyDescent="0.3">
      <c r="A290" s="92"/>
      <c r="B290" s="188"/>
      <c r="C290" s="185"/>
      <c r="D290" s="120"/>
      <c r="E290" s="92"/>
      <c r="F290" s="92"/>
      <c r="G290" s="112"/>
      <c r="H290" s="93"/>
      <c r="I290" s="93"/>
      <c r="J290" s="63"/>
      <c r="K290" s="80"/>
      <c r="L290" s="165"/>
      <c r="M290" s="166"/>
      <c r="N290" s="166"/>
      <c r="O290" s="166"/>
      <c r="P290" s="166"/>
      <c r="Q290" s="166"/>
      <c r="R290" s="166"/>
      <c r="S290" s="166"/>
      <c r="T290" s="166"/>
      <c r="U290" s="166"/>
      <c r="V290" s="166"/>
      <c r="W290" s="166"/>
      <c r="X290" s="166"/>
      <c r="Y290" s="166"/>
      <c r="Z290" s="166"/>
    </row>
    <row r="291" spans="1:26" s="167" customFormat="1" ht="16.5" x14ac:dyDescent="0.3">
      <c r="A291" s="92"/>
      <c r="B291" s="188"/>
      <c r="C291" s="185"/>
      <c r="D291" s="120"/>
      <c r="E291" s="92"/>
      <c r="F291" s="92"/>
      <c r="G291" s="112"/>
      <c r="H291" s="93"/>
      <c r="I291" s="93"/>
      <c r="J291" s="63"/>
      <c r="K291" s="80"/>
      <c r="L291" s="165"/>
      <c r="M291" s="166"/>
      <c r="N291" s="166"/>
      <c r="O291" s="166"/>
      <c r="P291" s="166"/>
      <c r="Q291" s="166"/>
      <c r="R291" s="166"/>
      <c r="S291" s="166"/>
      <c r="T291" s="166"/>
      <c r="U291" s="166"/>
      <c r="V291" s="166"/>
      <c r="W291" s="166"/>
      <c r="X291" s="166"/>
      <c r="Y291" s="166"/>
      <c r="Z291" s="166"/>
    </row>
    <row r="292" spans="1:26" s="167" customFormat="1" ht="16.5" x14ac:dyDescent="0.3">
      <c r="A292" s="92"/>
      <c r="B292" s="188"/>
      <c r="C292" s="185"/>
      <c r="D292" s="120"/>
      <c r="E292" s="92"/>
      <c r="F292" s="92"/>
      <c r="G292" s="112"/>
      <c r="H292" s="93"/>
      <c r="I292" s="93"/>
      <c r="J292" s="63"/>
      <c r="K292" s="80"/>
      <c r="L292" s="165"/>
      <c r="M292" s="166"/>
      <c r="N292" s="166"/>
      <c r="O292" s="166"/>
      <c r="P292" s="166"/>
      <c r="Q292" s="166"/>
      <c r="R292" s="166"/>
      <c r="S292" s="166"/>
      <c r="T292" s="166"/>
      <c r="U292" s="166"/>
      <c r="V292" s="166"/>
      <c r="W292" s="166"/>
      <c r="X292" s="166"/>
      <c r="Y292" s="166"/>
      <c r="Z292" s="166"/>
    </row>
    <row r="293" spans="1:26" s="167" customFormat="1" ht="16.5" x14ac:dyDescent="0.3">
      <c r="A293" s="92"/>
      <c r="B293" s="188"/>
      <c r="C293" s="185"/>
      <c r="D293" s="120"/>
      <c r="E293" s="92"/>
      <c r="F293" s="92"/>
      <c r="G293" s="112"/>
      <c r="H293" s="93"/>
      <c r="I293" s="93"/>
      <c r="J293" s="63"/>
      <c r="K293" s="80"/>
      <c r="L293" s="165"/>
      <c r="M293" s="166"/>
      <c r="N293" s="166"/>
      <c r="O293" s="166"/>
      <c r="P293" s="166"/>
      <c r="Q293" s="166"/>
      <c r="R293" s="166"/>
      <c r="S293" s="166"/>
      <c r="T293" s="166"/>
      <c r="U293" s="166"/>
      <c r="V293" s="166"/>
      <c r="W293" s="166"/>
      <c r="X293" s="166"/>
      <c r="Y293" s="166"/>
      <c r="Z293" s="166"/>
    </row>
    <row r="294" spans="1:26" s="167" customFormat="1" ht="16.5" x14ac:dyDescent="0.3">
      <c r="A294" s="92"/>
      <c r="B294" s="188"/>
      <c r="C294" s="185"/>
      <c r="D294" s="120"/>
      <c r="E294" s="92"/>
      <c r="F294" s="92"/>
      <c r="G294" s="112"/>
      <c r="H294" s="93"/>
      <c r="I294" s="93"/>
      <c r="J294" s="63"/>
      <c r="K294" s="80"/>
      <c r="L294" s="165"/>
      <c r="M294" s="166"/>
      <c r="N294" s="166"/>
      <c r="O294" s="166"/>
      <c r="P294" s="166"/>
      <c r="Q294" s="166"/>
      <c r="R294" s="166"/>
      <c r="S294" s="166"/>
      <c r="T294" s="166"/>
      <c r="U294" s="166"/>
      <c r="V294" s="166"/>
      <c r="W294" s="166"/>
      <c r="X294" s="166"/>
      <c r="Y294" s="166"/>
      <c r="Z294" s="166"/>
    </row>
    <row r="295" spans="1:26" s="167" customFormat="1" ht="16.5" x14ac:dyDescent="0.3">
      <c r="A295" s="92"/>
      <c r="B295" s="188"/>
      <c r="C295" s="185"/>
      <c r="D295" s="120"/>
      <c r="E295" s="92"/>
      <c r="F295" s="92"/>
      <c r="G295" s="112"/>
      <c r="H295" s="93"/>
      <c r="I295" s="93"/>
      <c r="J295" s="63"/>
      <c r="K295" s="80"/>
      <c r="L295" s="165"/>
      <c r="M295" s="166"/>
      <c r="N295" s="166"/>
      <c r="O295" s="166"/>
      <c r="P295" s="166"/>
      <c r="Q295" s="166"/>
      <c r="R295" s="166"/>
      <c r="S295" s="166"/>
      <c r="T295" s="166"/>
      <c r="U295" s="166"/>
      <c r="V295" s="166"/>
      <c r="W295" s="166"/>
      <c r="X295" s="166"/>
      <c r="Y295" s="166"/>
      <c r="Z295" s="166"/>
    </row>
    <row r="296" spans="1:26" s="167" customFormat="1" ht="16.5" x14ac:dyDescent="0.3">
      <c r="A296" s="92"/>
      <c r="B296" s="188"/>
      <c r="C296" s="185"/>
      <c r="D296" s="120"/>
      <c r="E296" s="92"/>
      <c r="F296" s="92"/>
      <c r="G296" s="112"/>
      <c r="H296" s="93"/>
      <c r="I296" s="93"/>
      <c r="J296" s="63"/>
      <c r="K296" s="80"/>
      <c r="L296" s="165"/>
      <c r="M296" s="166"/>
      <c r="N296" s="166"/>
      <c r="O296" s="166"/>
      <c r="P296" s="166"/>
      <c r="Q296" s="166"/>
      <c r="R296" s="166"/>
      <c r="S296" s="166"/>
      <c r="T296" s="166"/>
      <c r="U296" s="166"/>
      <c r="V296" s="166"/>
      <c r="W296" s="166"/>
      <c r="X296" s="166"/>
      <c r="Y296" s="166"/>
      <c r="Z296" s="166"/>
    </row>
    <row r="297" spans="1:26" s="167" customFormat="1" ht="16.5" x14ac:dyDescent="0.3">
      <c r="A297" s="92"/>
      <c r="B297" s="188"/>
      <c r="C297" s="185"/>
      <c r="D297" s="120"/>
      <c r="E297" s="92"/>
      <c r="F297" s="92"/>
      <c r="G297" s="112"/>
      <c r="H297" s="93"/>
      <c r="I297" s="93"/>
      <c r="J297" s="63"/>
      <c r="K297" s="80"/>
      <c r="L297" s="165"/>
      <c r="M297" s="166"/>
      <c r="N297" s="166"/>
      <c r="O297" s="166"/>
      <c r="P297" s="166"/>
      <c r="Q297" s="166"/>
      <c r="R297" s="166"/>
      <c r="S297" s="166"/>
      <c r="T297" s="166"/>
      <c r="U297" s="166"/>
      <c r="V297" s="166"/>
      <c r="W297" s="166"/>
      <c r="X297" s="166"/>
      <c r="Y297" s="166"/>
      <c r="Z297" s="166"/>
    </row>
    <row r="298" spans="1:26" s="167" customFormat="1" ht="16.5" x14ac:dyDescent="0.3">
      <c r="A298" s="92"/>
      <c r="B298" s="188"/>
      <c r="C298" s="185"/>
      <c r="D298" s="120"/>
      <c r="E298" s="92"/>
      <c r="F298" s="92"/>
      <c r="G298" s="112"/>
      <c r="H298" s="93"/>
      <c r="I298" s="93"/>
      <c r="J298" s="63"/>
      <c r="K298" s="80"/>
      <c r="L298" s="165"/>
      <c r="M298" s="166"/>
      <c r="N298" s="166"/>
      <c r="O298" s="166"/>
      <c r="P298" s="166"/>
      <c r="Q298" s="166"/>
      <c r="R298" s="166"/>
      <c r="S298" s="166"/>
      <c r="T298" s="166"/>
      <c r="U298" s="166"/>
      <c r="V298" s="166"/>
      <c r="W298" s="166"/>
      <c r="X298" s="166"/>
      <c r="Y298" s="166"/>
      <c r="Z298" s="166"/>
    </row>
    <row r="299" spans="1:26" s="167" customFormat="1" ht="16.5" x14ac:dyDescent="0.3">
      <c r="A299" s="92"/>
      <c r="B299" s="188"/>
      <c r="C299" s="185"/>
      <c r="D299" s="120"/>
      <c r="E299" s="92"/>
      <c r="F299" s="92"/>
      <c r="G299" s="112"/>
      <c r="H299" s="93"/>
      <c r="I299" s="93"/>
      <c r="J299" s="63"/>
      <c r="K299" s="80"/>
      <c r="L299" s="165"/>
      <c r="M299" s="166"/>
      <c r="N299" s="166"/>
      <c r="O299" s="166"/>
      <c r="P299" s="166"/>
      <c r="Q299" s="166"/>
      <c r="R299" s="166"/>
      <c r="S299" s="166"/>
      <c r="T299" s="166"/>
      <c r="U299" s="166"/>
      <c r="V299" s="166"/>
      <c r="W299" s="166"/>
      <c r="X299" s="166"/>
      <c r="Y299" s="166"/>
      <c r="Z299" s="166"/>
    </row>
    <row r="300" spans="1:26" s="167" customFormat="1" ht="16.5" x14ac:dyDescent="0.3">
      <c r="A300" s="63"/>
      <c r="B300" s="186"/>
      <c r="C300" s="184"/>
      <c r="D300" s="111"/>
      <c r="E300" s="63"/>
      <c r="F300" s="63"/>
      <c r="G300" s="93"/>
      <c r="H300" s="93"/>
      <c r="I300" s="93"/>
      <c r="J300" s="63"/>
      <c r="K300" s="80"/>
      <c r="L300" s="165"/>
      <c r="M300" s="166"/>
      <c r="N300" s="166"/>
      <c r="O300" s="166"/>
      <c r="P300" s="166"/>
      <c r="Q300" s="166"/>
      <c r="R300" s="166"/>
      <c r="S300" s="166"/>
      <c r="T300" s="166"/>
      <c r="U300" s="166"/>
      <c r="V300" s="166"/>
      <c r="W300" s="166"/>
      <c r="X300" s="166"/>
      <c r="Y300" s="166"/>
      <c r="Z300" s="166"/>
    </row>
    <row r="301" spans="1:26" s="167" customFormat="1" ht="16.5" x14ac:dyDescent="0.3">
      <c r="A301" s="92"/>
      <c r="B301" s="188"/>
      <c r="C301" s="185"/>
      <c r="D301" s="120"/>
      <c r="E301" s="92"/>
      <c r="F301" s="92"/>
      <c r="G301" s="112"/>
      <c r="H301" s="93"/>
      <c r="I301" s="93"/>
      <c r="J301" s="63"/>
      <c r="K301" s="80"/>
      <c r="L301" s="165"/>
      <c r="M301" s="166"/>
      <c r="N301" s="166"/>
      <c r="O301" s="166"/>
      <c r="P301" s="166"/>
      <c r="Q301" s="166"/>
      <c r="R301" s="166"/>
      <c r="S301" s="166"/>
      <c r="T301" s="166"/>
      <c r="U301" s="166"/>
      <c r="V301" s="166"/>
      <c r="W301" s="166"/>
      <c r="X301" s="166"/>
      <c r="Y301" s="166"/>
      <c r="Z301" s="166"/>
    </row>
    <row r="302" spans="1:26" s="167" customFormat="1" ht="16.5" x14ac:dyDescent="0.3">
      <c r="A302" s="92"/>
      <c r="B302" s="188"/>
      <c r="C302" s="185"/>
      <c r="D302" s="120"/>
      <c r="E302" s="92"/>
      <c r="F302" s="92"/>
      <c r="G302" s="112"/>
      <c r="H302" s="93"/>
      <c r="I302" s="93"/>
      <c r="J302" s="63"/>
      <c r="K302" s="80"/>
      <c r="L302" s="165"/>
      <c r="M302" s="166"/>
      <c r="N302" s="166"/>
      <c r="O302" s="166"/>
      <c r="P302" s="166"/>
      <c r="Q302" s="166"/>
      <c r="R302" s="166"/>
      <c r="S302" s="166"/>
      <c r="T302" s="166"/>
      <c r="U302" s="166"/>
      <c r="V302" s="166"/>
      <c r="W302" s="166"/>
      <c r="X302" s="166"/>
      <c r="Y302" s="166"/>
      <c r="Z302" s="166"/>
    </row>
    <row r="303" spans="1:26" s="167" customFormat="1" ht="16.5" x14ac:dyDescent="0.3">
      <c r="A303" s="92"/>
      <c r="B303" s="188"/>
      <c r="C303" s="185"/>
      <c r="D303" s="120"/>
      <c r="E303" s="92"/>
      <c r="F303" s="92"/>
      <c r="G303" s="112"/>
      <c r="H303" s="93"/>
      <c r="I303" s="93"/>
      <c r="J303" s="63"/>
      <c r="K303" s="80"/>
      <c r="L303" s="165"/>
      <c r="M303" s="166"/>
      <c r="N303" s="166"/>
      <c r="O303" s="166"/>
      <c r="P303" s="166"/>
      <c r="Q303" s="166"/>
      <c r="R303" s="166"/>
      <c r="S303" s="166"/>
      <c r="T303" s="166"/>
      <c r="U303" s="166"/>
      <c r="V303" s="166"/>
      <c r="W303" s="166"/>
      <c r="X303" s="166"/>
      <c r="Y303" s="166"/>
      <c r="Z303" s="166"/>
    </row>
    <row r="304" spans="1:26" s="167" customFormat="1" ht="16.5" x14ac:dyDescent="0.3">
      <c r="A304" s="92"/>
      <c r="B304" s="188"/>
      <c r="C304" s="185"/>
      <c r="D304" s="120"/>
      <c r="E304" s="92"/>
      <c r="F304" s="92"/>
      <c r="G304" s="112"/>
      <c r="H304" s="93"/>
      <c r="I304" s="93"/>
      <c r="J304" s="63"/>
      <c r="K304" s="80"/>
      <c r="L304" s="165"/>
      <c r="M304" s="166"/>
      <c r="N304" s="166"/>
      <c r="O304" s="166"/>
      <c r="P304" s="166"/>
      <c r="Q304" s="166"/>
      <c r="R304" s="166"/>
      <c r="S304" s="166"/>
      <c r="T304" s="166"/>
      <c r="U304" s="166"/>
      <c r="V304" s="166"/>
      <c r="W304" s="166"/>
      <c r="X304" s="166"/>
      <c r="Y304" s="166"/>
      <c r="Z304" s="166"/>
    </row>
    <row r="305" spans="1:26" s="167" customFormat="1" ht="16.5" x14ac:dyDescent="0.3">
      <c r="A305" s="92"/>
      <c r="B305" s="188"/>
      <c r="C305" s="185"/>
      <c r="D305" s="120"/>
      <c r="E305" s="92"/>
      <c r="F305" s="92"/>
      <c r="G305" s="112"/>
      <c r="H305" s="93"/>
      <c r="I305" s="93"/>
      <c r="J305" s="63"/>
      <c r="K305" s="80"/>
      <c r="L305" s="165"/>
      <c r="M305" s="166"/>
      <c r="N305" s="166"/>
      <c r="O305" s="166"/>
      <c r="P305" s="166"/>
      <c r="Q305" s="166"/>
      <c r="R305" s="166"/>
      <c r="S305" s="166"/>
      <c r="T305" s="166"/>
      <c r="U305" s="166"/>
      <c r="V305" s="166"/>
      <c r="W305" s="166"/>
      <c r="X305" s="166"/>
      <c r="Y305" s="166"/>
      <c r="Z305" s="166"/>
    </row>
    <row r="306" spans="1:26" s="167" customFormat="1" ht="16.5" x14ac:dyDescent="0.3">
      <c r="A306" s="92"/>
      <c r="B306" s="188"/>
      <c r="C306" s="185"/>
      <c r="D306" s="120"/>
      <c r="E306" s="92"/>
      <c r="F306" s="92"/>
      <c r="G306" s="112"/>
      <c r="H306" s="93"/>
      <c r="I306" s="93"/>
      <c r="J306" s="63"/>
      <c r="K306" s="80"/>
      <c r="L306" s="165"/>
      <c r="M306" s="166"/>
      <c r="N306" s="166"/>
      <c r="O306" s="166"/>
      <c r="P306" s="166"/>
      <c r="Q306" s="166"/>
      <c r="R306" s="166"/>
      <c r="S306" s="166"/>
      <c r="T306" s="166"/>
      <c r="U306" s="166"/>
      <c r="V306" s="166"/>
      <c r="W306" s="166"/>
      <c r="X306" s="166"/>
      <c r="Y306" s="166"/>
      <c r="Z306" s="166"/>
    </row>
    <row r="307" spans="1:26" s="175" customFormat="1" ht="16.5" x14ac:dyDescent="0.2">
      <c r="A307" s="92"/>
      <c r="B307" s="188"/>
      <c r="C307" s="185"/>
      <c r="D307" s="120"/>
      <c r="E307" s="92"/>
      <c r="F307" s="92"/>
      <c r="G307" s="112"/>
      <c r="H307" s="93"/>
      <c r="I307" s="93"/>
      <c r="J307" s="63"/>
      <c r="K307" s="134"/>
      <c r="L307" s="169"/>
      <c r="M307" s="174"/>
      <c r="N307" s="174"/>
      <c r="O307" s="174"/>
      <c r="P307" s="174"/>
      <c r="Q307" s="174"/>
      <c r="R307" s="174"/>
      <c r="S307" s="174"/>
      <c r="T307" s="174"/>
      <c r="U307" s="174"/>
      <c r="V307" s="174"/>
      <c r="W307" s="174"/>
      <c r="X307" s="174"/>
      <c r="Y307" s="174"/>
      <c r="Z307" s="174"/>
    </row>
    <row r="308" spans="1:26" s="166" customFormat="1" ht="16.5" x14ac:dyDescent="0.3">
      <c r="A308" s="92"/>
      <c r="B308" s="188"/>
      <c r="C308" s="185"/>
      <c r="D308" s="120"/>
      <c r="E308" s="92"/>
      <c r="F308" s="92"/>
      <c r="G308" s="112"/>
      <c r="H308" s="112"/>
      <c r="I308" s="112"/>
      <c r="J308" s="92"/>
      <c r="K308" s="80"/>
      <c r="L308" s="165"/>
    </row>
    <row r="309" spans="1:26" s="167" customFormat="1" ht="16.5" x14ac:dyDescent="0.3">
      <c r="A309" s="92"/>
      <c r="B309" s="188"/>
      <c r="C309" s="185"/>
      <c r="D309" s="120"/>
      <c r="E309" s="92"/>
      <c r="F309" s="92"/>
      <c r="G309" s="112"/>
      <c r="H309" s="93"/>
      <c r="I309" s="93"/>
      <c r="J309" s="63"/>
      <c r="K309" s="80"/>
      <c r="L309" s="165"/>
      <c r="M309" s="166"/>
      <c r="N309" s="166"/>
      <c r="O309" s="166"/>
      <c r="P309" s="166"/>
      <c r="Q309" s="166"/>
      <c r="R309" s="166"/>
      <c r="S309" s="166"/>
      <c r="T309" s="166"/>
      <c r="U309" s="166"/>
      <c r="V309" s="166"/>
      <c r="W309" s="166"/>
      <c r="X309" s="166"/>
      <c r="Y309" s="166"/>
      <c r="Z309" s="166"/>
    </row>
    <row r="310" spans="1:26" s="167" customFormat="1" ht="16.5" x14ac:dyDescent="0.3">
      <c r="A310" s="92"/>
      <c r="B310" s="188"/>
      <c r="C310" s="185"/>
      <c r="D310" s="120"/>
      <c r="E310" s="92"/>
      <c r="F310" s="92"/>
      <c r="G310" s="112"/>
      <c r="H310" s="93"/>
      <c r="I310" s="93"/>
      <c r="J310" s="63"/>
      <c r="K310" s="80"/>
      <c r="L310" s="165"/>
      <c r="M310" s="166"/>
      <c r="N310" s="166"/>
      <c r="O310" s="166"/>
      <c r="P310" s="166"/>
      <c r="Q310" s="166"/>
      <c r="R310" s="166"/>
      <c r="S310" s="166"/>
      <c r="T310" s="166"/>
      <c r="U310" s="166"/>
      <c r="V310" s="166"/>
      <c r="W310" s="166"/>
      <c r="X310" s="166"/>
      <c r="Y310" s="166"/>
      <c r="Z310" s="166"/>
    </row>
    <row r="311" spans="1:26" s="167" customFormat="1" ht="16.5" x14ac:dyDescent="0.3">
      <c r="A311" s="92"/>
      <c r="B311" s="188"/>
      <c r="C311" s="185"/>
      <c r="D311" s="120"/>
      <c r="E311" s="92"/>
      <c r="F311" s="92"/>
      <c r="G311" s="112"/>
      <c r="H311" s="93"/>
      <c r="I311" s="93"/>
      <c r="J311" s="63"/>
      <c r="K311" s="80"/>
      <c r="L311" s="165"/>
      <c r="M311" s="166"/>
      <c r="N311" s="166"/>
      <c r="O311" s="166"/>
      <c r="P311" s="166"/>
      <c r="Q311" s="166"/>
      <c r="R311" s="166"/>
      <c r="S311" s="166"/>
      <c r="T311" s="166"/>
      <c r="U311" s="166"/>
      <c r="V311" s="166"/>
      <c r="W311" s="166"/>
      <c r="X311" s="166"/>
      <c r="Y311" s="166"/>
      <c r="Z311" s="166"/>
    </row>
    <row r="312" spans="1:26" s="167" customFormat="1" ht="16.5" x14ac:dyDescent="0.3">
      <c r="A312" s="92"/>
      <c r="B312" s="188"/>
      <c r="C312" s="185"/>
      <c r="D312" s="120"/>
      <c r="E312" s="92"/>
      <c r="F312" s="92"/>
      <c r="G312" s="112"/>
      <c r="H312" s="93"/>
      <c r="I312" s="93"/>
      <c r="J312" s="63"/>
      <c r="K312" s="80"/>
      <c r="L312" s="165"/>
      <c r="M312" s="166"/>
      <c r="N312" s="166"/>
      <c r="O312" s="166"/>
      <c r="P312" s="166"/>
      <c r="Q312" s="166"/>
      <c r="R312" s="166"/>
      <c r="S312" s="166"/>
      <c r="T312" s="166"/>
      <c r="U312" s="166"/>
      <c r="V312" s="166"/>
      <c r="W312" s="166"/>
      <c r="X312" s="166"/>
      <c r="Y312" s="166"/>
      <c r="Z312" s="166"/>
    </row>
    <row r="313" spans="1:26" s="167" customFormat="1" ht="16.5" x14ac:dyDescent="0.3">
      <c r="A313" s="92"/>
      <c r="B313" s="188"/>
      <c r="C313" s="185"/>
      <c r="D313" s="120"/>
      <c r="E313" s="92"/>
      <c r="F313" s="92"/>
      <c r="G313" s="112"/>
      <c r="H313" s="93"/>
      <c r="I313" s="93"/>
      <c r="J313" s="63"/>
      <c r="K313" s="80"/>
      <c r="L313" s="165"/>
      <c r="M313" s="166"/>
      <c r="N313" s="166"/>
      <c r="O313" s="166"/>
      <c r="P313" s="166"/>
      <c r="Q313" s="166"/>
      <c r="R313" s="166"/>
      <c r="S313" s="166"/>
      <c r="T313" s="166"/>
      <c r="U313" s="166"/>
      <c r="V313" s="166"/>
      <c r="W313" s="166"/>
      <c r="X313" s="166"/>
      <c r="Y313" s="166"/>
      <c r="Z313" s="166"/>
    </row>
    <row r="314" spans="1:26" s="167" customFormat="1" ht="16.5" x14ac:dyDescent="0.3">
      <c r="A314" s="92"/>
      <c r="B314" s="188"/>
      <c r="C314" s="185"/>
      <c r="D314" s="120"/>
      <c r="E314" s="92"/>
      <c r="F314" s="92"/>
      <c r="G314" s="112"/>
      <c r="H314" s="93"/>
      <c r="I314" s="93"/>
      <c r="J314" s="63"/>
      <c r="K314" s="80"/>
      <c r="L314" s="165"/>
      <c r="M314" s="166"/>
      <c r="N314" s="166"/>
      <c r="O314" s="166"/>
      <c r="P314" s="166"/>
      <c r="Q314" s="166"/>
      <c r="R314" s="166"/>
      <c r="S314" s="166"/>
      <c r="T314" s="166"/>
      <c r="U314" s="166"/>
      <c r="V314" s="166"/>
      <c r="W314" s="166"/>
      <c r="X314" s="166"/>
      <c r="Y314" s="166"/>
      <c r="Z314" s="166"/>
    </row>
    <row r="315" spans="1:26" s="167" customFormat="1" ht="16.5" x14ac:dyDescent="0.3">
      <c r="A315" s="92"/>
      <c r="B315" s="188"/>
      <c r="C315" s="185"/>
      <c r="D315" s="120"/>
      <c r="E315" s="92"/>
      <c r="F315" s="92"/>
      <c r="G315" s="112"/>
      <c r="H315" s="93"/>
      <c r="I315" s="93"/>
      <c r="J315" s="63"/>
      <c r="K315" s="80"/>
      <c r="L315" s="165"/>
      <c r="M315" s="166"/>
      <c r="N315" s="166"/>
      <c r="O315" s="166"/>
      <c r="P315" s="166"/>
      <c r="Q315" s="166"/>
      <c r="R315" s="166"/>
      <c r="S315" s="166"/>
      <c r="T315" s="166"/>
      <c r="U315" s="166"/>
      <c r="V315" s="166"/>
      <c r="W315" s="166"/>
      <c r="X315" s="166"/>
      <c r="Y315" s="166"/>
      <c r="Z315" s="166"/>
    </row>
    <row r="316" spans="1:26" s="167" customFormat="1" ht="16.5" x14ac:dyDescent="0.3">
      <c r="A316" s="92"/>
      <c r="B316" s="188"/>
      <c r="C316" s="185"/>
      <c r="D316" s="120"/>
      <c r="E316" s="92"/>
      <c r="F316" s="92"/>
      <c r="G316" s="112"/>
      <c r="H316" s="93"/>
      <c r="I316" s="93"/>
      <c r="J316" s="63"/>
      <c r="K316" s="80"/>
      <c r="L316" s="165"/>
      <c r="M316" s="166"/>
      <c r="N316" s="166"/>
      <c r="O316" s="166"/>
      <c r="P316" s="166"/>
      <c r="Q316" s="166"/>
      <c r="R316" s="166"/>
      <c r="S316" s="166"/>
      <c r="T316" s="166"/>
      <c r="U316" s="166"/>
      <c r="V316" s="166"/>
      <c r="W316" s="166"/>
      <c r="X316" s="166"/>
      <c r="Y316" s="166"/>
      <c r="Z316" s="166"/>
    </row>
    <row r="317" spans="1:26" s="167" customFormat="1" ht="16.5" x14ac:dyDescent="0.3">
      <c r="A317" s="92"/>
      <c r="B317" s="188"/>
      <c r="C317" s="185"/>
      <c r="D317" s="120"/>
      <c r="E317" s="92"/>
      <c r="F317" s="92"/>
      <c r="G317" s="112"/>
      <c r="H317" s="93"/>
      <c r="I317" s="93"/>
      <c r="J317" s="63"/>
      <c r="K317" s="80"/>
      <c r="L317" s="165"/>
      <c r="M317" s="166"/>
      <c r="N317" s="166"/>
      <c r="O317" s="166"/>
      <c r="P317" s="166"/>
      <c r="Q317" s="166"/>
      <c r="R317" s="166"/>
      <c r="S317" s="166"/>
      <c r="T317" s="166"/>
      <c r="U317" s="166"/>
      <c r="V317" s="166"/>
      <c r="W317" s="166"/>
      <c r="X317" s="166"/>
      <c r="Y317" s="166"/>
      <c r="Z317" s="166"/>
    </row>
    <row r="318" spans="1:26" s="167" customFormat="1" ht="16.5" x14ac:dyDescent="0.3">
      <c r="A318" s="92"/>
      <c r="B318" s="188"/>
      <c r="C318" s="185"/>
      <c r="D318" s="120"/>
      <c r="E318" s="92"/>
      <c r="F318" s="92"/>
      <c r="G318" s="112"/>
      <c r="H318" s="93"/>
      <c r="I318" s="93"/>
      <c r="J318" s="63"/>
      <c r="K318" s="80"/>
      <c r="L318" s="165"/>
      <c r="M318" s="166"/>
      <c r="N318" s="166"/>
      <c r="O318" s="166"/>
      <c r="P318" s="166"/>
      <c r="Q318" s="166"/>
      <c r="R318" s="166"/>
      <c r="S318" s="166"/>
      <c r="T318" s="166"/>
      <c r="U318" s="166"/>
      <c r="V318" s="166"/>
      <c r="W318" s="166"/>
      <c r="X318" s="166"/>
      <c r="Y318" s="166"/>
      <c r="Z318" s="166"/>
    </row>
    <row r="319" spans="1:26" s="167" customFormat="1" ht="16.5" x14ac:dyDescent="0.3">
      <c r="A319" s="92"/>
      <c r="B319" s="188"/>
      <c r="C319" s="185"/>
      <c r="D319" s="111"/>
      <c r="E319" s="92"/>
      <c r="F319" s="92"/>
      <c r="G319" s="112"/>
      <c r="H319" s="93"/>
      <c r="I319" s="93"/>
      <c r="J319" s="63"/>
      <c r="K319" s="80"/>
      <c r="L319" s="165"/>
      <c r="M319" s="166"/>
      <c r="N319" s="166"/>
      <c r="O319" s="166"/>
      <c r="P319" s="166"/>
      <c r="Q319" s="166"/>
      <c r="R319" s="166"/>
      <c r="S319" s="166"/>
      <c r="T319" s="166"/>
      <c r="U319" s="166"/>
      <c r="V319" s="166"/>
      <c r="W319" s="166"/>
      <c r="X319" s="166"/>
      <c r="Y319" s="166"/>
      <c r="Z319" s="166"/>
    </row>
    <row r="320" spans="1:26" s="167" customFormat="1" ht="16.5" x14ac:dyDescent="0.3">
      <c r="A320" s="92"/>
      <c r="B320" s="188"/>
      <c r="C320" s="185"/>
      <c r="D320" s="120"/>
      <c r="E320" s="92"/>
      <c r="F320" s="92"/>
      <c r="G320" s="112"/>
      <c r="H320" s="93"/>
      <c r="I320" s="93"/>
      <c r="J320" s="63"/>
      <c r="K320" s="80"/>
      <c r="L320" s="165"/>
      <c r="M320" s="166"/>
      <c r="N320" s="166"/>
      <c r="O320" s="166"/>
      <c r="P320" s="166"/>
      <c r="Q320" s="166"/>
      <c r="R320" s="166"/>
      <c r="S320" s="166"/>
      <c r="T320" s="166"/>
      <c r="U320" s="166"/>
      <c r="V320" s="166"/>
      <c r="W320" s="166"/>
      <c r="X320" s="166"/>
      <c r="Y320" s="166"/>
      <c r="Z320" s="166"/>
    </row>
    <row r="321" spans="1:26" s="167" customFormat="1" ht="16.5" x14ac:dyDescent="0.3">
      <c r="A321" s="92"/>
      <c r="B321" s="188"/>
      <c r="C321" s="185"/>
      <c r="D321" s="120"/>
      <c r="E321" s="92"/>
      <c r="F321" s="92"/>
      <c r="G321" s="112"/>
      <c r="H321" s="93"/>
      <c r="I321" s="93"/>
      <c r="J321" s="63"/>
      <c r="K321" s="80"/>
      <c r="L321" s="165"/>
      <c r="M321" s="166"/>
      <c r="N321" s="166"/>
      <c r="O321" s="166"/>
      <c r="P321" s="166"/>
      <c r="Q321" s="166"/>
      <c r="R321" s="166"/>
      <c r="S321" s="166"/>
      <c r="T321" s="166"/>
      <c r="U321" s="166"/>
      <c r="V321" s="166"/>
      <c r="W321" s="166"/>
      <c r="X321" s="166"/>
      <c r="Y321" s="166"/>
      <c r="Z321" s="166"/>
    </row>
    <row r="322" spans="1:26" s="167" customFormat="1" ht="16.5" x14ac:dyDescent="0.3">
      <c r="A322" s="92"/>
      <c r="B322" s="188"/>
      <c r="C322" s="185"/>
      <c r="D322" s="120"/>
      <c r="E322" s="92"/>
      <c r="F322" s="92"/>
      <c r="G322" s="112"/>
      <c r="H322" s="93"/>
      <c r="I322" s="93"/>
      <c r="J322" s="63"/>
      <c r="K322" s="80"/>
      <c r="L322" s="165"/>
      <c r="M322" s="166"/>
      <c r="N322" s="166"/>
      <c r="O322" s="166"/>
      <c r="P322" s="166"/>
      <c r="Q322" s="166"/>
      <c r="R322" s="166"/>
      <c r="S322" s="166"/>
      <c r="T322" s="166"/>
      <c r="U322" s="166"/>
      <c r="V322" s="166"/>
      <c r="W322" s="166"/>
      <c r="X322" s="166"/>
      <c r="Y322" s="166"/>
      <c r="Z322" s="166"/>
    </row>
    <row r="323" spans="1:26" s="167" customFormat="1" ht="16.5" x14ac:dyDescent="0.3">
      <c r="A323" s="92"/>
      <c r="B323" s="188"/>
      <c r="C323" s="185"/>
      <c r="D323" s="120"/>
      <c r="E323" s="92"/>
      <c r="F323" s="92"/>
      <c r="G323" s="112"/>
      <c r="H323" s="93"/>
      <c r="I323" s="93"/>
      <c r="J323" s="63"/>
      <c r="K323" s="80"/>
      <c r="L323" s="165"/>
      <c r="M323" s="166"/>
      <c r="N323" s="166"/>
      <c r="O323" s="166"/>
      <c r="P323" s="166"/>
      <c r="Q323" s="166"/>
      <c r="R323" s="166"/>
      <c r="S323" s="166"/>
      <c r="T323" s="166"/>
      <c r="U323" s="166"/>
      <c r="V323" s="166"/>
      <c r="W323" s="166"/>
      <c r="X323" s="166"/>
      <c r="Y323" s="166"/>
      <c r="Z323" s="166"/>
    </row>
    <row r="324" spans="1:26" s="167" customFormat="1" ht="16.5" x14ac:dyDescent="0.3">
      <c r="A324" s="92"/>
      <c r="B324" s="188"/>
      <c r="C324" s="185"/>
      <c r="D324" s="120"/>
      <c r="E324" s="92"/>
      <c r="F324" s="92"/>
      <c r="G324" s="112"/>
      <c r="H324" s="93"/>
      <c r="I324" s="93"/>
      <c r="J324" s="63"/>
      <c r="K324" s="80"/>
      <c r="L324" s="165"/>
      <c r="M324" s="166"/>
      <c r="N324" s="166"/>
      <c r="O324" s="166"/>
      <c r="P324" s="166"/>
      <c r="Q324" s="166"/>
      <c r="R324" s="166"/>
      <c r="S324" s="166"/>
      <c r="T324" s="166"/>
      <c r="U324" s="166"/>
      <c r="V324" s="166"/>
      <c r="W324" s="166"/>
      <c r="X324" s="166"/>
      <c r="Y324" s="166"/>
      <c r="Z324" s="166"/>
    </row>
    <row r="325" spans="1:26" s="167" customFormat="1" ht="16.5" x14ac:dyDescent="0.3">
      <c r="A325" s="92"/>
      <c r="B325" s="188"/>
      <c r="C325" s="185"/>
      <c r="D325" s="120"/>
      <c r="E325" s="92"/>
      <c r="F325" s="92"/>
      <c r="G325" s="112"/>
      <c r="H325" s="93"/>
      <c r="I325" s="93"/>
      <c r="J325" s="63"/>
      <c r="K325" s="80"/>
      <c r="L325" s="165"/>
      <c r="M325" s="166"/>
      <c r="N325" s="166"/>
      <c r="O325" s="166"/>
      <c r="P325" s="166"/>
      <c r="Q325" s="166"/>
      <c r="R325" s="166"/>
      <c r="S325" s="166"/>
      <c r="T325" s="166"/>
      <c r="U325" s="166"/>
      <c r="V325" s="166"/>
      <c r="W325" s="166"/>
      <c r="X325" s="166"/>
      <c r="Y325" s="166"/>
      <c r="Z325" s="166"/>
    </row>
    <row r="326" spans="1:26" s="167" customFormat="1" ht="16.5" x14ac:dyDescent="0.3">
      <c r="A326" s="92"/>
      <c r="B326" s="188"/>
      <c r="C326" s="185"/>
      <c r="D326" s="120"/>
      <c r="E326" s="92"/>
      <c r="F326" s="92"/>
      <c r="G326" s="112"/>
      <c r="H326" s="93"/>
      <c r="I326" s="93"/>
      <c r="J326" s="63"/>
      <c r="K326" s="80"/>
      <c r="L326" s="165"/>
      <c r="M326" s="166"/>
      <c r="N326" s="166"/>
      <c r="O326" s="166"/>
      <c r="P326" s="166"/>
      <c r="Q326" s="166"/>
      <c r="R326" s="166"/>
      <c r="S326" s="166"/>
      <c r="T326" s="166"/>
      <c r="U326" s="166"/>
      <c r="V326" s="166"/>
      <c r="W326" s="166"/>
      <c r="X326" s="166"/>
      <c r="Y326" s="166"/>
      <c r="Z326" s="166"/>
    </row>
    <row r="327" spans="1:26" s="167" customFormat="1" ht="16.5" x14ac:dyDescent="0.3">
      <c r="A327" s="92"/>
      <c r="B327" s="188"/>
      <c r="C327" s="185"/>
      <c r="D327" s="120"/>
      <c r="E327" s="92"/>
      <c r="F327" s="92"/>
      <c r="G327" s="112"/>
      <c r="H327" s="93"/>
      <c r="I327" s="93"/>
      <c r="J327" s="63"/>
      <c r="K327" s="80"/>
      <c r="L327" s="165"/>
      <c r="M327" s="166"/>
      <c r="N327" s="166"/>
      <c r="O327" s="166"/>
      <c r="P327" s="166"/>
      <c r="Q327" s="166"/>
      <c r="R327" s="166"/>
      <c r="S327" s="166"/>
      <c r="T327" s="166"/>
      <c r="U327" s="166"/>
      <c r="V327" s="166"/>
      <c r="W327" s="166"/>
      <c r="X327" s="166"/>
      <c r="Y327" s="166"/>
      <c r="Z327" s="166"/>
    </row>
    <row r="328" spans="1:26" s="167" customFormat="1" ht="16.5" x14ac:dyDescent="0.3">
      <c r="A328" s="92"/>
      <c r="B328" s="188"/>
      <c r="C328" s="185"/>
      <c r="D328" s="120"/>
      <c r="E328" s="92"/>
      <c r="F328" s="92"/>
      <c r="G328" s="112"/>
      <c r="H328" s="93"/>
      <c r="I328" s="93"/>
      <c r="J328" s="63"/>
      <c r="K328" s="157"/>
      <c r="L328" s="165"/>
      <c r="M328" s="166"/>
      <c r="N328" s="166"/>
      <c r="O328" s="166"/>
      <c r="P328" s="166"/>
      <c r="Q328" s="166"/>
      <c r="R328" s="166"/>
      <c r="S328" s="166"/>
      <c r="T328" s="166"/>
      <c r="U328" s="166"/>
      <c r="V328" s="166"/>
      <c r="W328" s="166"/>
      <c r="X328" s="166"/>
      <c r="Y328" s="166"/>
      <c r="Z328" s="166"/>
    </row>
    <row r="329" spans="1:26" s="167" customFormat="1" ht="16.5" x14ac:dyDescent="0.3">
      <c r="A329" s="92"/>
      <c r="B329" s="188"/>
      <c r="C329" s="185"/>
      <c r="D329" s="120"/>
      <c r="E329" s="92"/>
      <c r="F329" s="92"/>
      <c r="G329" s="112"/>
      <c r="H329" s="93"/>
      <c r="I329" s="93"/>
      <c r="J329" s="63"/>
      <c r="K329" s="80"/>
      <c r="L329" s="165"/>
      <c r="M329" s="166"/>
      <c r="N329" s="166"/>
      <c r="O329" s="166"/>
      <c r="P329" s="166"/>
      <c r="Q329" s="166"/>
      <c r="R329" s="166"/>
      <c r="S329" s="166"/>
      <c r="T329" s="166"/>
      <c r="U329" s="166"/>
      <c r="V329" s="166"/>
      <c r="W329" s="166"/>
      <c r="X329" s="166"/>
      <c r="Y329" s="166"/>
      <c r="Z329" s="166"/>
    </row>
    <row r="330" spans="1:26" s="167" customFormat="1" ht="16.5" x14ac:dyDescent="0.3">
      <c r="A330" s="92"/>
      <c r="B330" s="188"/>
      <c r="C330" s="185"/>
      <c r="D330" s="120"/>
      <c r="E330" s="92"/>
      <c r="F330" s="92"/>
      <c r="G330" s="112"/>
      <c r="H330" s="93"/>
      <c r="I330" s="93"/>
      <c r="J330" s="63"/>
      <c r="K330" s="80"/>
      <c r="L330" s="165"/>
      <c r="M330" s="166"/>
      <c r="N330" s="166"/>
      <c r="O330" s="166"/>
      <c r="P330" s="166"/>
      <c r="Q330" s="166"/>
      <c r="R330" s="166"/>
      <c r="S330" s="166"/>
      <c r="T330" s="166"/>
      <c r="U330" s="166"/>
      <c r="V330" s="166"/>
      <c r="W330" s="166"/>
      <c r="X330" s="166"/>
      <c r="Y330" s="166"/>
      <c r="Z330" s="166"/>
    </row>
    <row r="331" spans="1:26" s="167" customFormat="1" ht="16.5" x14ac:dyDescent="0.3">
      <c r="A331" s="92"/>
      <c r="B331" s="188"/>
      <c r="C331" s="185"/>
      <c r="D331" s="120"/>
      <c r="E331" s="92"/>
      <c r="F331" s="92"/>
      <c r="G331" s="112"/>
      <c r="H331" s="93"/>
      <c r="I331" s="93"/>
      <c r="J331" s="63"/>
      <c r="K331" s="80"/>
      <c r="L331" s="165"/>
      <c r="M331" s="166"/>
      <c r="N331" s="166"/>
      <c r="O331" s="166"/>
      <c r="P331" s="166"/>
      <c r="Q331" s="166"/>
      <c r="R331" s="166"/>
      <c r="S331" s="166"/>
      <c r="T331" s="166"/>
      <c r="U331" s="166"/>
      <c r="V331" s="166"/>
      <c r="W331" s="166"/>
      <c r="X331" s="166"/>
      <c r="Y331" s="166"/>
      <c r="Z331" s="166"/>
    </row>
    <row r="332" spans="1:26" s="167" customFormat="1" ht="16.5" x14ac:dyDescent="0.3">
      <c r="A332" s="92"/>
      <c r="B332" s="188"/>
      <c r="C332" s="185"/>
      <c r="D332" s="120"/>
      <c r="E332" s="92"/>
      <c r="F332" s="92"/>
      <c r="G332" s="112"/>
      <c r="H332" s="93"/>
      <c r="I332" s="93"/>
      <c r="J332" s="63"/>
      <c r="K332" s="80"/>
      <c r="L332" s="165"/>
      <c r="M332" s="166"/>
      <c r="N332" s="166"/>
      <c r="O332" s="166"/>
      <c r="P332" s="166"/>
      <c r="Q332" s="166"/>
      <c r="R332" s="166"/>
      <c r="S332" s="166"/>
      <c r="T332" s="166"/>
      <c r="U332" s="166"/>
      <c r="V332" s="166"/>
      <c r="W332" s="166"/>
      <c r="X332" s="166"/>
      <c r="Y332" s="166"/>
      <c r="Z332" s="166"/>
    </row>
    <row r="333" spans="1:26" s="167" customFormat="1" ht="16.5" x14ac:dyDescent="0.3">
      <c r="A333" s="92"/>
      <c r="B333" s="188"/>
      <c r="C333" s="185"/>
      <c r="D333" s="120"/>
      <c r="E333" s="92"/>
      <c r="F333" s="92"/>
      <c r="G333" s="112"/>
      <c r="H333" s="93"/>
      <c r="I333" s="93"/>
      <c r="J333" s="63"/>
      <c r="K333" s="80"/>
      <c r="L333" s="165"/>
      <c r="M333" s="166"/>
      <c r="N333" s="166"/>
      <c r="O333" s="166"/>
      <c r="P333" s="166"/>
      <c r="Q333" s="166"/>
      <c r="R333" s="166"/>
      <c r="S333" s="166"/>
      <c r="T333" s="166"/>
      <c r="U333" s="166"/>
      <c r="V333" s="166"/>
      <c r="W333" s="166"/>
      <c r="X333" s="166"/>
      <c r="Y333" s="166"/>
      <c r="Z333" s="166"/>
    </row>
    <row r="334" spans="1:26" s="167" customFormat="1" ht="16.5" x14ac:dyDescent="0.3">
      <c r="A334" s="92"/>
      <c r="B334" s="188"/>
      <c r="C334" s="185"/>
      <c r="D334" s="120"/>
      <c r="E334" s="92"/>
      <c r="F334" s="92"/>
      <c r="G334" s="112"/>
      <c r="H334" s="93"/>
      <c r="I334" s="93"/>
      <c r="J334" s="63"/>
      <c r="K334" s="80"/>
      <c r="L334" s="165"/>
      <c r="M334" s="166"/>
      <c r="N334" s="166"/>
      <c r="O334" s="166"/>
      <c r="P334" s="166"/>
      <c r="Q334" s="166"/>
      <c r="R334" s="166"/>
      <c r="S334" s="166"/>
      <c r="T334" s="166"/>
      <c r="U334" s="166"/>
      <c r="V334" s="166"/>
      <c r="W334" s="166"/>
      <c r="X334" s="166"/>
      <c r="Y334" s="166"/>
      <c r="Z334" s="166"/>
    </row>
    <row r="335" spans="1:26" s="167" customFormat="1" ht="16.5" x14ac:dyDescent="0.3">
      <c r="A335" s="92"/>
      <c r="B335" s="188"/>
      <c r="C335" s="185"/>
      <c r="D335" s="120"/>
      <c r="E335" s="92"/>
      <c r="F335" s="92"/>
      <c r="G335" s="112"/>
      <c r="H335" s="93"/>
      <c r="I335" s="93"/>
      <c r="J335" s="63"/>
      <c r="K335" s="80"/>
      <c r="L335" s="165"/>
      <c r="M335" s="166"/>
      <c r="N335" s="166"/>
      <c r="O335" s="166"/>
      <c r="P335" s="166"/>
      <c r="Q335" s="166"/>
      <c r="R335" s="166"/>
      <c r="S335" s="166"/>
      <c r="T335" s="166"/>
      <c r="U335" s="166"/>
      <c r="V335" s="166"/>
      <c r="W335" s="166"/>
      <c r="X335" s="166"/>
      <c r="Y335" s="166"/>
      <c r="Z335" s="166"/>
    </row>
    <row r="336" spans="1:26" s="167" customFormat="1" ht="16.5" x14ac:dyDescent="0.3">
      <c r="A336" s="92"/>
      <c r="B336" s="188"/>
      <c r="C336" s="185"/>
      <c r="D336" s="120"/>
      <c r="E336" s="92"/>
      <c r="F336" s="92"/>
      <c r="G336" s="112"/>
      <c r="H336" s="93"/>
      <c r="I336" s="93"/>
      <c r="J336" s="63"/>
      <c r="K336" s="80"/>
      <c r="L336" s="165"/>
      <c r="M336" s="166"/>
      <c r="N336" s="166"/>
      <c r="O336" s="166"/>
      <c r="P336" s="166"/>
      <c r="Q336" s="166"/>
      <c r="R336" s="166"/>
      <c r="S336" s="166"/>
      <c r="T336" s="166"/>
      <c r="U336" s="166"/>
      <c r="V336" s="166"/>
      <c r="W336" s="166"/>
      <c r="X336" s="166"/>
      <c r="Y336" s="166"/>
      <c r="Z336" s="166"/>
    </row>
    <row r="337" spans="1:26" s="167" customFormat="1" ht="16.5" x14ac:dyDescent="0.3">
      <c r="A337" s="92"/>
      <c r="B337" s="188"/>
      <c r="C337" s="185"/>
      <c r="D337" s="120"/>
      <c r="E337" s="92"/>
      <c r="F337" s="92"/>
      <c r="G337" s="112"/>
      <c r="H337" s="93"/>
      <c r="I337" s="93"/>
      <c r="J337" s="63"/>
      <c r="K337" s="80"/>
      <c r="L337" s="165"/>
      <c r="M337" s="166"/>
      <c r="N337" s="166"/>
      <c r="O337" s="166"/>
      <c r="P337" s="166"/>
      <c r="Q337" s="166"/>
      <c r="R337" s="166"/>
      <c r="S337" s="166"/>
      <c r="T337" s="166"/>
      <c r="U337" s="166"/>
      <c r="V337" s="166"/>
      <c r="W337" s="166"/>
      <c r="X337" s="166"/>
      <c r="Y337" s="166"/>
      <c r="Z337" s="166"/>
    </row>
    <row r="338" spans="1:26" s="167" customFormat="1" ht="16.5" x14ac:dyDescent="0.3">
      <c r="A338" s="92"/>
      <c r="B338" s="188"/>
      <c r="C338" s="185"/>
      <c r="D338" s="120"/>
      <c r="E338" s="92"/>
      <c r="F338" s="92"/>
      <c r="G338" s="112"/>
      <c r="H338" s="93"/>
      <c r="I338" s="93"/>
      <c r="J338" s="63"/>
      <c r="K338" s="80"/>
      <c r="L338" s="165"/>
      <c r="M338" s="166"/>
      <c r="N338" s="166"/>
      <c r="O338" s="166"/>
      <c r="P338" s="166"/>
      <c r="Q338" s="166"/>
      <c r="R338" s="166"/>
      <c r="S338" s="166"/>
      <c r="T338" s="166"/>
      <c r="U338" s="166"/>
      <c r="V338" s="166"/>
      <c r="W338" s="166"/>
      <c r="X338" s="166"/>
      <c r="Y338" s="166"/>
      <c r="Z338" s="166"/>
    </row>
    <row r="339" spans="1:26" s="167" customFormat="1" ht="16.5" x14ac:dyDescent="0.3">
      <c r="A339" s="92"/>
      <c r="B339" s="188"/>
      <c r="C339" s="185"/>
      <c r="D339" s="120"/>
      <c r="E339" s="92"/>
      <c r="F339" s="92"/>
      <c r="G339" s="112"/>
      <c r="H339" s="93"/>
      <c r="I339" s="93"/>
      <c r="J339" s="63"/>
      <c r="K339" s="80"/>
      <c r="L339" s="165"/>
      <c r="M339" s="166"/>
      <c r="N339" s="166"/>
      <c r="O339" s="166"/>
      <c r="P339" s="166"/>
      <c r="Q339" s="166"/>
      <c r="R339" s="166"/>
      <c r="S339" s="166"/>
      <c r="T339" s="166"/>
      <c r="U339" s="166"/>
      <c r="V339" s="166"/>
      <c r="W339" s="166"/>
      <c r="X339" s="166"/>
      <c r="Y339" s="166"/>
      <c r="Z339" s="166"/>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Y225"/>
  <sheetViews>
    <sheetView zoomScaleNormal="100" workbookViewId="0">
      <pane ySplit="2" topLeftCell="A15" activePane="bottomLeft" state="frozen"/>
      <selection pane="bottomLeft" activeCell="D15" sqref="D15"/>
    </sheetView>
  </sheetViews>
  <sheetFormatPr defaultColWidth="24.5703125" defaultRowHeight="13.5" x14ac:dyDescent="0.25"/>
  <cols>
    <col min="1" max="1" width="10.42578125" style="118" bestFit="1" customWidth="1"/>
    <col min="2" max="2" width="13.5703125" style="158" bestFit="1" customWidth="1"/>
    <col min="3" max="3" width="33.5703125" style="118" customWidth="1"/>
    <col min="4" max="4" width="63" style="127" bestFit="1" customWidth="1"/>
    <col min="5" max="5" width="10.42578125" style="116" bestFit="1" customWidth="1"/>
    <col min="6" max="6" width="10.5703125" style="116" bestFit="1" customWidth="1"/>
    <col min="7" max="8" width="17.42578125" style="159" customWidth="1"/>
    <col min="9" max="9" width="23.5703125" style="117" customWidth="1"/>
    <col min="10" max="11" width="24.5703125" style="80" customWidth="1"/>
    <col min="12" max="25" width="24.5703125" style="81" customWidth="1"/>
    <col min="26" max="16384" width="24.5703125" style="82"/>
  </cols>
  <sheetData>
    <row r="1" spans="1:25" s="78" customFormat="1" ht="26.25" x14ac:dyDescent="0.35">
      <c r="A1" s="534" t="s">
        <v>2031</v>
      </c>
      <c r="B1" s="534"/>
      <c r="C1" s="534"/>
      <c r="D1" s="534"/>
      <c r="E1" s="534"/>
      <c r="F1" s="534"/>
      <c r="G1" s="534"/>
      <c r="H1" s="534"/>
      <c r="I1" s="534"/>
      <c r="J1" s="80"/>
      <c r="K1" s="76"/>
      <c r="L1" s="77"/>
      <c r="M1" s="77"/>
      <c r="N1" s="77"/>
      <c r="O1" s="77"/>
      <c r="P1" s="77"/>
      <c r="Q1" s="77"/>
      <c r="R1" s="77"/>
      <c r="S1" s="77"/>
      <c r="T1" s="77"/>
      <c r="U1" s="77"/>
      <c r="V1" s="77"/>
      <c r="W1" s="77"/>
      <c r="X1" s="77"/>
      <c r="Y1" s="77"/>
    </row>
    <row r="2" spans="1:25" s="167" customFormat="1" ht="38.25" x14ac:dyDescent="0.3">
      <c r="A2" s="109" t="s">
        <v>423</v>
      </c>
      <c r="B2" s="180" t="s">
        <v>2148</v>
      </c>
      <c r="C2" s="181" t="s">
        <v>1440</v>
      </c>
      <c r="D2" s="110" t="s">
        <v>426</v>
      </c>
      <c r="E2" s="109" t="s">
        <v>427</v>
      </c>
      <c r="F2" s="109" t="s">
        <v>428</v>
      </c>
      <c r="G2" s="148" t="s">
        <v>223</v>
      </c>
      <c r="H2" s="148" t="s">
        <v>1671</v>
      </c>
      <c r="I2" s="109" t="s">
        <v>452</v>
      </c>
      <c r="J2" s="80"/>
      <c r="K2" s="165"/>
      <c r="L2" s="166"/>
      <c r="M2" s="166"/>
      <c r="N2" s="166"/>
      <c r="O2" s="166"/>
      <c r="P2" s="166"/>
      <c r="Q2" s="166"/>
      <c r="R2" s="166"/>
      <c r="S2" s="166"/>
      <c r="T2" s="166"/>
      <c r="U2" s="166"/>
      <c r="V2" s="166"/>
      <c r="W2" s="166"/>
      <c r="X2" s="166"/>
      <c r="Y2" s="166"/>
    </row>
    <row r="3" spans="1:25" s="167" customFormat="1" ht="27" x14ac:dyDescent="0.3">
      <c r="A3" s="63" t="s">
        <v>2034</v>
      </c>
      <c r="B3" s="182">
        <v>40914</v>
      </c>
      <c r="C3" s="183" t="s">
        <v>2032</v>
      </c>
      <c r="D3" s="111" t="s">
        <v>2033</v>
      </c>
      <c r="E3" s="63" t="s">
        <v>987</v>
      </c>
      <c r="F3" s="63" t="s">
        <v>229</v>
      </c>
      <c r="G3" s="93">
        <v>40928</v>
      </c>
      <c r="H3" s="93" t="s">
        <v>3629</v>
      </c>
      <c r="I3" s="63" t="s">
        <v>2090</v>
      </c>
      <c r="J3" s="80"/>
      <c r="K3" s="165"/>
      <c r="L3" s="166"/>
      <c r="M3" s="166"/>
      <c r="N3" s="166"/>
      <c r="O3" s="166"/>
      <c r="P3" s="166"/>
      <c r="Q3" s="166"/>
      <c r="R3" s="166"/>
      <c r="S3" s="166"/>
      <c r="T3" s="166"/>
      <c r="U3" s="166"/>
      <c r="V3" s="166"/>
      <c r="W3" s="166"/>
      <c r="X3" s="166"/>
      <c r="Y3" s="166"/>
    </row>
    <row r="4" spans="1:25" s="167" customFormat="1" ht="27" x14ac:dyDescent="0.3">
      <c r="A4" s="63" t="s">
        <v>2036</v>
      </c>
      <c r="B4" s="182">
        <v>40556</v>
      </c>
      <c r="C4" s="183" t="s">
        <v>2037</v>
      </c>
      <c r="D4" s="111" t="s">
        <v>2038</v>
      </c>
      <c r="E4" s="63" t="s">
        <v>516</v>
      </c>
      <c r="F4" s="63" t="s">
        <v>794</v>
      </c>
      <c r="G4" s="93">
        <v>40952</v>
      </c>
      <c r="H4" s="93">
        <v>41176</v>
      </c>
      <c r="I4" s="63" t="s">
        <v>798</v>
      </c>
      <c r="J4" s="80"/>
      <c r="K4" s="165"/>
      <c r="L4" s="166"/>
      <c r="M4" s="166"/>
      <c r="N4" s="166"/>
      <c r="O4" s="166"/>
      <c r="P4" s="166"/>
      <c r="Q4" s="166"/>
      <c r="R4" s="166"/>
      <c r="S4" s="166"/>
      <c r="T4" s="166"/>
      <c r="U4" s="166"/>
      <c r="V4" s="166"/>
      <c r="W4" s="166"/>
      <c r="X4" s="166"/>
      <c r="Y4" s="166"/>
    </row>
    <row r="5" spans="1:25" s="167" customFormat="1" ht="27" x14ac:dyDescent="0.3">
      <c r="A5" s="63" t="s">
        <v>2039</v>
      </c>
      <c r="B5" s="182">
        <v>40556</v>
      </c>
      <c r="C5" s="184" t="s">
        <v>2040</v>
      </c>
      <c r="D5" s="111" t="s">
        <v>2041</v>
      </c>
      <c r="E5" s="63" t="s">
        <v>516</v>
      </c>
      <c r="F5" s="63" t="s">
        <v>794</v>
      </c>
      <c r="G5" s="93">
        <v>40952</v>
      </c>
      <c r="H5" s="93">
        <v>40945</v>
      </c>
      <c r="I5" s="63" t="s">
        <v>798</v>
      </c>
      <c r="J5" s="80"/>
      <c r="K5" s="165"/>
      <c r="L5" s="166"/>
      <c r="M5" s="166"/>
      <c r="N5" s="166"/>
      <c r="O5" s="166"/>
      <c r="P5" s="166"/>
      <c r="Q5" s="166"/>
      <c r="R5" s="166"/>
      <c r="S5" s="166"/>
      <c r="T5" s="166"/>
      <c r="U5" s="166"/>
      <c r="V5" s="166"/>
      <c r="W5" s="166"/>
      <c r="X5" s="166"/>
      <c r="Y5" s="166"/>
    </row>
    <row r="6" spans="1:25" s="167" customFormat="1" ht="16.5" x14ac:dyDescent="0.3">
      <c r="A6" s="63" t="s">
        <v>2043</v>
      </c>
      <c r="B6" s="182">
        <v>40938</v>
      </c>
      <c r="C6" s="185" t="s">
        <v>2044</v>
      </c>
      <c r="D6" s="111" t="s">
        <v>2045</v>
      </c>
      <c r="E6" s="63" t="s">
        <v>999</v>
      </c>
      <c r="F6" s="63" t="s">
        <v>229</v>
      </c>
      <c r="G6" s="93">
        <v>40942</v>
      </c>
      <c r="H6" s="93">
        <v>40939</v>
      </c>
      <c r="I6" s="63" t="s">
        <v>798</v>
      </c>
      <c r="J6" s="80"/>
      <c r="K6" s="165"/>
      <c r="L6" s="166"/>
      <c r="M6" s="166"/>
      <c r="N6" s="166"/>
      <c r="O6" s="166"/>
      <c r="P6" s="166"/>
      <c r="Q6" s="166"/>
      <c r="R6" s="166"/>
      <c r="S6" s="166"/>
      <c r="T6" s="166"/>
      <c r="U6" s="166"/>
      <c r="V6" s="166"/>
      <c r="W6" s="166"/>
      <c r="X6" s="166"/>
      <c r="Y6" s="166"/>
    </row>
    <row r="7" spans="1:25" s="167" customFormat="1" ht="27" x14ac:dyDescent="0.3">
      <c r="A7" s="63" t="s">
        <v>2046</v>
      </c>
      <c r="B7" s="182">
        <v>40945</v>
      </c>
      <c r="C7" s="183" t="s">
        <v>209</v>
      </c>
      <c r="D7" s="111" t="s">
        <v>2047</v>
      </c>
      <c r="E7" s="63" t="s">
        <v>516</v>
      </c>
      <c r="F7" s="63" t="s">
        <v>794</v>
      </c>
      <c r="G7" s="93">
        <v>40973</v>
      </c>
      <c r="H7" s="93">
        <v>41716</v>
      </c>
      <c r="I7" s="63" t="s">
        <v>1056</v>
      </c>
      <c r="J7" s="80"/>
      <c r="K7" s="165"/>
      <c r="L7" s="166"/>
      <c r="M7" s="166"/>
      <c r="N7" s="166"/>
      <c r="O7" s="166"/>
      <c r="P7" s="166"/>
      <c r="Q7" s="166"/>
      <c r="R7" s="166"/>
      <c r="S7" s="166"/>
      <c r="T7" s="166"/>
      <c r="U7" s="166"/>
      <c r="V7" s="166"/>
      <c r="W7" s="166"/>
      <c r="X7" s="166"/>
      <c r="Y7" s="166"/>
    </row>
    <row r="8" spans="1:25" s="167" customFormat="1" ht="40.5" x14ac:dyDescent="0.3">
      <c r="A8" s="63" t="s">
        <v>2049</v>
      </c>
      <c r="B8" s="182">
        <v>40945</v>
      </c>
      <c r="C8" s="183" t="s">
        <v>2050</v>
      </c>
      <c r="D8" s="111" t="s">
        <v>2995</v>
      </c>
      <c r="E8" s="63" t="s">
        <v>685</v>
      </c>
      <c r="F8" s="63" t="s">
        <v>794</v>
      </c>
      <c r="G8" s="93">
        <v>40974</v>
      </c>
      <c r="H8" s="93">
        <v>41635</v>
      </c>
      <c r="I8" s="63" t="s">
        <v>798</v>
      </c>
      <c r="J8" s="80"/>
      <c r="K8" s="165"/>
      <c r="L8" s="166"/>
      <c r="M8" s="166"/>
      <c r="N8" s="166"/>
      <c r="O8" s="166"/>
      <c r="P8" s="166"/>
      <c r="Q8" s="166"/>
      <c r="R8" s="166"/>
      <c r="S8" s="166"/>
      <c r="T8" s="166"/>
      <c r="U8" s="166"/>
      <c r="V8" s="166"/>
      <c r="W8" s="166"/>
      <c r="X8" s="166"/>
      <c r="Y8" s="166"/>
    </row>
    <row r="9" spans="1:25" s="167" customFormat="1" ht="27" x14ac:dyDescent="0.3">
      <c r="A9" s="63" t="s">
        <v>2051</v>
      </c>
      <c r="B9" s="182">
        <v>40946</v>
      </c>
      <c r="C9" s="183" t="s">
        <v>2054</v>
      </c>
      <c r="D9" s="111" t="s">
        <v>2052</v>
      </c>
      <c r="E9" s="63" t="s">
        <v>999</v>
      </c>
      <c r="F9" s="63" t="s">
        <v>229</v>
      </c>
      <c r="G9" s="93">
        <v>40968</v>
      </c>
      <c r="H9" s="93">
        <v>40946</v>
      </c>
      <c r="I9" s="63" t="s">
        <v>798</v>
      </c>
      <c r="J9" s="80"/>
      <c r="K9" s="165"/>
      <c r="L9" s="166"/>
      <c r="M9" s="166"/>
      <c r="N9" s="166"/>
      <c r="O9" s="166"/>
      <c r="P9" s="166"/>
      <c r="Q9" s="166"/>
      <c r="R9" s="166"/>
      <c r="S9" s="166"/>
      <c r="T9" s="166"/>
      <c r="U9" s="166"/>
      <c r="V9" s="166"/>
      <c r="W9" s="166"/>
      <c r="X9" s="166"/>
      <c r="Y9" s="166"/>
    </row>
    <row r="10" spans="1:25" s="167" customFormat="1" ht="27" x14ac:dyDescent="0.3">
      <c r="A10" s="63" t="s">
        <v>2053</v>
      </c>
      <c r="B10" s="182">
        <v>40946</v>
      </c>
      <c r="C10" s="183" t="s">
        <v>2055</v>
      </c>
      <c r="D10" s="111" t="s">
        <v>2052</v>
      </c>
      <c r="E10" s="63" t="s">
        <v>999</v>
      </c>
      <c r="F10" s="63" t="s">
        <v>229</v>
      </c>
      <c r="G10" s="93">
        <v>40968</v>
      </c>
      <c r="H10" s="93">
        <v>40946</v>
      </c>
      <c r="I10" s="63" t="s">
        <v>798</v>
      </c>
      <c r="J10" s="212"/>
      <c r="K10" s="165"/>
      <c r="L10" s="166"/>
      <c r="M10" s="166"/>
      <c r="N10" s="166"/>
      <c r="O10" s="166"/>
      <c r="P10" s="166"/>
      <c r="Q10" s="166"/>
      <c r="R10" s="166"/>
      <c r="S10" s="166"/>
      <c r="T10" s="166"/>
      <c r="U10" s="166"/>
      <c r="V10" s="166"/>
      <c r="W10" s="166"/>
      <c r="X10" s="166"/>
      <c r="Y10" s="166"/>
    </row>
    <row r="11" spans="1:25" s="167" customFormat="1" ht="27" x14ac:dyDescent="0.3">
      <c r="A11" s="63" t="s">
        <v>2056</v>
      </c>
      <c r="B11" s="182">
        <v>40948</v>
      </c>
      <c r="C11" s="183" t="s">
        <v>1320</v>
      </c>
      <c r="D11" s="111" t="s">
        <v>2057</v>
      </c>
      <c r="E11" s="63" t="s">
        <v>2058</v>
      </c>
      <c r="F11" s="63" t="s">
        <v>794</v>
      </c>
      <c r="G11" s="93">
        <v>40997</v>
      </c>
      <c r="H11" s="93">
        <v>41190</v>
      </c>
      <c r="I11" s="63" t="s">
        <v>798</v>
      </c>
      <c r="J11" s="80"/>
      <c r="K11" s="165"/>
      <c r="L11" s="166"/>
      <c r="M11" s="166"/>
      <c r="N11" s="166"/>
      <c r="O11" s="166"/>
      <c r="P11" s="166"/>
      <c r="Q11" s="166"/>
      <c r="R11" s="166"/>
      <c r="S11" s="166"/>
      <c r="T11" s="166"/>
      <c r="U11" s="166"/>
      <c r="V11" s="166"/>
      <c r="W11" s="166"/>
      <c r="X11" s="166"/>
      <c r="Y11" s="166"/>
    </row>
    <row r="12" spans="1:25" s="167" customFormat="1" ht="40.5" x14ac:dyDescent="0.3">
      <c r="A12" s="63" t="s">
        <v>2059</v>
      </c>
      <c r="B12" s="182">
        <v>40949</v>
      </c>
      <c r="C12" s="183" t="s">
        <v>2098</v>
      </c>
      <c r="D12" s="111" t="s">
        <v>2060</v>
      </c>
      <c r="E12" s="63" t="s">
        <v>1351</v>
      </c>
      <c r="F12" s="63" t="s">
        <v>229</v>
      </c>
      <c r="G12" s="93">
        <v>40968</v>
      </c>
      <c r="H12" s="93">
        <v>41024</v>
      </c>
      <c r="I12" s="63" t="s">
        <v>2151</v>
      </c>
      <c r="J12" s="80"/>
      <c r="K12" s="165"/>
      <c r="L12" s="166"/>
      <c r="M12" s="166"/>
      <c r="N12" s="166"/>
      <c r="O12" s="166"/>
      <c r="P12" s="166"/>
      <c r="Q12" s="166"/>
      <c r="R12" s="166"/>
      <c r="S12" s="166"/>
      <c r="T12" s="166"/>
      <c r="U12" s="166"/>
      <c r="V12" s="166"/>
      <c r="W12" s="166"/>
      <c r="X12" s="166"/>
      <c r="Y12" s="166"/>
    </row>
    <row r="13" spans="1:25" s="168" customFormat="1" ht="16.5" x14ac:dyDescent="0.3">
      <c r="A13" s="63" t="s">
        <v>2061</v>
      </c>
      <c r="B13" s="186">
        <v>40953</v>
      </c>
      <c r="C13" s="187" t="s">
        <v>2130</v>
      </c>
      <c r="D13" s="111" t="s">
        <v>2129</v>
      </c>
      <c r="E13" s="63" t="s">
        <v>237</v>
      </c>
      <c r="F13" s="63" t="s">
        <v>794</v>
      </c>
      <c r="G13" s="93">
        <v>40982</v>
      </c>
      <c r="H13" s="93">
        <v>40998</v>
      </c>
      <c r="I13" s="63" t="s">
        <v>798</v>
      </c>
      <c r="J13" s="80"/>
      <c r="K13" s="165"/>
      <c r="L13" s="165"/>
      <c r="M13" s="165"/>
      <c r="N13" s="165"/>
      <c r="O13" s="165"/>
      <c r="P13" s="165"/>
      <c r="Q13" s="165"/>
      <c r="R13" s="165"/>
      <c r="S13" s="165"/>
      <c r="T13" s="165"/>
      <c r="U13" s="165"/>
      <c r="V13" s="165"/>
      <c r="W13" s="165"/>
      <c r="X13" s="165"/>
      <c r="Y13" s="165"/>
    </row>
    <row r="14" spans="1:25" s="167" customFormat="1" ht="40.5" x14ac:dyDescent="0.3">
      <c r="A14" s="63" t="s">
        <v>2062</v>
      </c>
      <c r="B14" s="182">
        <v>40961</v>
      </c>
      <c r="C14" s="183" t="s">
        <v>1716</v>
      </c>
      <c r="D14" s="111" t="s">
        <v>2063</v>
      </c>
      <c r="E14" s="63" t="s">
        <v>727</v>
      </c>
      <c r="F14" s="63" t="s">
        <v>794</v>
      </c>
      <c r="G14" s="93">
        <v>40990</v>
      </c>
      <c r="H14" s="93">
        <v>41397</v>
      </c>
      <c r="I14" s="63" t="s">
        <v>798</v>
      </c>
      <c r="J14" s="80"/>
      <c r="K14" s="165"/>
      <c r="L14" s="166"/>
      <c r="M14" s="166"/>
      <c r="N14" s="166"/>
      <c r="O14" s="166"/>
      <c r="P14" s="166"/>
      <c r="Q14" s="166"/>
      <c r="R14" s="166"/>
      <c r="S14" s="166"/>
      <c r="T14" s="166"/>
      <c r="U14" s="166"/>
      <c r="V14" s="166"/>
      <c r="W14" s="166"/>
      <c r="X14" s="166"/>
      <c r="Y14" s="166"/>
    </row>
    <row r="15" spans="1:25" s="167" customFormat="1" ht="16.5" x14ac:dyDescent="0.3">
      <c r="A15" s="63" t="s">
        <v>2064</v>
      </c>
      <c r="B15" s="182">
        <v>40962</v>
      </c>
      <c r="C15" s="183" t="s">
        <v>2065</v>
      </c>
      <c r="D15" s="111" t="s">
        <v>2066</v>
      </c>
      <c r="E15" s="63" t="s">
        <v>2067</v>
      </c>
      <c r="F15" s="63" t="s">
        <v>229</v>
      </c>
      <c r="G15" s="93">
        <v>40977</v>
      </c>
      <c r="H15" s="93">
        <v>40998</v>
      </c>
      <c r="I15" s="63" t="s">
        <v>798</v>
      </c>
      <c r="J15" s="80"/>
      <c r="K15" s="165"/>
      <c r="L15" s="166"/>
      <c r="M15" s="166"/>
      <c r="N15" s="166"/>
      <c r="O15" s="166"/>
      <c r="P15" s="166"/>
      <c r="Q15" s="166"/>
      <c r="R15" s="166"/>
      <c r="S15" s="166"/>
      <c r="T15" s="166"/>
      <c r="U15" s="166"/>
      <c r="V15" s="166"/>
      <c r="W15" s="166"/>
      <c r="X15" s="166"/>
      <c r="Y15" s="166"/>
    </row>
    <row r="16" spans="1:25" s="167" customFormat="1" ht="27" x14ac:dyDescent="0.3">
      <c r="A16" s="63" t="s">
        <v>2068</v>
      </c>
      <c r="B16" s="182">
        <v>40973</v>
      </c>
      <c r="C16" s="184" t="s">
        <v>865</v>
      </c>
      <c r="D16" s="120" t="s">
        <v>2069</v>
      </c>
      <c r="E16" s="63" t="s">
        <v>237</v>
      </c>
      <c r="F16" s="63" t="s">
        <v>794</v>
      </c>
      <c r="G16" s="93">
        <v>40929</v>
      </c>
      <c r="H16" s="93">
        <v>41127</v>
      </c>
      <c r="I16" s="63" t="s">
        <v>798</v>
      </c>
      <c r="J16" s="80"/>
      <c r="K16" s="165"/>
      <c r="L16" s="166"/>
      <c r="M16" s="166"/>
      <c r="N16" s="166"/>
      <c r="O16" s="166"/>
      <c r="P16" s="166"/>
      <c r="Q16" s="166"/>
      <c r="R16" s="166"/>
      <c r="S16" s="166"/>
      <c r="T16" s="166"/>
      <c r="U16" s="166"/>
      <c r="V16" s="166"/>
      <c r="W16" s="166"/>
      <c r="X16" s="166"/>
      <c r="Y16" s="166"/>
    </row>
    <row r="17" spans="1:25" s="167" customFormat="1" ht="27" x14ac:dyDescent="0.3">
      <c r="A17" s="63" t="s">
        <v>2071</v>
      </c>
      <c r="B17" s="182">
        <v>40974</v>
      </c>
      <c r="C17" s="183" t="s">
        <v>2070</v>
      </c>
      <c r="D17" s="111" t="s">
        <v>2075</v>
      </c>
      <c r="E17" s="63" t="s">
        <v>685</v>
      </c>
      <c r="F17" s="63" t="s">
        <v>794</v>
      </c>
      <c r="G17" s="93">
        <v>41004</v>
      </c>
      <c r="H17" s="93">
        <v>41270</v>
      </c>
      <c r="I17" s="63" t="s">
        <v>993</v>
      </c>
      <c r="J17" s="80"/>
      <c r="K17" s="165"/>
      <c r="L17" s="166"/>
      <c r="M17" s="166"/>
      <c r="N17" s="166"/>
      <c r="O17" s="166"/>
      <c r="P17" s="166"/>
      <c r="Q17" s="166"/>
      <c r="R17" s="166"/>
      <c r="S17" s="166"/>
      <c r="T17" s="166"/>
      <c r="U17" s="166"/>
      <c r="V17" s="166"/>
      <c r="W17" s="166"/>
      <c r="X17" s="166"/>
      <c r="Y17" s="166"/>
    </row>
    <row r="18" spans="1:25" s="167" customFormat="1" ht="16.5" x14ac:dyDescent="0.3">
      <c r="A18" s="63" t="s">
        <v>2072</v>
      </c>
      <c r="B18" s="182">
        <v>40976</v>
      </c>
      <c r="C18" s="183" t="s">
        <v>2073</v>
      </c>
      <c r="D18" s="111" t="s">
        <v>2076</v>
      </c>
      <c r="E18" s="63" t="s">
        <v>685</v>
      </c>
      <c r="F18" s="63" t="s">
        <v>794</v>
      </c>
      <c r="G18" s="93">
        <v>41007</v>
      </c>
      <c r="H18" s="93">
        <v>41271</v>
      </c>
      <c r="I18" s="63" t="s">
        <v>993</v>
      </c>
      <c r="J18" s="80"/>
      <c r="K18" s="165"/>
      <c r="L18" s="166"/>
      <c r="M18" s="166"/>
      <c r="N18" s="166"/>
      <c r="O18" s="166"/>
      <c r="P18" s="166"/>
      <c r="Q18" s="166"/>
      <c r="R18" s="166"/>
      <c r="S18" s="166"/>
      <c r="T18" s="166"/>
      <c r="U18" s="166"/>
      <c r="V18" s="166"/>
      <c r="W18" s="166"/>
      <c r="X18" s="166"/>
      <c r="Y18" s="166"/>
    </row>
    <row r="19" spans="1:25" s="167" customFormat="1" ht="27" x14ac:dyDescent="0.3">
      <c r="A19" s="63" t="s">
        <v>2074</v>
      </c>
      <c r="B19" s="182">
        <v>40976</v>
      </c>
      <c r="C19" s="183" t="s">
        <v>1966</v>
      </c>
      <c r="D19" s="111" t="s">
        <v>2077</v>
      </c>
      <c r="E19" s="63" t="s">
        <v>685</v>
      </c>
      <c r="F19" s="63" t="s">
        <v>794</v>
      </c>
      <c r="G19" s="93">
        <v>41007</v>
      </c>
      <c r="H19" s="93">
        <v>41297</v>
      </c>
      <c r="I19" s="63" t="s">
        <v>798</v>
      </c>
      <c r="J19" s="80"/>
      <c r="K19" s="165"/>
      <c r="L19" s="166"/>
      <c r="M19" s="166"/>
      <c r="N19" s="166"/>
      <c r="O19" s="166"/>
      <c r="P19" s="166"/>
      <c r="Q19" s="166"/>
      <c r="R19" s="166"/>
      <c r="S19" s="166"/>
      <c r="T19" s="166"/>
      <c r="U19" s="166"/>
      <c r="V19" s="166"/>
      <c r="W19" s="166"/>
      <c r="X19" s="166"/>
      <c r="Y19" s="166"/>
    </row>
    <row r="20" spans="1:25" s="166" customFormat="1" ht="16.5" x14ac:dyDescent="0.3">
      <c r="A20" s="63" t="s">
        <v>2078</v>
      </c>
      <c r="B20" s="182">
        <v>40976</v>
      </c>
      <c r="C20" s="183" t="s">
        <v>2079</v>
      </c>
      <c r="D20" s="111" t="s">
        <v>2080</v>
      </c>
      <c r="E20" s="63" t="s">
        <v>685</v>
      </c>
      <c r="F20" s="63" t="s">
        <v>794</v>
      </c>
      <c r="G20" s="93">
        <v>41007</v>
      </c>
      <c r="H20" s="112">
        <v>41221</v>
      </c>
      <c r="I20" s="92" t="s">
        <v>1056</v>
      </c>
      <c r="J20" s="80"/>
      <c r="K20" s="165"/>
    </row>
    <row r="21" spans="1:25" s="167" customFormat="1" ht="16.5" x14ac:dyDescent="0.3">
      <c r="A21" s="63" t="s">
        <v>2082</v>
      </c>
      <c r="B21" s="182">
        <v>40976</v>
      </c>
      <c r="C21" s="183" t="s">
        <v>2127</v>
      </c>
      <c r="D21" s="111" t="s">
        <v>2081</v>
      </c>
      <c r="E21" s="63" t="s">
        <v>685</v>
      </c>
      <c r="F21" s="63" t="s">
        <v>794</v>
      </c>
      <c r="G21" s="93">
        <v>41007</v>
      </c>
      <c r="H21" s="93">
        <v>41221</v>
      </c>
      <c r="I21" s="63" t="s">
        <v>1056</v>
      </c>
      <c r="J21" s="80"/>
      <c r="K21" s="165"/>
      <c r="L21" s="166"/>
      <c r="M21" s="166"/>
      <c r="N21" s="166"/>
      <c r="O21" s="166"/>
      <c r="P21" s="166"/>
      <c r="Q21" s="166"/>
      <c r="R21" s="166"/>
      <c r="S21" s="166"/>
      <c r="T21" s="166"/>
      <c r="U21" s="166"/>
      <c r="V21" s="166"/>
      <c r="W21" s="166"/>
      <c r="X21" s="166"/>
      <c r="Y21" s="166"/>
    </row>
    <row r="22" spans="1:25" s="167" customFormat="1" ht="40.5" x14ac:dyDescent="0.3">
      <c r="A22" s="63" t="s">
        <v>2083</v>
      </c>
      <c r="B22" s="182">
        <v>40980</v>
      </c>
      <c r="C22" s="183" t="s">
        <v>2084</v>
      </c>
      <c r="D22" s="111" t="s">
        <v>2089</v>
      </c>
      <c r="E22" s="63" t="s">
        <v>2067</v>
      </c>
      <c r="F22" s="63" t="s">
        <v>229</v>
      </c>
      <c r="G22" s="93">
        <v>41011</v>
      </c>
      <c r="H22" s="93" t="s">
        <v>2088</v>
      </c>
      <c r="I22" s="63" t="s">
        <v>2164</v>
      </c>
      <c r="J22" s="80"/>
      <c r="K22" s="165"/>
      <c r="L22" s="166"/>
      <c r="M22" s="166"/>
      <c r="N22" s="166"/>
      <c r="O22" s="166"/>
      <c r="P22" s="166"/>
      <c r="Q22" s="166"/>
      <c r="R22" s="166"/>
      <c r="S22" s="166"/>
      <c r="T22" s="166"/>
      <c r="U22" s="166"/>
      <c r="V22" s="166"/>
      <c r="W22" s="166"/>
      <c r="X22" s="166"/>
      <c r="Y22" s="166"/>
    </row>
    <row r="23" spans="1:25" s="167" customFormat="1" ht="16.5" x14ac:dyDescent="0.3">
      <c r="A23" s="63" t="s">
        <v>2085</v>
      </c>
      <c r="B23" s="182">
        <v>40981</v>
      </c>
      <c r="C23" s="183" t="s">
        <v>2086</v>
      </c>
      <c r="D23" s="111" t="s">
        <v>2087</v>
      </c>
      <c r="E23" s="63" t="s">
        <v>999</v>
      </c>
      <c r="F23" s="63" t="s">
        <v>229</v>
      </c>
      <c r="G23" s="93">
        <v>40999</v>
      </c>
      <c r="H23" s="93">
        <v>40981</v>
      </c>
      <c r="I23" s="63" t="s">
        <v>798</v>
      </c>
      <c r="J23" s="179"/>
      <c r="K23" s="165"/>
      <c r="L23" s="166"/>
      <c r="M23" s="166"/>
      <c r="N23" s="166"/>
      <c r="O23" s="166"/>
      <c r="P23" s="166"/>
      <c r="Q23" s="166"/>
      <c r="R23" s="166"/>
      <c r="S23" s="166"/>
      <c r="T23" s="166"/>
      <c r="U23" s="166"/>
      <c r="V23" s="166"/>
      <c r="W23" s="166"/>
      <c r="X23" s="166"/>
      <c r="Y23" s="166"/>
    </row>
    <row r="24" spans="1:25" s="167" customFormat="1" ht="40.5" x14ac:dyDescent="0.3">
      <c r="A24" s="63" t="s">
        <v>2093</v>
      </c>
      <c r="B24" s="182">
        <v>40983</v>
      </c>
      <c r="C24" s="183" t="s">
        <v>2094</v>
      </c>
      <c r="D24" s="111" t="s">
        <v>2095</v>
      </c>
      <c r="E24" s="63" t="s">
        <v>516</v>
      </c>
      <c r="F24" s="63" t="s">
        <v>229</v>
      </c>
      <c r="G24" s="93">
        <v>41014</v>
      </c>
      <c r="H24" s="93">
        <v>41087</v>
      </c>
      <c r="I24" s="63" t="s">
        <v>2206</v>
      </c>
      <c r="J24" s="80"/>
      <c r="K24" s="165"/>
      <c r="L24" s="166"/>
      <c r="M24" s="166"/>
      <c r="N24" s="166"/>
      <c r="O24" s="166"/>
      <c r="P24" s="166"/>
      <c r="Q24" s="166"/>
      <c r="R24" s="166"/>
      <c r="S24" s="166"/>
      <c r="T24" s="166"/>
      <c r="U24" s="166"/>
      <c r="V24" s="166"/>
      <c r="W24" s="166"/>
      <c r="X24" s="166"/>
      <c r="Y24" s="166"/>
    </row>
    <row r="25" spans="1:25" s="167" customFormat="1" ht="16.5" x14ac:dyDescent="0.3">
      <c r="A25" s="63" t="s">
        <v>2096</v>
      </c>
      <c r="B25" s="182">
        <v>40988</v>
      </c>
      <c r="C25" s="183" t="s">
        <v>2097</v>
      </c>
      <c r="D25" s="111" t="s">
        <v>2099</v>
      </c>
      <c r="E25" s="63" t="s">
        <v>1017</v>
      </c>
      <c r="F25" s="63" t="s">
        <v>229</v>
      </c>
      <c r="G25" s="93">
        <v>41019</v>
      </c>
      <c r="H25" s="93">
        <v>41004</v>
      </c>
      <c r="I25" s="63" t="s">
        <v>798</v>
      </c>
      <c r="J25" s="80"/>
      <c r="K25" s="165"/>
      <c r="L25" s="166"/>
      <c r="M25" s="166"/>
      <c r="N25" s="166"/>
      <c r="O25" s="166"/>
      <c r="P25" s="166"/>
      <c r="Q25" s="166"/>
      <c r="R25" s="166"/>
      <c r="S25" s="166"/>
      <c r="T25" s="166"/>
      <c r="U25" s="166"/>
      <c r="V25" s="166"/>
      <c r="W25" s="166"/>
      <c r="X25" s="166"/>
      <c r="Y25" s="166"/>
    </row>
    <row r="26" spans="1:25" s="167" customFormat="1" ht="27" x14ac:dyDescent="0.3">
      <c r="A26" s="92" t="s">
        <v>2100</v>
      </c>
      <c r="B26" s="188">
        <v>40988</v>
      </c>
      <c r="C26" s="185" t="s">
        <v>2101</v>
      </c>
      <c r="D26" s="120" t="s">
        <v>2102</v>
      </c>
      <c r="E26" s="92" t="s">
        <v>2067</v>
      </c>
      <c r="F26" s="92" t="s">
        <v>229</v>
      </c>
      <c r="G26" s="112">
        <v>40999</v>
      </c>
      <c r="H26" s="112">
        <v>40988</v>
      </c>
      <c r="I26" s="63" t="s">
        <v>798</v>
      </c>
      <c r="J26" s="80"/>
      <c r="K26" s="165"/>
      <c r="L26" s="166"/>
      <c r="M26" s="166"/>
      <c r="N26" s="166"/>
      <c r="O26" s="166"/>
      <c r="P26" s="166"/>
      <c r="Q26" s="166"/>
      <c r="R26" s="166"/>
      <c r="S26" s="166"/>
      <c r="T26" s="166"/>
      <c r="U26" s="166"/>
      <c r="V26" s="166"/>
      <c r="W26" s="166"/>
      <c r="X26" s="166"/>
      <c r="Y26" s="166"/>
    </row>
    <row r="27" spans="1:25" s="167" customFormat="1" ht="27" x14ac:dyDescent="0.3">
      <c r="A27" s="63" t="s">
        <v>2103</v>
      </c>
      <c r="B27" s="182">
        <v>40991</v>
      </c>
      <c r="C27" s="183" t="s">
        <v>2104</v>
      </c>
      <c r="D27" s="111" t="s">
        <v>2105</v>
      </c>
      <c r="E27" s="63" t="s">
        <v>2106</v>
      </c>
      <c r="F27" s="63" t="s">
        <v>229</v>
      </c>
      <c r="G27" s="93">
        <v>40999</v>
      </c>
      <c r="H27" s="93">
        <v>40994</v>
      </c>
      <c r="I27" s="63" t="s">
        <v>798</v>
      </c>
      <c r="J27" s="80"/>
      <c r="K27" s="165"/>
      <c r="L27" s="166"/>
      <c r="M27" s="166"/>
      <c r="N27" s="166"/>
      <c r="O27" s="166"/>
      <c r="P27" s="166"/>
      <c r="Q27" s="166"/>
      <c r="R27" s="166"/>
      <c r="S27" s="166"/>
      <c r="T27" s="166"/>
      <c r="U27" s="166"/>
      <c r="V27" s="166"/>
      <c r="W27" s="166"/>
      <c r="X27" s="166"/>
      <c r="Y27" s="166"/>
    </row>
    <row r="28" spans="1:25" s="167" customFormat="1" ht="40.5" x14ac:dyDescent="0.3">
      <c r="A28" s="63" t="s">
        <v>2107</v>
      </c>
      <c r="B28" s="182">
        <v>40994</v>
      </c>
      <c r="C28" s="183" t="s">
        <v>2108</v>
      </c>
      <c r="D28" s="111" t="s">
        <v>2109</v>
      </c>
      <c r="E28" s="63" t="s">
        <v>516</v>
      </c>
      <c r="F28" s="63" t="s">
        <v>794</v>
      </c>
      <c r="G28" s="93">
        <v>41022</v>
      </c>
      <c r="H28" s="93">
        <v>41086</v>
      </c>
      <c r="I28" s="63" t="s">
        <v>798</v>
      </c>
      <c r="J28" s="80"/>
      <c r="K28" s="165"/>
      <c r="L28" s="166"/>
      <c r="M28" s="166"/>
      <c r="N28" s="166"/>
      <c r="O28" s="166"/>
      <c r="P28" s="166"/>
      <c r="Q28" s="166"/>
      <c r="R28" s="166"/>
      <c r="S28" s="166"/>
      <c r="T28" s="166"/>
      <c r="U28" s="166"/>
      <c r="V28" s="166"/>
      <c r="W28" s="166"/>
      <c r="X28" s="166"/>
      <c r="Y28" s="166"/>
    </row>
    <row r="29" spans="1:25" s="167" customFormat="1" ht="16.5" x14ac:dyDescent="0.3">
      <c r="A29" s="63" t="s">
        <v>2110</v>
      </c>
      <c r="B29" s="182">
        <v>40994</v>
      </c>
      <c r="C29" s="184" t="s">
        <v>2111</v>
      </c>
      <c r="D29" s="122" t="s">
        <v>2112</v>
      </c>
      <c r="E29" s="63" t="s">
        <v>516</v>
      </c>
      <c r="F29" s="63" t="s">
        <v>794</v>
      </c>
      <c r="G29" s="93">
        <v>41022</v>
      </c>
      <c r="H29" s="93">
        <v>41086</v>
      </c>
      <c r="I29" s="63" t="s">
        <v>798</v>
      </c>
      <c r="J29" s="80"/>
      <c r="K29" s="165"/>
      <c r="L29" s="166"/>
      <c r="M29" s="166"/>
      <c r="N29" s="166"/>
      <c r="O29" s="166"/>
      <c r="P29" s="166"/>
      <c r="Q29" s="166"/>
      <c r="R29" s="166"/>
      <c r="S29" s="166"/>
      <c r="T29" s="166"/>
      <c r="U29" s="166"/>
      <c r="V29" s="166"/>
      <c r="W29" s="166"/>
      <c r="X29" s="166"/>
      <c r="Y29" s="166"/>
    </row>
    <row r="30" spans="1:25" s="167" customFormat="1" ht="40.5" x14ac:dyDescent="0.3">
      <c r="A30" s="63" t="s">
        <v>2113</v>
      </c>
      <c r="B30" s="182">
        <v>40994</v>
      </c>
      <c r="C30" s="183" t="s">
        <v>2114</v>
      </c>
      <c r="D30" s="111" t="s">
        <v>2115</v>
      </c>
      <c r="E30" s="63" t="s">
        <v>516</v>
      </c>
      <c r="F30" s="63" t="s">
        <v>794</v>
      </c>
      <c r="G30" s="93">
        <v>41022</v>
      </c>
      <c r="H30" s="93">
        <v>41086</v>
      </c>
      <c r="I30" s="63" t="s">
        <v>798</v>
      </c>
      <c r="J30" s="80"/>
      <c r="K30" s="165"/>
      <c r="L30" s="166"/>
      <c r="M30" s="166"/>
      <c r="N30" s="166"/>
      <c r="O30" s="166"/>
      <c r="P30" s="166"/>
      <c r="Q30" s="166"/>
      <c r="R30" s="166"/>
      <c r="S30" s="166"/>
      <c r="T30" s="166"/>
      <c r="U30" s="166"/>
      <c r="V30" s="166"/>
      <c r="W30" s="166"/>
      <c r="X30" s="166"/>
      <c r="Y30" s="166"/>
    </row>
    <row r="31" spans="1:25" s="167" customFormat="1" ht="16.5" x14ac:dyDescent="0.3">
      <c r="A31" s="63" t="s">
        <v>2116</v>
      </c>
      <c r="B31" s="182">
        <v>40994</v>
      </c>
      <c r="C31" s="183" t="s">
        <v>2119</v>
      </c>
      <c r="D31" s="111" t="s">
        <v>2117</v>
      </c>
      <c r="E31" s="63" t="s">
        <v>2067</v>
      </c>
      <c r="F31" s="63" t="s">
        <v>229</v>
      </c>
      <c r="G31" s="93">
        <v>41014</v>
      </c>
      <c r="H31" s="93">
        <v>40996</v>
      </c>
      <c r="I31" s="63" t="s">
        <v>798</v>
      </c>
      <c r="J31" s="80"/>
      <c r="K31" s="165"/>
      <c r="L31" s="166"/>
      <c r="M31" s="166"/>
      <c r="N31" s="166"/>
      <c r="O31" s="166"/>
      <c r="P31" s="166"/>
      <c r="Q31" s="166"/>
      <c r="R31" s="166"/>
      <c r="S31" s="166"/>
      <c r="T31" s="166"/>
      <c r="U31" s="166"/>
      <c r="V31" s="166"/>
      <c r="W31" s="166"/>
      <c r="X31" s="166"/>
      <c r="Y31" s="166"/>
    </row>
    <row r="32" spans="1:25" s="167" customFormat="1" ht="40.5" x14ac:dyDescent="0.3">
      <c r="A32" s="63" t="s">
        <v>2118</v>
      </c>
      <c r="B32" s="182">
        <v>40997</v>
      </c>
      <c r="C32" s="185" t="s">
        <v>2120</v>
      </c>
      <c r="D32" s="138" t="s">
        <v>2121</v>
      </c>
      <c r="E32" s="63" t="s">
        <v>2106</v>
      </c>
      <c r="F32" s="63" t="s">
        <v>229</v>
      </c>
      <c r="G32" s="93">
        <v>41014</v>
      </c>
      <c r="H32" s="93">
        <v>41036</v>
      </c>
      <c r="I32" s="63" t="s">
        <v>2163</v>
      </c>
      <c r="J32" s="80"/>
      <c r="K32" s="165"/>
      <c r="L32" s="166"/>
      <c r="M32" s="166"/>
      <c r="N32" s="166"/>
      <c r="O32" s="166"/>
      <c r="P32" s="166"/>
      <c r="Q32" s="166"/>
      <c r="R32" s="166"/>
      <c r="S32" s="166"/>
      <c r="T32" s="166"/>
      <c r="U32" s="166"/>
      <c r="V32" s="166"/>
      <c r="W32" s="166"/>
      <c r="X32" s="166"/>
      <c r="Y32" s="166"/>
    </row>
    <row r="33" spans="1:25" s="167" customFormat="1" ht="27" x14ac:dyDescent="0.3">
      <c r="A33" s="92" t="s">
        <v>2122</v>
      </c>
      <c r="B33" s="188">
        <v>40997</v>
      </c>
      <c r="C33" s="183" t="s">
        <v>2123</v>
      </c>
      <c r="D33" s="111" t="s">
        <v>2128</v>
      </c>
      <c r="E33" s="63" t="s">
        <v>486</v>
      </c>
      <c r="F33" s="63" t="s">
        <v>1510</v>
      </c>
      <c r="G33" s="93">
        <v>41014</v>
      </c>
      <c r="H33" s="93">
        <v>41008</v>
      </c>
      <c r="I33" s="63" t="s">
        <v>798</v>
      </c>
      <c r="J33" s="80"/>
      <c r="K33" s="165"/>
      <c r="L33" s="166"/>
      <c r="M33" s="166"/>
      <c r="N33" s="166"/>
      <c r="O33" s="166"/>
      <c r="P33" s="166"/>
      <c r="Q33" s="166"/>
      <c r="R33" s="166"/>
      <c r="S33" s="166"/>
      <c r="T33" s="166"/>
      <c r="U33" s="166"/>
      <c r="V33" s="166"/>
      <c r="W33" s="166"/>
      <c r="X33" s="166"/>
      <c r="Y33" s="166"/>
    </row>
    <row r="34" spans="1:25" s="167" customFormat="1" ht="27.75" x14ac:dyDescent="0.3">
      <c r="A34" s="92" t="s">
        <v>2124</v>
      </c>
      <c r="B34" s="188">
        <v>40998</v>
      </c>
      <c r="C34" s="183" t="s">
        <v>2125</v>
      </c>
      <c r="D34" s="189" t="s">
        <v>2126</v>
      </c>
      <c r="E34" s="63" t="s">
        <v>516</v>
      </c>
      <c r="F34" s="63" t="s">
        <v>794</v>
      </c>
      <c r="G34" s="93">
        <v>41029</v>
      </c>
      <c r="H34" s="93">
        <v>41176</v>
      </c>
      <c r="I34" s="63" t="s">
        <v>798</v>
      </c>
      <c r="J34" s="80"/>
      <c r="K34" s="165"/>
      <c r="L34" s="166"/>
      <c r="M34" s="166"/>
      <c r="N34" s="166"/>
      <c r="O34" s="166"/>
      <c r="P34" s="166"/>
      <c r="Q34" s="166"/>
      <c r="R34" s="166"/>
      <c r="S34" s="166"/>
      <c r="T34" s="166"/>
      <c r="U34" s="166"/>
      <c r="V34" s="166"/>
      <c r="W34" s="166"/>
      <c r="X34" s="166"/>
      <c r="Y34" s="166"/>
    </row>
    <row r="35" spans="1:25" s="167" customFormat="1" ht="16.5" x14ac:dyDescent="0.3">
      <c r="A35" s="92" t="s">
        <v>2132</v>
      </c>
      <c r="B35" s="188">
        <v>41002</v>
      </c>
      <c r="C35" s="183" t="s">
        <v>2133</v>
      </c>
      <c r="D35" s="189" t="s">
        <v>2134</v>
      </c>
      <c r="E35" s="63" t="s">
        <v>486</v>
      </c>
      <c r="F35" s="63" t="s">
        <v>1510</v>
      </c>
      <c r="G35" s="93">
        <v>41032</v>
      </c>
      <c r="H35" s="93">
        <v>41008</v>
      </c>
      <c r="I35" s="117" t="s">
        <v>798</v>
      </c>
      <c r="J35" s="80"/>
      <c r="K35" s="165"/>
      <c r="L35" s="166"/>
      <c r="M35" s="166"/>
      <c r="N35" s="166"/>
      <c r="O35" s="166"/>
      <c r="P35" s="166"/>
      <c r="Q35" s="166"/>
      <c r="R35" s="166"/>
      <c r="S35" s="166"/>
      <c r="T35" s="166"/>
      <c r="U35" s="166"/>
      <c r="V35" s="166"/>
      <c r="W35" s="166"/>
      <c r="X35" s="166"/>
      <c r="Y35" s="166"/>
    </row>
    <row r="36" spans="1:25" s="167" customFormat="1" ht="54.75" x14ac:dyDescent="0.3">
      <c r="A36" s="92" t="s">
        <v>2135</v>
      </c>
      <c r="B36" s="188">
        <v>41004</v>
      </c>
      <c r="C36" s="183" t="s">
        <v>2136</v>
      </c>
      <c r="D36" s="189" t="s">
        <v>2165</v>
      </c>
      <c r="E36" s="63" t="s">
        <v>2137</v>
      </c>
      <c r="F36" s="63" t="s">
        <v>229</v>
      </c>
      <c r="G36" s="93">
        <v>41034</v>
      </c>
      <c r="H36" s="93">
        <v>41024</v>
      </c>
      <c r="I36" s="63" t="s">
        <v>798</v>
      </c>
      <c r="J36" s="80"/>
      <c r="K36" s="165"/>
      <c r="L36" s="166"/>
      <c r="M36" s="166"/>
      <c r="N36" s="166"/>
      <c r="O36" s="166"/>
      <c r="P36" s="166"/>
      <c r="Q36" s="166"/>
      <c r="R36" s="166"/>
      <c r="S36" s="166"/>
      <c r="T36" s="166"/>
      <c r="U36" s="166"/>
      <c r="V36" s="166"/>
      <c r="W36" s="166"/>
      <c r="X36" s="166"/>
      <c r="Y36" s="166"/>
    </row>
    <row r="37" spans="1:25" s="167" customFormat="1" ht="54" x14ac:dyDescent="0.3">
      <c r="A37" s="92" t="s">
        <v>2139</v>
      </c>
      <c r="B37" s="188">
        <v>41009</v>
      </c>
      <c r="C37" s="183" t="s">
        <v>2140</v>
      </c>
      <c r="D37" s="111" t="s">
        <v>2141</v>
      </c>
      <c r="E37" s="63" t="s">
        <v>2106</v>
      </c>
      <c r="F37" s="63" t="s">
        <v>229</v>
      </c>
      <c r="G37" s="93">
        <v>41039</v>
      </c>
      <c r="H37" s="93">
        <v>41012</v>
      </c>
      <c r="I37" s="63" t="s">
        <v>798</v>
      </c>
      <c r="J37" s="80"/>
      <c r="K37" s="165"/>
      <c r="L37" s="166"/>
      <c r="M37" s="166"/>
      <c r="N37" s="166"/>
      <c r="O37" s="166"/>
      <c r="P37" s="166"/>
      <c r="Q37" s="166"/>
      <c r="R37" s="166"/>
      <c r="S37" s="166"/>
      <c r="T37" s="166"/>
      <c r="U37" s="166"/>
      <c r="V37" s="166"/>
      <c r="W37" s="166"/>
      <c r="X37" s="166"/>
      <c r="Y37" s="166"/>
    </row>
    <row r="38" spans="1:25" s="167" customFormat="1" ht="27" x14ac:dyDescent="0.3">
      <c r="A38" s="92" t="s">
        <v>2142</v>
      </c>
      <c r="B38" s="188">
        <v>41012</v>
      </c>
      <c r="C38" s="183" t="s">
        <v>2143</v>
      </c>
      <c r="D38" s="111" t="s">
        <v>2144</v>
      </c>
      <c r="E38" s="63" t="s">
        <v>516</v>
      </c>
      <c r="F38" s="63" t="s">
        <v>441</v>
      </c>
      <c r="G38" s="93">
        <v>41042</v>
      </c>
      <c r="H38" s="93">
        <v>41086</v>
      </c>
      <c r="I38" s="63" t="s">
        <v>798</v>
      </c>
      <c r="J38" s="80"/>
      <c r="K38" s="165"/>
      <c r="L38" s="166"/>
      <c r="M38" s="166"/>
      <c r="N38" s="166"/>
      <c r="O38" s="166"/>
      <c r="P38" s="166"/>
      <c r="Q38" s="166"/>
      <c r="R38" s="166"/>
      <c r="S38" s="166"/>
      <c r="T38" s="166"/>
      <c r="U38" s="166"/>
      <c r="V38" s="166"/>
      <c r="W38" s="166"/>
      <c r="X38" s="166"/>
      <c r="Y38" s="166"/>
    </row>
    <row r="39" spans="1:25" s="167" customFormat="1" ht="27" x14ac:dyDescent="0.3">
      <c r="A39" s="92" t="s">
        <v>2145</v>
      </c>
      <c r="B39" s="188">
        <v>41019</v>
      </c>
      <c r="C39" s="183" t="s">
        <v>1316</v>
      </c>
      <c r="D39" s="183" t="s">
        <v>2146</v>
      </c>
      <c r="E39" s="63" t="s">
        <v>685</v>
      </c>
      <c r="F39" s="63" t="s">
        <v>229</v>
      </c>
      <c r="G39" s="93">
        <v>41060</v>
      </c>
      <c r="H39" s="93">
        <v>41036</v>
      </c>
      <c r="I39" s="63" t="s">
        <v>798</v>
      </c>
      <c r="J39" s="80"/>
      <c r="K39" s="165"/>
      <c r="L39" s="166"/>
      <c r="M39" s="166"/>
      <c r="N39" s="166"/>
      <c r="O39" s="166"/>
      <c r="P39" s="166"/>
      <c r="Q39" s="166"/>
      <c r="R39" s="166"/>
      <c r="S39" s="166"/>
      <c r="T39" s="166"/>
      <c r="U39" s="166"/>
      <c r="V39" s="166"/>
      <c r="W39" s="166"/>
      <c r="X39" s="166"/>
      <c r="Y39" s="166"/>
    </row>
    <row r="40" spans="1:25" s="167" customFormat="1" ht="27.75" x14ac:dyDescent="0.3">
      <c r="A40" s="92" t="s">
        <v>2147</v>
      </c>
      <c r="B40" s="188">
        <v>41023</v>
      </c>
      <c r="C40" s="183" t="s">
        <v>2149</v>
      </c>
      <c r="D40" s="138" t="s">
        <v>2150</v>
      </c>
      <c r="E40" s="63" t="s">
        <v>685</v>
      </c>
      <c r="F40" s="63" t="s">
        <v>794</v>
      </c>
      <c r="G40" s="93">
        <v>41023</v>
      </c>
      <c r="H40" s="93">
        <v>41023</v>
      </c>
      <c r="I40" s="63" t="s">
        <v>798</v>
      </c>
      <c r="J40" s="80"/>
      <c r="K40" s="165"/>
      <c r="L40" s="166"/>
      <c r="M40" s="166"/>
      <c r="N40" s="166"/>
      <c r="O40" s="166"/>
      <c r="P40" s="166"/>
      <c r="Q40" s="166"/>
      <c r="R40" s="166"/>
      <c r="S40" s="166"/>
      <c r="T40" s="166"/>
      <c r="U40" s="166"/>
      <c r="V40" s="166"/>
      <c r="W40" s="166"/>
      <c r="X40" s="166"/>
      <c r="Y40" s="166"/>
    </row>
    <row r="41" spans="1:25" s="167" customFormat="1" ht="27.75" x14ac:dyDescent="0.3">
      <c r="A41" s="92" t="s">
        <v>2154</v>
      </c>
      <c r="B41" s="188">
        <v>41031</v>
      </c>
      <c r="C41" s="183" t="s">
        <v>2153</v>
      </c>
      <c r="D41" s="138" t="s">
        <v>2152</v>
      </c>
      <c r="E41" s="63" t="s">
        <v>441</v>
      </c>
      <c r="F41" s="63" t="s">
        <v>794</v>
      </c>
      <c r="G41" s="93">
        <v>41062</v>
      </c>
      <c r="H41" s="93">
        <v>41031</v>
      </c>
      <c r="I41" s="63" t="s">
        <v>798</v>
      </c>
      <c r="J41" s="80"/>
      <c r="K41" s="165"/>
      <c r="L41" s="166"/>
      <c r="M41" s="166"/>
      <c r="N41" s="166"/>
      <c r="O41" s="166"/>
      <c r="P41" s="166"/>
      <c r="Q41" s="166"/>
      <c r="R41" s="166"/>
      <c r="S41" s="166"/>
      <c r="T41" s="166"/>
      <c r="U41" s="166"/>
      <c r="V41" s="166"/>
      <c r="W41" s="166"/>
      <c r="X41" s="166"/>
      <c r="Y41" s="166"/>
    </row>
    <row r="42" spans="1:25" s="274" customFormat="1" ht="27.75" x14ac:dyDescent="0.3">
      <c r="A42" s="143" t="s">
        <v>2155</v>
      </c>
      <c r="B42" s="227">
        <v>41031</v>
      </c>
      <c r="C42" s="275" t="s">
        <v>2156</v>
      </c>
      <c r="D42" s="277" t="s">
        <v>2157</v>
      </c>
      <c r="E42" s="143" t="s">
        <v>516</v>
      </c>
      <c r="F42" s="143" t="s">
        <v>794</v>
      </c>
      <c r="G42" s="276">
        <v>41062</v>
      </c>
      <c r="H42" s="276"/>
      <c r="I42" s="143"/>
      <c r="J42" s="272"/>
      <c r="K42" s="273"/>
    </row>
    <row r="43" spans="1:25" s="167" customFormat="1" ht="27" x14ac:dyDescent="0.3">
      <c r="A43" s="92" t="s">
        <v>2158</v>
      </c>
      <c r="B43" s="188">
        <v>41032</v>
      </c>
      <c r="C43" s="183" t="s">
        <v>2159</v>
      </c>
      <c r="D43" s="124" t="s">
        <v>2160</v>
      </c>
      <c r="E43" s="63" t="s">
        <v>2137</v>
      </c>
      <c r="F43" s="63" t="s">
        <v>229</v>
      </c>
      <c r="G43" s="93">
        <v>41063</v>
      </c>
      <c r="H43" s="93">
        <v>41044</v>
      </c>
      <c r="I43" s="63" t="s">
        <v>798</v>
      </c>
      <c r="J43" s="80"/>
      <c r="K43" s="165"/>
      <c r="L43" s="166"/>
      <c r="M43" s="166"/>
      <c r="N43" s="166"/>
      <c r="O43" s="166"/>
      <c r="P43" s="166"/>
      <c r="Q43" s="166"/>
      <c r="R43" s="166"/>
      <c r="S43" s="166"/>
      <c r="T43" s="166"/>
      <c r="U43" s="166"/>
      <c r="V43" s="166"/>
      <c r="W43" s="166"/>
      <c r="X43" s="166"/>
      <c r="Y43" s="166"/>
    </row>
    <row r="44" spans="1:25" s="167" customFormat="1" ht="27" x14ac:dyDescent="0.3">
      <c r="A44" s="92" t="s">
        <v>2161</v>
      </c>
      <c r="B44" s="188">
        <v>41036</v>
      </c>
      <c r="C44" s="183" t="s">
        <v>2162</v>
      </c>
      <c r="D44" s="140" t="s">
        <v>2160</v>
      </c>
      <c r="E44" s="63" t="s">
        <v>2137</v>
      </c>
      <c r="F44" s="63" t="s">
        <v>229</v>
      </c>
      <c r="G44" s="93">
        <v>41067</v>
      </c>
      <c r="H44" s="93">
        <v>41046</v>
      </c>
      <c r="I44" s="63" t="s">
        <v>798</v>
      </c>
      <c r="J44" s="80"/>
      <c r="K44" s="165"/>
      <c r="L44" s="166"/>
      <c r="M44" s="166"/>
      <c r="N44" s="166"/>
      <c r="O44" s="166"/>
      <c r="P44" s="166"/>
      <c r="Q44" s="166"/>
      <c r="R44" s="166"/>
      <c r="S44" s="166"/>
      <c r="T44" s="166"/>
      <c r="U44" s="166"/>
      <c r="V44" s="166"/>
      <c r="W44" s="166"/>
      <c r="X44" s="166"/>
      <c r="Y44" s="166"/>
    </row>
    <row r="45" spans="1:25" s="167" customFormat="1" ht="54" x14ac:dyDescent="0.3">
      <c r="A45" s="92" t="s">
        <v>2166</v>
      </c>
      <c r="B45" s="188">
        <v>41036</v>
      </c>
      <c r="C45" s="190" t="s">
        <v>2167</v>
      </c>
      <c r="D45" s="140" t="s">
        <v>2168</v>
      </c>
      <c r="E45" s="63" t="s">
        <v>2106</v>
      </c>
      <c r="F45" s="63" t="s">
        <v>229</v>
      </c>
      <c r="G45" s="93">
        <v>41182</v>
      </c>
      <c r="H45" s="93">
        <v>41190</v>
      </c>
      <c r="I45" s="63" t="s">
        <v>798</v>
      </c>
      <c r="J45" s="80"/>
      <c r="K45" s="165"/>
      <c r="L45" s="166"/>
      <c r="M45" s="166"/>
      <c r="N45" s="166"/>
      <c r="O45" s="166"/>
      <c r="P45" s="166"/>
      <c r="Q45" s="166"/>
      <c r="R45" s="166"/>
      <c r="S45" s="166"/>
      <c r="T45" s="166"/>
      <c r="U45" s="166"/>
      <c r="V45" s="166"/>
      <c r="W45" s="166"/>
      <c r="X45" s="166"/>
      <c r="Y45" s="166"/>
    </row>
    <row r="46" spans="1:25" s="167" customFormat="1" ht="40.5" x14ac:dyDescent="0.3">
      <c r="A46" s="92" t="s">
        <v>2169</v>
      </c>
      <c r="B46" s="188">
        <v>41050</v>
      </c>
      <c r="C46" s="190" t="s">
        <v>2170</v>
      </c>
      <c r="D46" s="125" t="s">
        <v>2202</v>
      </c>
      <c r="E46" s="114" t="s">
        <v>685</v>
      </c>
      <c r="F46" s="114" t="s">
        <v>794</v>
      </c>
      <c r="G46" s="135">
        <v>41081</v>
      </c>
      <c r="H46" s="93">
        <v>41080</v>
      </c>
      <c r="I46" s="63" t="s">
        <v>798</v>
      </c>
      <c r="J46" s="80"/>
      <c r="K46" s="165"/>
      <c r="L46" s="166"/>
      <c r="M46" s="166"/>
      <c r="N46" s="166"/>
      <c r="O46" s="166"/>
      <c r="P46" s="166"/>
      <c r="Q46" s="166"/>
      <c r="R46" s="166"/>
      <c r="S46" s="166"/>
      <c r="T46" s="166"/>
      <c r="U46" s="166"/>
      <c r="V46" s="166"/>
      <c r="W46" s="166"/>
      <c r="X46" s="166"/>
      <c r="Y46" s="166"/>
    </row>
    <row r="47" spans="1:25" s="167" customFormat="1" ht="16.5" x14ac:dyDescent="0.3">
      <c r="A47" s="92" t="s">
        <v>2171</v>
      </c>
      <c r="B47" s="188">
        <v>41051</v>
      </c>
      <c r="C47" s="190" t="s">
        <v>2173</v>
      </c>
      <c r="D47" s="125" t="s">
        <v>2172</v>
      </c>
      <c r="E47" s="114" t="s">
        <v>999</v>
      </c>
      <c r="F47" s="114" t="s">
        <v>1510</v>
      </c>
      <c r="G47" s="135">
        <v>41300</v>
      </c>
      <c r="H47" s="93">
        <v>41297</v>
      </c>
      <c r="I47" s="63" t="s">
        <v>798</v>
      </c>
      <c r="J47" s="80"/>
      <c r="K47" s="165"/>
      <c r="L47" s="166"/>
      <c r="M47" s="166"/>
      <c r="N47" s="166"/>
      <c r="O47" s="166"/>
      <c r="P47" s="166"/>
      <c r="Q47" s="166"/>
      <c r="R47" s="166"/>
      <c r="S47" s="166"/>
      <c r="T47" s="166"/>
      <c r="U47" s="166"/>
      <c r="V47" s="166"/>
      <c r="W47" s="166"/>
      <c r="X47" s="166"/>
      <c r="Y47" s="166"/>
    </row>
    <row r="48" spans="1:25" s="170" customFormat="1" ht="40.5" x14ac:dyDescent="0.2">
      <c r="A48" s="92" t="s">
        <v>2174</v>
      </c>
      <c r="B48" s="188">
        <v>41051</v>
      </c>
      <c r="C48" s="191" t="s">
        <v>2177</v>
      </c>
      <c r="D48" s="111" t="s">
        <v>2175</v>
      </c>
      <c r="E48" s="114" t="s">
        <v>2176</v>
      </c>
      <c r="F48" s="114" t="s">
        <v>229</v>
      </c>
      <c r="G48" s="135">
        <v>41082</v>
      </c>
      <c r="H48" s="93">
        <v>41086</v>
      </c>
      <c r="I48" s="63" t="s">
        <v>798</v>
      </c>
      <c r="J48" s="134"/>
      <c r="K48" s="169"/>
      <c r="L48" s="169"/>
      <c r="M48" s="169"/>
      <c r="N48" s="169"/>
      <c r="O48" s="169"/>
      <c r="P48" s="169"/>
      <c r="Q48" s="169"/>
      <c r="R48" s="169"/>
      <c r="S48" s="169"/>
      <c r="T48" s="169"/>
      <c r="U48" s="169"/>
      <c r="V48" s="169"/>
      <c r="W48" s="169"/>
      <c r="X48" s="169"/>
      <c r="Y48" s="169"/>
    </row>
    <row r="49" spans="1:25" s="167" customFormat="1" ht="27" x14ac:dyDescent="0.3">
      <c r="A49" s="92" t="s">
        <v>2178</v>
      </c>
      <c r="B49" s="188">
        <v>41065</v>
      </c>
      <c r="C49" s="183" t="s">
        <v>2179</v>
      </c>
      <c r="D49" s="111" t="s">
        <v>2222</v>
      </c>
      <c r="E49" s="92" t="s">
        <v>1339</v>
      </c>
      <c r="F49" s="92" t="s">
        <v>794</v>
      </c>
      <c r="G49" s="112">
        <v>41108</v>
      </c>
      <c r="H49" s="93">
        <v>41103</v>
      </c>
      <c r="I49" s="63" t="s">
        <v>2223</v>
      </c>
      <c r="J49" s="80"/>
      <c r="K49" s="165"/>
      <c r="L49" s="166"/>
      <c r="M49" s="166"/>
      <c r="N49" s="166"/>
      <c r="O49" s="166"/>
      <c r="P49" s="166"/>
      <c r="Q49" s="166"/>
      <c r="R49" s="166"/>
      <c r="S49" s="166"/>
      <c r="T49" s="166"/>
      <c r="U49" s="166"/>
      <c r="V49" s="166"/>
      <c r="W49" s="166"/>
      <c r="X49" s="166"/>
      <c r="Y49" s="166"/>
    </row>
    <row r="50" spans="1:25" s="166" customFormat="1" ht="16.5" x14ac:dyDescent="0.3">
      <c r="A50" s="92" t="s">
        <v>2180</v>
      </c>
      <c r="B50" s="188">
        <v>41068</v>
      </c>
      <c r="C50" s="185" t="s">
        <v>2181</v>
      </c>
      <c r="D50" s="120" t="s">
        <v>2182</v>
      </c>
      <c r="E50" s="92" t="s">
        <v>999</v>
      </c>
      <c r="F50" s="92" t="s">
        <v>1510</v>
      </c>
      <c r="G50" s="112">
        <v>41098</v>
      </c>
      <c r="H50" s="112" t="s">
        <v>2088</v>
      </c>
      <c r="I50" s="92" t="s">
        <v>1173</v>
      </c>
      <c r="J50" s="80"/>
      <c r="K50" s="165"/>
    </row>
    <row r="51" spans="1:25" s="167" customFormat="1" ht="40.5" x14ac:dyDescent="0.3">
      <c r="A51" s="92" t="s">
        <v>2183</v>
      </c>
      <c r="B51" s="188">
        <v>41066</v>
      </c>
      <c r="C51" s="185" t="s">
        <v>2184</v>
      </c>
      <c r="D51" s="120" t="s">
        <v>2185</v>
      </c>
      <c r="E51" s="92" t="s">
        <v>2137</v>
      </c>
      <c r="F51" s="92" t="s">
        <v>229</v>
      </c>
      <c r="G51" s="112">
        <v>41103</v>
      </c>
      <c r="H51" s="93">
        <v>41087</v>
      </c>
      <c r="I51" s="63" t="s">
        <v>798</v>
      </c>
      <c r="J51" s="80"/>
      <c r="K51" s="165"/>
      <c r="L51" s="166"/>
      <c r="M51" s="166"/>
      <c r="N51" s="166"/>
      <c r="O51" s="166"/>
      <c r="P51" s="166"/>
      <c r="Q51" s="166"/>
      <c r="R51" s="166"/>
      <c r="S51" s="166"/>
      <c r="T51" s="166"/>
      <c r="U51" s="166"/>
      <c r="V51" s="166"/>
      <c r="W51" s="166"/>
      <c r="X51" s="166"/>
      <c r="Y51" s="166"/>
    </row>
    <row r="52" spans="1:25" s="167" customFormat="1" ht="27" x14ac:dyDescent="0.3">
      <c r="A52" s="92" t="s">
        <v>2186</v>
      </c>
      <c r="B52" s="188">
        <v>41075</v>
      </c>
      <c r="C52" s="183" t="s">
        <v>2187</v>
      </c>
      <c r="D52" s="111" t="s">
        <v>2188</v>
      </c>
      <c r="E52" s="92" t="s">
        <v>2137</v>
      </c>
      <c r="F52" s="92" t="s">
        <v>229</v>
      </c>
      <c r="G52" s="112">
        <v>41105</v>
      </c>
      <c r="H52" s="93">
        <v>41191</v>
      </c>
      <c r="I52" s="63" t="s">
        <v>798</v>
      </c>
      <c r="J52" s="80"/>
      <c r="K52" s="165"/>
      <c r="L52" s="166"/>
      <c r="M52" s="166"/>
      <c r="N52" s="166"/>
      <c r="O52" s="166"/>
      <c r="P52" s="166"/>
      <c r="Q52" s="166"/>
      <c r="R52" s="166"/>
      <c r="S52" s="166"/>
      <c r="T52" s="166"/>
      <c r="U52" s="166"/>
      <c r="V52" s="166"/>
      <c r="W52" s="166"/>
      <c r="X52" s="166"/>
      <c r="Y52" s="166"/>
    </row>
    <row r="53" spans="1:25" s="167" customFormat="1" ht="27" x14ac:dyDescent="0.3">
      <c r="A53" s="92" t="s">
        <v>2189</v>
      </c>
      <c r="B53" s="188">
        <v>41078</v>
      </c>
      <c r="C53" s="183" t="s">
        <v>2196</v>
      </c>
      <c r="D53" s="111" t="s">
        <v>2195</v>
      </c>
      <c r="E53" s="92" t="s">
        <v>727</v>
      </c>
      <c r="F53" s="92" t="s">
        <v>794</v>
      </c>
      <c r="G53" s="112">
        <v>41108</v>
      </c>
      <c r="H53" s="93">
        <v>41131</v>
      </c>
      <c r="I53" s="63" t="s">
        <v>798</v>
      </c>
      <c r="J53" s="80"/>
      <c r="K53" s="165"/>
      <c r="L53" s="166"/>
      <c r="M53" s="166"/>
      <c r="N53" s="166"/>
      <c r="O53" s="166"/>
      <c r="P53" s="166"/>
      <c r="Q53" s="166"/>
      <c r="R53" s="166"/>
      <c r="S53" s="166"/>
      <c r="T53" s="166"/>
      <c r="U53" s="166"/>
      <c r="V53" s="166"/>
      <c r="W53" s="166"/>
      <c r="X53" s="166"/>
      <c r="Y53" s="166"/>
    </row>
    <row r="54" spans="1:25" s="167" customFormat="1" ht="27" x14ac:dyDescent="0.3">
      <c r="A54" s="92" t="s">
        <v>2190</v>
      </c>
      <c r="B54" s="188">
        <v>41079</v>
      </c>
      <c r="C54" s="183" t="s">
        <v>2191</v>
      </c>
      <c r="D54" s="111" t="s">
        <v>2192</v>
      </c>
      <c r="E54" s="92" t="s">
        <v>2137</v>
      </c>
      <c r="F54" s="92" t="s">
        <v>229</v>
      </c>
      <c r="G54" s="112">
        <v>41109</v>
      </c>
      <c r="H54" s="93">
        <v>41150</v>
      </c>
      <c r="I54" s="63" t="s">
        <v>993</v>
      </c>
      <c r="J54" s="80"/>
      <c r="K54" s="165"/>
      <c r="L54" s="166"/>
      <c r="M54" s="166"/>
      <c r="N54" s="166"/>
      <c r="O54" s="166"/>
      <c r="P54" s="166"/>
      <c r="Q54" s="166"/>
      <c r="R54" s="166"/>
      <c r="S54" s="166"/>
      <c r="T54" s="166"/>
      <c r="U54" s="166"/>
      <c r="V54" s="166"/>
      <c r="W54" s="166"/>
      <c r="X54" s="166"/>
      <c r="Y54" s="166"/>
    </row>
    <row r="55" spans="1:25" s="167" customFormat="1" ht="27" x14ac:dyDescent="0.3">
      <c r="A55" s="92" t="s">
        <v>2193</v>
      </c>
      <c r="B55" s="188">
        <v>41080</v>
      </c>
      <c r="C55" s="183" t="s">
        <v>2197</v>
      </c>
      <c r="D55" s="111" t="s">
        <v>2194</v>
      </c>
      <c r="E55" s="63" t="s">
        <v>727</v>
      </c>
      <c r="F55" s="92" t="s">
        <v>794</v>
      </c>
      <c r="G55" s="112">
        <v>41110</v>
      </c>
      <c r="H55" s="93">
        <v>41158</v>
      </c>
      <c r="I55" s="63" t="s">
        <v>993</v>
      </c>
      <c r="J55" s="80"/>
      <c r="K55" s="165"/>
      <c r="L55" s="166"/>
      <c r="M55" s="166"/>
      <c r="N55" s="166"/>
      <c r="O55" s="166"/>
      <c r="P55" s="166"/>
      <c r="Q55" s="166"/>
      <c r="R55" s="166"/>
      <c r="S55" s="166"/>
      <c r="T55" s="166"/>
      <c r="U55" s="166"/>
      <c r="V55" s="166"/>
      <c r="W55" s="166"/>
      <c r="X55" s="166"/>
      <c r="Y55" s="166"/>
    </row>
    <row r="56" spans="1:25" s="167" customFormat="1" ht="27" x14ac:dyDescent="0.3">
      <c r="A56" s="92" t="s">
        <v>2198</v>
      </c>
      <c r="B56" s="188">
        <v>41080</v>
      </c>
      <c r="C56" s="183" t="s">
        <v>2197</v>
      </c>
      <c r="D56" s="111" t="s">
        <v>2199</v>
      </c>
      <c r="E56" s="63" t="s">
        <v>727</v>
      </c>
      <c r="F56" s="92" t="s">
        <v>794</v>
      </c>
      <c r="G56" s="112">
        <v>41110</v>
      </c>
      <c r="H56" s="93">
        <v>41158</v>
      </c>
      <c r="I56" s="63" t="s">
        <v>993</v>
      </c>
      <c r="J56" s="80"/>
      <c r="K56" s="165"/>
      <c r="L56" s="166"/>
      <c r="M56" s="166"/>
      <c r="N56" s="166"/>
      <c r="O56" s="166"/>
      <c r="P56" s="166"/>
      <c r="Q56" s="166"/>
      <c r="R56" s="166"/>
      <c r="S56" s="166"/>
      <c r="T56" s="166"/>
      <c r="U56" s="166"/>
      <c r="V56" s="166"/>
      <c r="W56" s="166"/>
      <c r="X56" s="166"/>
      <c r="Y56" s="166"/>
    </row>
    <row r="57" spans="1:25" s="167" customFormat="1" ht="27" x14ac:dyDescent="0.3">
      <c r="A57" s="92" t="s">
        <v>2200</v>
      </c>
      <c r="B57" s="188">
        <v>41080</v>
      </c>
      <c r="C57" s="183" t="s">
        <v>793</v>
      </c>
      <c r="D57" s="111" t="s">
        <v>2201</v>
      </c>
      <c r="E57" s="92" t="s">
        <v>999</v>
      </c>
      <c r="F57" s="92" t="s">
        <v>794</v>
      </c>
      <c r="G57" s="112">
        <v>41110</v>
      </c>
      <c r="H57" s="93">
        <v>41304</v>
      </c>
      <c r="I57" s="63" t="s">
        <v>798</v>
      </c>
      <c r="J57" s="80" t="s">
        <v>2383</v>
      </c>
      <c r="K57" s="165"/>
      <c r="L57" s="166"/>
      <c r="M57" s="166"/>
      <c r="N57" s="166"/>
      <c r="O57" s="166"/>
      <c r="P57" s="166"/>
      <c r="Q57" s="166"/>
      <c r="R57" s="166"/>
      <c r="S57" s="166"/>
      <c r="T57" s="166"/>
      <c r="U57" s="166"/>
      <c r="V57" s="166"/>
      <c r="W57" s="166"/>
      <c r="X57" s="166"/>
      <c r="Y57" s="166"/>
    </row>
    <row r="58" spans="1:25" s="167" customFormat="1" ht="16.5" x14ac:dyDescent="0.3">
      <c r="A58" s="92" t="s">
        <v>2203</v>
      </c>
      <c r="B58" s="188">
        <v>41080</v>
      </c>
      <c r="C58" s="183" t="s">
        <v>2204</v>
      </c>
      <c r="D58" s="111" t="s">
        <v>2205</v>
      </c>
      <c r="E58" s="92" t="s">
        <v>441</v>
      </c>
      <c r="F58" s="92" t="s">
        <v>794</v>
      </c>
      <c r="G58" s="112">
        <v>41110</v>
      </c>
      <c r="H58" s="93">
        <v>41112</v>
      </c>
      <c r="I58" s="63" t="s">
        <v>798</v>
      </c>
      <c r="J58" s="80"/>
      <c r="K58" s="165"/>
      <c r="L58" s="166"/>
      <c r="M58" s="166"/>
      <c r="N58" s="166"/>
      <c r="O58" s="166"/>
      <c r="P58" s="166"/>
      <c r="Q58" s="166"/>
      <c r="R58" s="166"/>
      <c r="S58" s="166"/>
      <c r="T58" s="166"/>
      <c r="U58" s="166"/>
      <c r="V58" s="166"/>
      <c r="W58" s="166"/>
      <c r="X58" s="166"/>
      <c r="Y58" s="166"/>
    </row>
    <row r="59" spans="1:25" s="167" customFormat="1" ht="27" x14ac:dyDescent="0.3">
      <c r="A59" s="92" t="s">
        <v>2207</v>
      </c>
      <c r="B59" s="188">
        <v>41096</v>
      </c>
      <c r="C59" s="183" t="s">
        <v>2208</v>
      </c>
      <c r="D59" s="111" t="s">
        <v>2209</v>
      </c>
      <c r="E59" s="92" t="s">
        <v>516</v>
      </c>
      <c r="F59" s="92" t="s">
        <v>441</v>
      </c>
      <c r="G59" s="112">
        <v>41121</v>
      </c>
      <c r="H59" s="93">
        <v>41176</v>
      </c>
      <c r="I59" s="63" t="s">
        <v>798</v>
      </c>
      <c r="J59" s="80"/>
      <c r="K59" s="165"/>
      <c r="L59" s="166"/>
      <c r="M59" s="166"/>
      <c r="N59" s="166"/>
      <c r="O59" s="166"/>
      <c r="P59" s="166"/>
      <c r="Q59" s="166"/>
      <c r="R59" s="166"/>
      <c r="S59" s="166"/>
      <c r="T59" s="166"/>
      <c r="U59" s="166"/>
      <c r="V59" s="166"/>
      <c r="W59" s="166"/>
      <c r="X59" s="166"/>
      <c r="Y59" s="166"/>
    </row>
    <row r="60" spans="1:25" s="167" customFormat="1" ht="40.5" x14ac:dyDescent="0.3">
      <c r="A60" s="92" t="s">
        <v>2210</v>
      </c>
      <c r="B60" s="188">
        <v>41096</v>
      </c>
      <c r="C60" s="183" t="s">
        <v>2212</v>
      </c>
      <c r="D60" s="111" t="s">
        <v>2211</v>
      </c>
      <c r="E60" s="92" t="s">
        <v>516</v>
      </c>
      <c r="F60" s="92" t="s">
        <v>441</v>
      </c>
      <c r="G60" s="112">
        <v>41121</v>
      </c>
      <c r="H60" s="93">
        <v>41176</v>
      </c>
      <c r="I60" s="63" t="s">
        <v>798</v>
      </c>
      <c r="J60" s="80"/>
      <c r="K60" s="165"/>
      <c r="L60" s="166"/>
      <c r="M60" s="166"/>
      <c r="N60" s="166"/>
      <c r="O60" s="166"/>
      <c r="P60" s="166"/>
      <c r="Q60" s="166"/>
      <c r="R60" s="166"/>
      <c r="S60" s="166"/>
      <c r="T60" s="166"/>
      <c r="U60" s="166"/>
      <c r="V60" s="166"/>
      <c r="W60" s="166"/>
      <c r="X60" s="166"/>
      <c r="Y60" s="166"/>
    </row>
    <row r="61" spans="1:25" s="167" customFormat="1" ht="40.5" x14ac:dyDescent="0.3">
      <c r="A61" s="92" t="s">
        <v>2213</v>
      </c>
      <c r="B61" s="188">
        <v>41096</v>
      </c>
      <c r="C61" s="183" t="s">
        <v>2214</v>
      </c>
      <c r="D61" s="111" t="s">
        <v>2215</v>
      </c>
      <c r="E61" s="92" t="s">
        <v>516</v>
      </c>
      <c r="F61" s="92" t="s">
        <v>441</v>
      </c>
      <c r="G61" s="112">
        <v>41110</v>
      </c>
      <c r="H61" s="93">
        <v>41176</v>
      </c>
      <c r="I61" s="63" t="s">
        <v>798</v>
      </c>
      <c r="J61" s="80"/>
      <c r="K61" s="165"/>
      <c r="L61" s="166"/>
      <c r="M61" s="166"/>
      <c r="N61" s="166"/>
      <c r="O61" s="166"/>
      <c r="P61" s="166"/>
      <c r="Q61" s="166"/>
      <c r="R61" s="166"/>
      <c r="S61" s="166"/>
      <c r="T61" s="166"/>
      <c r="U61" s="166"/>
      <c r="V61" s="166"/>
      <c r="W61" s="166"/>
      <c r="X61" s="166"/>
      <c r="Y61" s="166"/>
    </row>
    <row r="62" spans="1:25" s="167" customFormat="1" ht="16.5" x14ac:dyDescent="0.3">
      <c r="A62" s="92" t="s">
        <v>2216</v>
      </c>
      <c r="B62" s="188">
        <v>41099</v>
      </c>
      <c r="C62" s="183" t="s">
        <v>2217</v>
      </c>
      <c r="D62" s="111" t="s">
        <v>2218</v>
      </c>
      <c r="E62" s="92" t="s">
        <v>2137</v>
      </c>
      <c r="F62" s="92" t="s">
        <v>229</v>
      </c>
      <c r="G62" s="112">
        <v>41121</v>
      </c>
      <c r="H62" s="93">
        <v>41100</v>
      </c>
      <c r="I62" s="63" t="s">
        <v>798</v>
      </c>
      <c r="J62" s="80"/>
      <c r="K62" s="165"/>
      <c r="L62" s="166"/>
      <c r="M62" s="166"/>
      <c r="N62" s="166"/>
      <c r="O62" s="166"/>
      <c r="P62" s="166"/>
      <c r="Q62" s="166"/>
      <c r="R62" s="166"/>
      <c r="S62" s="166"/>
      <c r="T62" s="166"/>
      <c r="U62" s="166"/>
      <c r="V62" s="166"/>
      <c r="W62" s="166"/>
      <c r="X62" s="166"/>
      <c r="Y62" s="166"/>
    </row>
    <row r="63" spans="1:25" s="167" customFormat="1" ht="27.75" x14ac:dyDescent="0.3">
      <c r="A63" s="92" t="s">
        <v>2220</v>
      </c>
      <c r="B63" s="188">
        <v>41100</v>
      </c>
      <c r="C63" s="183" t="s">
        <v>1176</v>
      </c>
      <c r="D63" s="111"/>
      <c r="E63" s="92" t="s">
        <v>237</v>
      </c>
      <c r="F63" s="92" t="s">
        <v>794</v>
      </c>
      <c r="G63" s="112">
        <v>41152</v>
      </c>
      <c r="H63" s="93">
        <v>41263</v>
      </c>
      <c r="I63" s="63" t="s">
        <v>1173</v>
      </c>
      <c r="J63" s="80" t="s">
        <v>2449</v>
      </c>
      <c r="K63" s="165"/>
      <c r="L63" s="166"/>
      <c r="M63" s="166"/>
      <c r="N63" s="166"/>
      <c r="O63" s="166"/>
      <c r="P63" s="166"/>
      <c r="Q63" s="166"/>
      <c r="R63" s="166"/>
      <c r="S63" s="166"/>
      <c r="T63" s="166"/>
      <c r="U63" s="166"/>
      <c r="V63" s="166"/>
      <c r="W63" s="166"/>
      <c r="X63" s="166"/>
      <c r="Y63" s="166"/>
    </row>
    <row r="64" spans="1:25" s="167" customFormat="1" ht="27" x14ac:dyDescent="0.3">
      <c r="A64" s="92" t="s">
        <v>2224</v>
      </c>
      <c r="B64" s="188">
        <v>41103</v>
      </c>
      <c r="C64" s="183" t="s">
        <v>793</v>
      </c>
      <c r="D64" s="111" t="s">
        <v>2225</v>
      </c>
      <c r="E64" s="63" t="s">
        <v>999</v>
      </c>
      <c r="F64" s="92" t="s">
        <v>1510</v>
      </c>
      <c r="G64" s="112">
        <v>41151</v>
      </c>
      <c r="H64" s="93">
        <v>41304</v>
      </c>
      <c r="I64" s="63" t="s">
        <v>798</v>
      </c>
      <c r="J64" s="80" t="s">
        <v>2384</v>
      </c>
      <c r="K64" s="165"/>
      <c r="L64" s="166"/>
      <c r="M64" s="166"/>
      <c r="N64" s="166"/>
      <c r="O64" s="166"/>
      <c r="P64" s="166"/>
      <c r="Q64" s="166"/>
      <c r="R64" s="166"/>
      <c r="S64" s="166"/>
      <c r="T64" s="166"/>
      <c r="U64" s="166"/>
      <c r="V64" s="166"/>
      <c r="W64" s="166"/>
      <c r="X64" s="166"/>
      <c r="Y64" s="166"/>
    </row>
    <row r="65" spans="1:25" s="167" customFormat="1" ht="40.5" x14ac:dyDescent="0.3">
      <c r="A65" s="92" t="s">
        <v>2226</v>
      </c>
      <c r="B65" s="188">
        <v>41107</v>
      </c>
      <c r="C65" s="183" t="s">
        <v>439</v>
      </c>
      <c r="D65" s="111" t="s">
        <v>2227</v>
      </c>
      <c r="E65" s="92" t="s">
        <v>229</v>
      </c>
      <c r="F65" s="92" t="s">
        <v>441</v>
      </c>
      <c r="G65" s="112">
        <v>41151</v>
      </c>
      <c r="H65" s="93">
        <v>41123</v>
      </c>
      <c r="I65" s="63" t="s">
        <v>798</v>
      </c>
      <c r="J65" s="80"/>
      <c r="K65" s="165"/>
      <c r="L65" s="166"/>
      <c r="M65" s="166"/>
      <c r="N65" s="166"/>
      <c r="O65" s="166"/>
      <c r="P65" s="166"/>
      <c r="Q65" s="166"/>
      <c r="R65" s="166"/>
      <c r="S65" s="166"/>
      <c r="T65" s="166"/>
      <c r="U65" s="166"/>
      <c r="V65" s="166"/>
      <c r="W65" s="166"/>
      <c r="X65" s="166"/>
      <c r="Y65" s="166"/>
    </row>
    <row r="66" spans="1:25" s="167" customFormat="1" ht="16.5" x14ac:dyDescent="0.3">
      <c r="A66" s="92" t="s">
        <v>2228</v>
      </c>
      <c r="B66" s="188">
        <v>41109</v>
      </c>
      <c r="C66" s="185" t="s">
        <v>865</v>
      </c>
      <c r="D66" s="111" t="s">
        <v>2229</v>
      </c>
      <c r="E66" s="92" t="s">
        <v>999</v>
      </c>
      <c r="F66" s="92" t="s">
        <v>1510</v>
      </c>
      <c r="G66" s="112">
        <v>41140</v>
      </c>
      <c r="H66" s="93">
        <v>41127</v>
      </c>
      <c r="I66" s="63" t="s">
        <v>798</v>
      </c>
      <c r="J66" s="80"/>
      <c r="K66" s="165"/>
      <c r="L66" s="166"/>
      <c r="M66" s="166"/>
      <c r="N66" s="166"/>
      <c r="O66" s="166"/>
      <c r="P66" s="166"/>
      <c r="Q66" s="166"/>
      <c r="R66" s="166"/>
      <c r="S66" s="166"/>
      <c r="T66" s="166"/>
      <c r="U66" s="166"/>
      <c r="V66" s="166"/>
      <c r="W66" s="166"/>
      <c r="X66" s="166"/>
      <c r="Y66" s="166"/>
    </row>
    <row r="67" spans="1:25" s="167" customFormat="1" ht="16.5" x14ac:dyDescent="0.3">
      <c r="A67" s="92" t="s">
        <v>2230</v>
      </c>
      <c r="B67" s="188">
        <v>41114</v>
      </c>
      <c r="C67" s="185" t="s">
        <v>2231</v>
      </c>
      <c r="D67" s="111" t="s">
        <v>2232</v>
      </c>
      <c r="E67" s="92" t="s">
        <v>1351</v>
      </c>
      <c r="F67" s="92" t="s">
        <v>229</v>
      </c>
      <c r="G67" s="112">
        <v>41151</v>
      </c>
      <c r="H67" s="93">
        <v>41142</v>
      </c>
      <c r="I67" s="63" t="s">
        <v>798</v>
      </c>
      <c r="J67" s="80"/>
      <c r="K67" s="165"/>
      <c r="L67" s="166"/>
      <c r="M67" s="166"/>
      <c r="N67" s="166"/>
      <c r="O67" s="166"/>
      <c r="P67" s="166"/>
      <c r="Q67" s="166"/>
      <c r="R67" s="166"/>
      <c r="S67" s="166"/>
      <c r="T67" s="166"/>
      <c r="U67" s="166"/>
      <c r="V67" s="166"/>
      <c r="W67" s="166"/>
      <c r="X67" s="166"/>
      <c r="Y67" s="166"/>
    </row>
    <row r="68" spans="1:25" s="167" customFormat="1" ht="27" x14ac:dyDescent="0.3">
      <c r="A68" s="92" t="s">
        <v>2233</v>
      </c>
      <c r="B68" s="188">
        <v>41116</v>
      </c>
      <c r="C68" s="185" t="s">
        <v>2234</v>
      </c>
      <c r="D68" s="111" t="s">
        <v>2235</v>
      </c>
      <c r="E68" s="92" t="s">
        <v>2106</v>
      </c>
      <c r="F68" s="92" t="s">
        <v>229</v>
      </c>
      <c r="G68" s="112">
        <v>41151</v>
      </c>
      <c r="H68" s="93">
        <v>41121</v>
      </c>
      <c r="I68" s="63" t="s">
        <v>798</v>
      </c>
      <c r="J68" s="80"/>
      <c r="K68" s="165"/>
      <c r="L68" s="166"/>
      <c r="M68" s="166"/>
      <c r="N68" s="166"/>
      <c r="O68" s="166"/>
      <c r="P68" s="166"/>
      <c r="Q68" s="166"/>
      <c r="R68" s="166"/>
      <c r="S68" s="166"/>
      <c r="T68" s="166"/>
      <c r="U68" s="166"/>
      <c r="V68" s="166"/>
      <c r="W68" s="166"/>
      <c r="X68" s="166"/>
      <c r="Y68" s="166"/>
    </row>
    <row r="69" spans="1:25" s="167" customFormat="1" ht="27" x14ac:dyDescent="0.3">
      <c r="A69" s="92" t="s">
        <v>2236</v>
      </c>
      <c r="B69" s="188">
        <v>41124</v>
      </c>
      <c r="C69" s="183" t="s">
        <v>2237</v>
      </c>
      <c r="D69" s="111" t="s">
        <v>2238</v>
      </c>
      <c r="E69" s="92" t="s">
        <v>2137</v>
      </c>
      <c r="F69" s="92" t="s">
        <v>229</v>
      </c>
      <c r="G69" s="112">
        <v>41151</v>
      </c>
      <c r="H69" s="93">
        <v>41193</v>
      </c>
      <c r="I69" s="63" t="s">
        <v>798</v>
      </c>
      <c r="J69" s="80"/>
      <c r="K69" s="165"/>
      <c r="L69" s="166"/>
      <c r="M69" s="166"/>
      <c r="N69" s="166"/>
      <c r="O69" s="166"/>
      <c r="P69" s="166"/>
      <c r="Q69" s="166"/>
      <c r="R69" s="166"/>
      <c r="S69" s="166"/>
      <c r="T69" s="166"/>
      <c r="U69" s="166"/>
      <c r="V69" s="166"/>
      <c r="W69" s="166"/>
      <c r="X69" s="166"/>
      <c r="Y69" s="166"/>
    </row>
    <row r="70" spans="1:25" s="167" customFormat="1" ht="27" x14ac:dyDescent="0.3">
      <c r="A70" s="92" t="s">
        <v>2239</v>
      </c>
      <c r="B70" s="188">
        <v>41124</v>
      </c>
      <c r="C70" s="183" t="s">
        <v>2240</v>
      </c>
      <c r="D70" s="111" t="s">
        <v>2241</v>
      </c>
      <c r="E70" s="92" t="s">
        <v>2137</v>
      </c>
      <c r="F70" s="92" t="s">
        <v>229</v>
      </c>
      <c r="G70" s="112">
        <v>41212</v>
      </c>
      <c r="H70" s="93">
        <v>41569</v>
      </c>
      <c r="I70" s="63" t="s">
        <v>993</v>
      </c>
      <c r="J70" s="80"/>
      <c r="K70" s="165"/>
      <c r="L70" s="166"/>
      <c r="M70" s="166"/>
      <c r="N70" s="166"/>
      <c r="O70" s="166"/>
      <c r="P70" s="166"/>
      <c r="Q70" s="166"/>
      <c r="R70" s="166"/>
      <c r="S70" s="166"/>
      <c r="T70" s="166"/>
      <c r="U70" s="166"/>
      <c r="V70" s="166"/>
      <c r="W70" s="166"/>
      <c r="X70" s="166"/>
      <c r="Y70" s="166"/>
    </row>
    <row r="71" spans="1:25" s="167" customFormat="1" ht="40.5" x14ac:dyDescent="0.3">
      <c r="A71" s="92" t="s">
        <v>2242</v>
      </c>
      <c r="B71" s="188">
        <v>41130</v>
      </c>
      <c r="C71" s="183" t="s">
        <v>2243</v>
      </c>
      <c r="D71" s="111" t="s">
        <v>2244</v>
      </c>
      <c r="E71" s="92" t="s">
        <v>441</v>
      </c>
      <c r="F71" s="92" t="s">
        <v>229</v>
      </c>
      <c r="G71" s="112">
        <v>41136</v>
      </c>
      <c r="H71" s="93">
        <v>41138</v>
      </c>
      <c r="I71" s="63" t="s">
        <v>798</v>
      </c>
      <c r="J71" s="80"/>
      <c r="K71" s="165"/>
      <c r="L71" s="166"/>
      <c r="M71" s="166"/>
      <c r="N71" s="166"/>
      <c r="O71" s="166"/>
      <c r="P71" s="166"/>
      <c r="Q71" s="166"/>
      <c r="R71" s="166"/>
      <c r="S71" s="166"/>
      <c r="T71" s="166"/>
      <c r="U71" s="166"/>
      <c r="V71" s="166"/>
      <c r="W71" s="166"/>
      <c r="X71" s="166"/>
      <c r="Y71" s="166"/>
    </row>
    <row r="72" spans="1:25" s="167" customFormat="1" ht="40.5" x14ac:dyDescent="0.3">
      <c r="A72" s="92" t="s">
        <v>2245</v>
      </c>
      <c r="B72" s="188">
        <v>41130</v>
      </c>
      <c r="C72" s="192" t="s">
        <v>2248</v>
      </c>
      <c r="D72" s="111" t="s">
        <v>2250</v>
      </c>
      <c r="E72" s="92" t="s">
        <v>229</v>
      </c>
      <c r="F72" s="92" t="s">
        <v>441</v>
      </c>
      <c r="G72" s="112">
        <v>41152</v>
      </c>
      <c r="H72" s="93">
        <v>41138</v>
      </c>
      <c r="I72" s="63" t="s">
        <v>798</v>
      </c>
      <c r="J72" s="80"/>
      <c r="K72" s="165"/>
      <c r="L72" s="166"/>
      <c r="M72" s="166"/>
      <c r="N72" s="166"/>
      <c r="O72" s="166"/>
      <c r="P72" s="166"/>
      <c r="Q72" s="166"/>
      <c r="R72" s="166"/>
      <c r="S72" s="166"/>
      <c r="T72" s="166"/>
      <c r="U72" s="166"/>
      <c r="V72" s="166"/>
      <c r="W72" s="166"/>
      <c r="X72" s="166"/>
      <c r="Y72" s="166"/>
    </row>
    <row r="73" spans="1:25" s="167" customFormat="1" ht="40.5" x14ac:dyDescent="0.3">
      <c r="A73" s="92" t="s">
        <v>2246</v>
      </c>
      <c r="B73" s="188">
        <v>41136</v>
      </c>
      <c r="C73" s="183" t="s">
        <v>2247</v>
      </c>
      <c r="D73" s="111" t="s">
        <v>2249</v>
      </c>
      <c r="E73" s="92" t="s">
        <v>2067</v>
      </c>
      <c r="F73" s="92" t="s">
        <v>229</v>
      </c>
      <c r="G73" s="112">
        <v>41137</v>
      </c>
      <c r="H73" s="93">
        <v>41136</v>
      </c>
      <c r="I73" s="63" t="s">
        <v>798</v>
      </c>
      <c r="J73" s="80"/>
      <c r="K73" s="165"/>
      <c r="L73" s="166"/>
      <c r="M73" s="166"/>
      <c r="N73" s="166"/>
      <c r="O73" s="166"/>
      <c r="P73" s="166"/>
      <c r="Q73" s="166"/>
      <c r="R73" s="166"/>
      <c r="S73" s="166"/>
      <c r="T73" s="166"/>
      <c r="U73" s="166"/>
      <c r="V73" s="166"/>
      <c r="W73" s="166"/>
      <c r="X73" s="166"/>
      <c r="Y73" s="166"/>
    </row>
    <row r="74" spans="1:25" s="167" customFormat="1" ht="27" x14ac:dyDescent="0.3">
      <c r="A74" s="92" t="s">
        <v>2251</v>
      </c>
      <c r="B74" s="188">
        <v>41141</v>
      </c>
      <c r="C74" s="183" t="s">
        <v>2253</v>
      </c>
      <c r="D74" s="124" t="s">
        <v>2252</v>
      </c>
      <c r="E74" s="92" t="s">
        <v>441</v>
      </c>
      <c r="F74" s="92" t="s">
        <v>229</v>
      </c>
      <c r="G74" s="112">
        <v>41152</v>
      </c>
      <c r="H74" s="93">
        <v>41148</v>
      </c>
      <c r="I74" s="63" t="s">
        <v>798</v>
      </c>
      <c r="J74" s="80"/>
      <c r="K74" s="165"/>
      <c r="L74" s="166"/>
      <c r="M74" s="166"/>
      <c r="N74" s="166"/>
      <c r="O74" s="166"/>
      <c r="P74" s="166"/>
      <c r="Q74" s="166"/>
      <c r="R74" s="166"/>
      <c r="S74" s="166"/>
      <c r="T74" s="166"/>
      <c r="U74" s="166"/>
      <c r="V74" s="166"/>
      <c r="W74" s="166"/>
      <c r="X74" s="166"/>
      <c r="Y74" s="166"/>
    </row>
    <row r="75" spans="1:25" s="167" customFormat="1" ht="27" x14ac:dyDescent="0.3">
      <c r="A75" s="92" t="s">
        <v>2254</v>
      </c>
      <c r="B75" s="188">
        <v>41142</v>
      </c>
      <c r="C75" s="183" t="s">
        <v>2255</v>
      </c>
      <c r="D75" s="126" t="s">
        <v>2256</v>
      </c>
      <c r="E75" s="92" t="s">
        <v>2257</v>
      </c>
      <c r="F75" s="92" t="s">
        <v>229</v>
      </c>
      <c r="G75" s="112">
        <v>41152</v>
      </c>
      <c r="H75" s="93">
        <v>41145</v>
      </c>
      <c r="I75" s="63" t="s">
        <v>798</v>
      </c>
      <c r="J75" s="80"/>
      <c r="K75" s="165"/>
      <c r="L75" s="166"/>
      <c r="M75" s="166"/>
      <c r="N75" s="166"/>
      <c r="O75" s="166"/>
      <c r="P75" s="166"/>
      <c r="Q75" s="166"/>
      <c r="R75" s="166"/>
      <c r="S75" s="166"/>
      <c r="T75" s="166"/>
      <c r="U75" s="166"/>
      <c r="V75" s="166"/>
      <c r="W75" s="166"/>
      <c r="X75" s="166"/>
      <c r="Y75" s="166"/>
    </row>
    <row r="76" spans="1:25" s="167" customFormat="1" ht="27" x14ac:dyDescent="0.3">
      <c r="A76" s="92" t="s">
        <v>2258</v>
      </c>
      <c r="B76" s="188">
        <v>41148</v>
      </c>
      <c r="C76" s="183" t="s">
        <v>2259</v>
      </c>
      <c r="D76" s="124" t="s">
        <v>2431</v>
      </c>
      <c r="E76" s="92" t="s">
        <v>2106</v>
      </c>
      <c r="F76" s="92" t="s">
        <v>441</v>
      </c>
      <c r="G76" s="112">
        <v>41159</v>
      </c>
      <c r="H76" s="93">
        <v>41151</v>
      </c>
      <c r="I76" s="63" t="s">
        <v>798</v>
      </c>
      <c r="J76" s="80"/>
      <c r="K76" s="165"/>
      <c r="L76" s="166"/>
      <c r="M76" s="166"/>
      <c r="N76" s="166"/>
      <c r="O76" s="166"/>
      <c r="P76" s="166"/>
      <c r="Q76" s="166"/>
      <c r="R76" s="166"/>
      <c r="S76" s="166"/>
      <c r="T76" s="166"/>
      <c r="U76" s="166"/>
      <c r="V76" s="166"/>
      <c r="W76" s="166"/>
      <c r="X76" s="166"/>
      <c r="Y76" s="166"/>
    </row>
    <row r="77" spans="1:25" s="167" customFormat="1" ht="40.5" x14ac:dyDescent="0.3">
      <c r="A77" s="92" t="s">
        <v>2260</v>
      </c>
      <c r="B77" s="188">
        <v>41152</v>
      </c>
      <c r="C77" s="183" t="s">
        <v>2261</v>
      </c>
      <c r="D77" s="124" t="s">
        <v>2979</v>
      </c>
      <c r="E77" s="92" t="s">
        <v>685</v>
      </c>
      <c r="F77" s="92" t="s">
        <v>794</v>
      </c>
      <c r="G77" s="112">
        <v>41157</v>
      </c>
      <c r="H77" s="93">
        <v>41162</v>
      </c>
      <c r="I77" s="63" t="s">
        <v>798</v>
      </c>
      <c r="J77" s="80"/>
      <c r="K77" s="165"/>
      <c r="L77" s="166"/>
      <c r="M77" s="166"/>
      <c r="N77" s="166"/>
      <c r="O77" s="166"/>
      <c r="P77" s="166"/>
      <c r="Q77" s="166"/>
      <c r="R77" s="166"/>
      <c r="S77" s="166"/>
      <c r="T77" s="166"/>
      <c r="U77" s="166"/>
      <c r="V77" s="166"/>
      <c r="W77" s="166"/>
      <c r="X77" s="166"/>
      <c r="Y77" s="166"/>
    </row>
    <row r="78" spans="1:25" s="167" customFormat="1" ht="40.5" x14ac:dyDescent="0.3">
      <c r="A78" s="92" t="s">
        <v>2263</v>
      </c>
      <c r="B78" s="188">
        <v>41162</v>
      </c>
      <c r="C78" s="183" t="s">
        <v>2264</v>
      </c>
      <c r="D78" s="124" t="s">
        <v>2265</v>
      </c>
      <c r="E78" s="92" t="s">
        <v>441</v>
      </c>
      <c r="F78" s="92" t="s">
        <v>229</v>
      </c>
      <c r="G78" s="112">
        <v>41169</v>
      </c>
      <c r="H78" s="93">
        <v>41401</v>
      </c>
      <c r="I78" s="63" t="s">
        <v>798</v>
      </c>
      <c r="J78" s="80"/>
      <c r="K78" s="165"/>
      <c r="L78" s="166"/>
      <c r="M78" s="166"/>
      <c r="N78" s="166"/>
      <c r="O78" s="166"/>
      <c r="P78" s="166"/>
      <c r="Q78" s="166"/>
      <c r="R78" s="166"/>
      <c r="S78" s="166"/>
      <c r="T78" s="166"/>
      <c r="U78" s="166"/>
      <c r="V78" s="166"/>
      <c r="W78" s="166"/>
      <c r="X78" s="166"/>
      <c r="Y78" s="166"/>
    </row>
    <row r="79" spans="1:25" s="167" customFormat="1" ht="27" x14ac:dyDescent="0.3">
      <c r="A79" s="92" t="s">
        <v>2266</v>
      </c>
      <c r="B79" s="188">
        <v>41163</v>
      </c>
      <c r="C79" s="183" t="s">
        <v>2268</v>
      </c>
      <c r="D79" s="124" t="s">
        <v>2267</v>
      </c>
      <c r="E79" s="92" t="s">
        <v>237</v>
      </c>
      <c r="F79" s="92" t="s">
        <v>794</v>
      </c>
      <c r="G79" s="112">
        <v>41166</v>
      </c>
      <c r="H79" s="93">
        <v>41206</v>
      </c>
      <c r="I79" s="63" t="s">
        <v>798</v>
      </c>
      <c r="J79" s="80"/>
      <c r="K79" s="165"/>
      <c r="L79" s="166"/>
      <c r="M79" s="166"/>
      <c r="N79" s="166"/>
      <c r="O79" s="166"/>
      <c r="P79" s="166"/>
      <c r="Q79" s="166"/>
      <c r="R79" s="166"/>
      <c r="S79" s="166"/>
      <c r="T79" s="166"/>
      <c r="U79" s="166"/>
      <c r="V79" s="166"/>
      <c r="W79" s="166"/>
      <c r="X79" s="166"/>
      <c r="Y79" s="166"/>
    </row>
    <row r="80" spans="1:25" s="167" customFormat="1" ht="16.5" x14ac:dyDescent="0.3">
      <c r="A80" s="92" t="s">
        <v>2269</v>
      </c>
      <c r="B80" s="188">
        <v>41164</v>
      </c>
      <c r="C80" s="183" t="s">
        <v>2272</v>
      </c>
      <c r="D80" s="124" t="s">
        <v>2273</v>
      </c>
      <c r="E80" s="92" t="s">
        <v>486</v>
      </c>
      <c r="F80" s="92" t="s">
        <v>1510</v>
      </c>
      <c r="G80" s="112">
        <v>41171</v>
      </c>
      <c r="H80" s="93">
        <v>41166</v>
      </c>
      <c r="I80" s="63" t="s">
        <v>798</v>
      </c>
      <c r="J80" s="80"/>
      <c r="K80" s="165"/>
      <c r="L80" s="166"/>
      <c r="M80" s="166"/>
      <c r="N80" s="166"/>
      <c r="O80" s="166"/>
      <c r="P80" s="166"/>
      <c r="Q80" s="166"/>
      <c r="R80" s="166"/>
      <c r="S80" s="166"/>
      <c r="T80" s="166"/>
      <c r="U80" s="166"/>
      <c r="V80" s="166"/>
      <c r="W80" s="166"/>
      <c r="X80" s="166"/>
      <c r="Y80" s="166"/>
    </row>
    <row r="81" spans="1:25" s="167" customFormat="1" ht="16.5" x14ac:dyDescent="0.3">
      <c r="A81" s="92" t="s">
        <v>2271</v>
      </c>
      <c r="B81" s="188">
        <v>41164</v>
      </c>
      <c r="C81" s="183" t="s">
        <v>2270</v>
      </c>
      <c r="D81" s="124" t="s">
        <v>2274</v>
      </c>
      <c r="E81" s="92" t="s">
        <v>486</v>
      </c>
      <c r="F81" s="92" t="s">
        <v>1510</v>
      </c>
      <c r="G81" s="112">
        <v>41171</v>
      </c>
      <c r="H81" s="93">
        <v>41514</v>
      </c>
      <c r="I81" s="63" t="s">
        <v>798</v>
      </c>
      <c r="J81" s="80"/>
      <c r="K81" s="165"/>
      <c r="L81" s="166"/>
      <c r="M81" s="166"/>
      <c r="N81" s="166"/>
      <c r="O81" s="166"/>
      <c r="P81" s="166"/>
      <c r="Q81" s="166"/>
      <c r="R81" s="166"/>
      <c r="S81" s="166"/>
      <c r="T81" s="166"/>
      <c r="U81" s="166"/>
      <c r="V81" s="166"/>
      <c r="W81" s="166"/>
      <c r="X81" s="166"/>
      <c r="Y81" s="166"/>
    </row>
    <row r="82" spans="1:25" s="167" customFormat="1" ht="27" x14ac:dyDescent="0.3">
      <c r="A82" s="92" t="s">
        <v>2277</v>
      </c>
      <c r="B82" s="188">
        <v>41164</v>
      </c>
      <c r="C82" s="193" t="s">
        <v>2278</v>
      </c>
      <c r="D82" s="111" t="s">
        <v>2279</v>
      </c>
      <c r="E82" s="92" t="s">
        <v>237</v>
      </c>
      <c r="F82" s="92" t="s">
        <v>794</v>
      </c>
      <c r="G82" s="112">
        <v>41194</v>
      </c>
      <c r="H82" s="93">
        <v>41190</v>
      </c>
      <c r="I82" s="63" t="s">
        <v>798</v>
      </c>
      <c r="J82" s="80"/>
      <c r="K82" s="165"/>
      <c r="L82" s="166"/>
      <c r="M82" s="166"/>
      <c r="N82" s="166"/>
      <c r="O82" s="166"/>
      <c r="P82" s="166"/>
      <c r="Q82" s="166"/>
      <c r="R82" s="166"/>
      <c r="S82" s="166"/>
      <c r="T82" s="166"/>
      <c r="U82" s="166"/>
      <c r="V82" s="166"/>
      <c r="W82" s="166"/>
      <c r="X82" s="166"/>
      <c r="Y82" s="166"/>
    </row>
    <row r="83" spans="1:25" s="167" customFormat="1" ht="16.5" x14ac:dyDescent="0.3">
      <c r="A83" s="92" t="s">
        <v>2280</v>
      </c>
      <c r="B83" s="188">
        <v>41164</v>
      </c>
      <c r="C83" s="193" t="s">
        <v>2284</v>
      </c>
      <c r="D83" s="111" t="s">
        <v>2281</v>
      </c>
      <c r="E83" s="92" t="s">
        <v>2282</v>
      </c>
      <c r="F83" s="92" t="s">
        <v>794</v>
      </c>
      <c r="G83" s="112">
        <v>41194</v>
      </c>
      <c r="H83" s="93">
        <v>41246</v>
      </c>
      <c r="I83" s="63" t="s">
        <v>798</v>
      </c>
      <c r="J83" s="80"/>
      <c r="K83" s="165"/>
      <c r="L83" s="166"/>
      <c r="M83" s="166"/>
      <c r="N83" s="166"/>
      <c r="O83" s="166"/>
      <c r="P83" s="166"/>
      <c r="Q83" s="166"/>
      <c r="R83" s="166"/>
      <c r="S83" s="166"/>
      <c r="T83" s="166"/>
      <c r="U83" s="166"/>
      <c r="V83" s="166"/>
      <c r="W83" s="166"/>
      <c r="X83" s="166"/>
      <c r="Y83" s="166"/>
    </row>
    <row r="84" spans="1:25" s="167" customFormat="1" ht="16.5" x14ac:dyDescent="0.3">
      <c r="A84" s="92" t="s">
        <v>2283</v>
      </c>
      <c r="B84" s="188">
        <v>41164</v>
      </c>
      <c r="C84" s="183" t="s">
        <v>2284</v>
      </c>
      <c r="D84" s="111" t="s">
        <v>2285</v>
      </c>
      <c r="E84" s="92" t="s">
        <v>2282</v>
      </c>
      <c r="F84" s="92" t="s">
        <v>2286</v>
      </c>
      <c r="G84" s="112">
        <v>41194</v>
      </c>
      <c r="H84" s="93">
        <v>41246</v>
      </c>
      <c r="I84" s="63" t="s">
        <v>798</v>
      </c>
      <c r="J84" s="80"/>
      <c r="K84" s="165"/>
      <c r="L84" s="166"/>
      <c r="M84" s="166"/>
      <c r="N84" s="166"/>
      <c r="O84" s="166"/>
      <c r="P84" s="166"/>
      <c r="Q84" s="166"/>
      <c r="R84" s="166"/>
      <c r="S84" s="166"/>
      <c r="T84" s="166"/>
      <c r="U84" s="166"/>
      <c r="V84" s="166"/>
      <c r="W84" s="166"/>
      <c r="X84" s="166"/>
      <c r="Y84" s="166"/>
    </row>
    <row r="85" spans="1:25" s="167" customFormat="1" ht="16.5" x14ac:dyDescent="0.3">
      <c r="A85" s="92" t="s">
        <v>2287</v>
      </c>
      <c r="B85" s="188">
        <v>41173</v>
      </c>
      <c r="C85" s="183" t="s">
        <v>2288</v>
      </c>
      <c r="D85" s="111" t="s">
        <v>2289</v>
      </c>
      <c r="E85" s="92" t="s">
        <v>2137</v>
      </c>
      <c r="F85" s="92" t="s">
        <v>229</v>
      </c>
      <c r="G85" s="112">
        <v>41203</v>
      </c>
      <c r="H85" s="93">
        <v>41198</v>
      </c>
      <c r="I85" s="63" t="s">
        <v>798</v>
      </c>
      <c r="J85" s="80"/>
      <c r="K85" s="165"/>
      <c r="L85" s="166"/>
      <c r="M85" s="166"/>
      <c r="N85" s="166"/>
      <c r="O85" s="166"/>
      <c r="P85" s="166"/>
      <c r="Q85" s="166"/>
      <c r="R85" s="166"/>
      <c r="S85" s="166"/>
      <c r="T85" s="166"/>
      <c r="U85" s="166"/>
      <c r="V85" s="166"/>
      <c r="W85" s="166"/>
      <c r="X85" s="166"/>
      <c r="Y85" s="166"/>
    </row>
    <row r="86" spans="1:25" s="167" customFormat="1" ht="40.5" x14ac:dyDescent="0.3">
      <c r="A86" s="92" t="s">
        <v>2290</v>
      </c>
      <c r="B86" s="188">
        <v>41173</v>
      </c>
      <c r="C86" s="183" t="s">
        <v>2291</v>
      </c>
      <c r="D86" s="111" t="s">
        <v>2292</v>
      </c>
      <c r="E86" s="92" t="s">
        <v>441</v>
      </c>
      <c r="F86" s="92" t="s">
        <v>229</v>
      </c>
      <c r="G86" s="112">
        <v>41173</v>
      </c>
      <c r="H86" s="93">
        <v>41173</v>
      </c>
      <c r="I86" s="63" t="s">
        <v>798</v>
      </c>
      <c r="J86" s="80"/>
      <c r="K86" s="165"/>
      <c r="L86" s="166"/>
      <c r="M86" s="166"/>
      <c r="N86" s="166"/>
      <c r="O86" s="166"/>
      <c r="P86" s="166"/>
      <c r="Q86" s="166"/>
      <c r="R86" s="166"/>
      <c r="S86" s="166"/>
      <c r="T86" s="166"/>
      <c r="U86" s="166"/>
      <c r="V86" s="166"/>
      <c r="W86" s="166"/>
      <c r="X86" s="166"/>
      <c r="Y86" s="166"/>
    </row>
    <row r="87" spans="1:25" s="167" customFormat="1" ht="27" x14ac:dyDescent="0.3">
      <c r="A87" s="92" t="s">
        <v>2293</v>
      </c>
      <c r="B87" s="188">
        <v>41173</v>
      </c>
      <c r="C87" s="183" t="s">
        <v>2294</v>
      </c>
      <c r="D87" s="111" t="s">
        <v>2295</v>
      </c>
      <c r="E87" s="92" t="s">
        <v>229</v>
      </c>
      <c r="F87" s="92" t="s">
        <v>2296</v>
      </c>
      <c r="G87" s="93">
        <v>41213</v>
      </c>
      <c r="H87" s="159">
        <v>41409</v>
      </c>
      <c r="I87" s="63" t="s">
        <v>798</v>
      </c>
      <c r="J87" s="80"/>
      <c r="K87" s="165"/>
      <c r="L87" s="166"/>
      <c r="M87" s="166"/>
      <c r="N87" s="166"/>
      <c r="O87" s="166"/>
      <c r="P87" s="166"/>
      <c r="Q87" s="166"/>
      <c r="R87" s="166"/>
      <c r="S87" s="166"/>
      <c r="T87" s="166"/>
      <c r="U87" s="166"/>
      <c r="V87" s="166"/>
      <c r="W87" s="166"/>
      <c r="X87" s="166"/>
      <c r="Y87" s="166"/>
    </row>
    <row r="88" spans="1:25" s="167" customFormat="1" ht="27" x14ac:dyDescent="0.3">
      <c r="A88" s="92" t="s">
        <v>2297</v>
      </c>
      <c r="B88" s="188">
        <v>41176</v>
      </c>
      <c r="C88" s="183" t="s">
        <v>2298</v>
      </c>
      <c r="D88" s="111" t="s">
        <v>2299</v>
      </c>
      <c r="E88" s="92" t="s">
        <v>2106</v>
      </c>
      <c r="F88" s="92" t="s">
        <v>229</v>
      </c>
      <c r="G88" s="112">
        <v>41213</v>
      </c>
      <c r="H88" s="93">
        <v>41200</v>
      </c>
      <c r="I88" s="63" t="s">
        <v>798</v>
      </c>
      <c r="J88" s="80"/>
      <c r="K88" s="165"/>
      <c r="L88" s="166"/>
      <c r="M88" s="166"/>
      <c r="N88" s="166"/>
      <c r="O88" s="166"/>
      <c r="P88" s="166"/>
      <c r="Q88" s="166"/>
      <c r="R88" s="166"/>
      <c r="S88" s="166"/>
      <c r="T88" s="166"/>
      <c r="U88" s="166"/>
      <c r="V88" s="166"/>
      <c r="W88" s="166"/>
      <c r="X88" s="166"/>
      <c r="Y88" s="166"/>
    </row>
    <row r="89" spans="1:25" s="167" customFormat="1" ht="16.5" x14ac:dyDescent="0.3">
      <c r="A89" s="63" t="s">
        <v>2300</v>
      </c>
      <c r="B89" s="186">
        <v>41177</v>
      </c>
      <c r="C89" s="184" t="s">
        <v>2339</v>
      </c>
      <c r="D89" s="111" t="s">
        <v>2301</v>
      </c>
      <c r="E89" s="63" t="s">
        <v>237</v>
      </c>
      <c r="F89" s="63" t="s">
        <v>794</v>
      </c>
      <c r="G89" s="93">
        <v>41207</v>
      </c>
      <c r="H89" s="93">
        <v>41205</v>
      </c>
      <c r="I89" s="63" t="s">
        <v>798</v>
      </c>
      <c r="J89" s="80"/>
      <c r="K89" s="165"/>
      <c r="L89" s="166"/>
      <c r="M89" s="166"/>
      <c r="N89" s="166"/>
      <c r="O89" s="166"/>
      <c r="P89" s="166"/>
      <c r="Q89" s="166"/>
      <c r="R89" s="166"/>
      <c r="S89" s="166"/>
      <c r="T89" s="166"/>
      <c r="U89" s="166"/>
      <c r="V89" s="166"/>
      <c r="W89" s="166"/>
      <c r="X89" s="166"/>
      <c r="Y89" s="166"/>
    </row>
    <row r="90" spans="1:25" s="167" customFormat="1" ht="16.5" x14ac:dyDescent="0.3">
      <c r="A90" s="92" t="s">
        <v>2302</v>
      </c>
      <c r="B90" s="188">
        <v>41177</v>
      </c>
      <c r="C90" s="183" t="s">
        <v>2303</v>
      </c>
      <c r="D90" s="111" t="s">
        <v>2304</v>
      </c>
      <c r="E90" s="92" t="s">
        <v>685</v>
      </c>
      <c r="F90" s="92" t="s">
        <v>794</v>
      </c>
      <c r="G90" s="112">
        <v>41207</v>
      </c>
      <c r="H90" s="93">
        <v>41199</v>
      </c>
      <c r="I90" s="63" t="s">
        <v>798</v>
      </c>
      <c r="J90" s="80"/>
      <c r="K90" s="165"/>
      <c r="L90" s="166"/>
      <c r="M90" s="166"/>
      <c r="N90" s="166"/>
      <c r="O90" s="166"/>
      <c r="P90" s="166"/>
      <c r="Q90" s="166"/>
      <c r="R90" s="166"/>
      <c r="S90" s="166"/>
      <c r="T90" s="166"/>
      <c r="U90" s="166"/>
      <c r="V90" s="166"/>
      <c r="W90" s="166"/>
      <c r="X90" s="166"/>
      <c r="Y90" s="166"/>
    </row>
    <row r="91" spans="1:25" s="167" customFormat="1" ht="40.5" x14ac:dyDescent="0.3">
      <c r="A91" s="92" t="s">
        <v>2305</v>
      </c>
      <c r="B91" s="188">
        <v>41177</v>
      </c>
      <c r="C91" s="185" t="s">
        <v>2306</v>
      </c>
      <c r="D91" s="120" t="s">
        <v>2307</v>
      </c>
      <c r="E91" s="92" t="s">
        <v>486</v>
      </c>
      <c r="F91" s="92" t="s">
        <v>229</v>
      </c>
      <c r="G91" s="112">
        <v>41187</v>
      </c>
      <c r="H91" s="93">
        <v>41183</v>
      </c>
      <c r="I91" s="63" t="s">
        <v>798</v>
      </c>
      <c r="J91" s="80"/>
      <c r="K91" s="165"/>
      <c r="L91" s="166"/>
      <c r="M91" s="166"/>
      <c r="N91" s="166"/>
      <c r="O91" s="166"/>
      <c r="P91" s="166"/>
      <c r="Q91" s="166"/>
      <c r="R91" s="166"/>
      <c r="S91" s="166"/>
      <c r="T91" s="166"/>
      <c r="U91" s="166"/>
      <c r="V91" s="166"/>
      <c r="W91" s="166"/>
      <c r="X91" s="166"/>
      <c r="Y91" s="166"/>
    </row>
    <row r="92" spans="1:25" s="167" customFormat="1" ht="27" x14ac:dyDescent="0.3">
      <c r="A92" s="92" t="s">
        <v>2309</v>
      </c>
      <c r="B92" s="188">
        <v>41186</v>
      </c>
      <c r="C92" s="185" t="s">
        <v>2310</v>
      </c>
      <c r="D92" s="120" t="s">
        <v>2314</v>
      </c>
      <c r="E92" s="92" t="s">
        <v>441</v>
      </c>
      <c r="F92" s="92" t="s">
        <v>229</v>
      </c>
      <c r="G92" s="112">
        <v>41229</v>
      </c>
      <c r="H92" s="93">
        <v>41261</v>
      </c>
      <c r="I92" s="63" t="s">
        <v>798</v>
      </c>
      <c r="J92" s="80"/>
      <c r="K92" s="165"/>
      <c r="L92" s="166"/>
      <c r="M92" s="166"/>
      <c r="N92" s="166"/>
      <c r="O92" s="166"/>
      <c r="P92" s="166"/>
      <c r="Q92" s="166"/>
      <c r="R92" s="166"/>
      <c r="S92" s="166"/>
      <c r="T92" s="166"/>
      <c r="U92" s="166"/>
      <c r="V92" s="166"/>
      <c r="W92" s="166"/>
      <c r="X92" s="166"/>
      <c r="Y92" s="166"/>
    </row>
    <row r="93" spans="1:25" s="167" customFormat="1" ht="16.5" x14ac:dyDescent="0.3">
      <c r="A93" s="194" t="s">
        <v>2311</v>
      </c>
      <c r="B93" s="195">
        <v>41186</v>
      </c>
      <c r="C93" s="196" t="s">
        <v>2312</v>
      </c>
      <c r="D93" s="197" t="s">
        <v>2313</v>
      </c>
      <c r="E93" s="194" t="s">
        <v>441</v>
      </c>
      <c r="F93" s="194" t="s">
        <v>229</v>
      </c>
      <c r="G93" s="198">
        <v>41228</v>
      </c>
      <c r="H93" s="199">
        <v>41246</v>
      </c>
      <c r="I93" s="200" t="s">
        <v>2376</v>
      </c>
      <c r="J93" s="80"/>
      <c r="K93" s="165"/>
      <c r="L93" s="166"/>
      <c r="M93" s="166"/>
      <c r="N93" s="166"/>
      <c r="O93" s="166"/>
      <c r="P93" s="166"/>
      <c r="Q93" s="166"/>
      <c r="R93" s="166"/>
      <c r="S93" s="166"/>
      <c r="T93" s="166"/>
      <c r="U93" s="166"/>
      <c r="V93" s="166"/>
      <c r="W93" s="166"/>
      <c r="X93" s="166"/>
      <c r="Y93" s="166"/>
    </row>
    <row r="94" spans="1:25" s="173" customFormat="1" ht="54" x14ac:dyDescent="0.3">
      <c r="A94" s="63" t="s">
        <v>2315</v>
      </c>
      <c r="B94" s="186">
        <v>41186</v>
      </c>
      <c r="C94" s="184" t="s">
        <v>2454</v>
      </c>
      <c r="D94" s="111" t="s">
        <v>2316</v>
      </c>
      <c r="E94" s="63" t="s">
        <v>794</v>
      </c>
      <c r="F94" s="63" t="s">
        <v>441</v>
      </c>
      <c r="G94" s="93">
        <v>41187</v>
      </c>
      <c r="H94" s="93">
        <v>41199</v>
      </c>
      <c r="I94" s="63" t="s">
        <v>798</v>
      </c>
      <c r="J94" s="213"/>
      <c r="K94" s="171"/>
      <c r="L94" s="172"/>
      <c r="M94" s="172"/>
      <c r="N94" s="172"/>
      <c r="O94" s="172"/>
      <c r="P94" s="172"/>
      <c r="Q94" s="172"/>
      <c r="R94" s="172"/>
      <c r="S94" s="172"/>
      <c r="T94" s="172"/>
      <c r="U94" s="172"/>
      <c r="V94" s="172"/>
      <c r="W94" s="172"/>
      <c r="X94" s="172"/>
      <c r="Y94" s="172"/>
    </row>
    <row r="95" spans="1:25" s="274" customFormat="1" ht="27" x14ac:dyDescent="0.3">
      <c r="A95" s="267" t="s">
        <v>2317</v>
      </c>
      <c r="B95" s="268">
        <v>41186</v>
      </c>
      <c r="C95" s="269" t="s">
        <v>2318</v>
      </c>
      <c r="D95" s="270" t="s">
        <v>2319</v>
      </c>
      <c r="E95" s="267" t="s">
        <v>2106</v>
      </c>
      <c r="F95" s="267" t="s">
        <v>229</v>
      </c>
      <c r="G95" s="271">
        <v>41274</v>
      </c>
      <c r="H95" s="271"/>
      <c r="I95" s="267"/>
      <c r="J95" s="272"/>
      <c r="K95" s="273"/>
    </row>
    <row r="96" spans="1:25" s="167" customFormat="1" ht="16.5" x14ac:dyDescent="0.3">
      <c r="A96" s="92" t="s">
        <v>2320</v>
      </c>
      <c r="B96" s="188">
        <v>41187</v>
      </c>
      <c r="C96" s="185" t="s">
        <v>617</v>
      </c>
      <c r="D96" s="120" t="s">
        <v>2321</v>
      </c>
      <c r="E96" s="92" t="s">
        <v>1810</v>
      </c>
      <c r="F96" s="92" t="s">
        <v>794</v>
      </c>
      <c r="G96" s="112">
        <v>41233</v>
      </c>
      <c r="H96" s="93">
        <v>41214</v>
      </c>
      <c r="I96" s="63" t="s">
        <v>798</v>
      </c>
      <c r="J96" s="80"/>
      <c r="K96" s="165"/>
      <c r="L96" s="166"/>
      <c r="M96" s="166"/>
      <c r="N96" s="166"/>
      <c r="O96" s="166"/>
      <c r="P96" s="166"/>
      <c r="Q96" s="166"/>
      <c r="R96" s="166"/>
      <c r="S96" s="166"/>
      <c r="T96" s="166"/>
      <c r="U96" s="166"/>
      <c r="V96" s="166"/>
      <c r="W96" s="166"/>
      <c r="X96" s="166"/>
      <c r="Y96" s="166"/>
    </row>
    <row r="97" spans="1:25" s="167" customFormat="1" ht="16.5" x14ac:dyDescent="0.3">
      <c r="A97" s="92" t="s">
        <v>2322</v>
      </c>
      <c r="B97" s="188">
        <v>41198</v>
      </c>
      <c r="C97" s="185" t="s">
        <v>2323</v>
      </c>
      <c r="D97" s="120" t="s">
        <v>2328</v>
      </c>
      <c r="E97" s="92" t="s">
        <v>2067</v>
      </c>
      <c r="F97" s="92" t="s">
        <v>229</v>
      </c>
      <c r="G97" s="112">
        <v>41206</v>
      </c>
      <c r="H97" s="93">
        <v>41201</v>
      </c>
      <c r="I97" s="63" t="s">
        <v>798</v>
      </c>
      <c r="J97" s="80"/>
      <c r="K97" s="165"/>
      <c r="L97" s="166"/>
      <c r="M97" s="166"/>
      <c r="N97" s="166"/>
      <c r="O97" s="166"/>
      <c r="P97" s="166"/>
      <c r="Q97" s="166"/>
      <c r="R97" s="166"/>
      <c r="S97" s="166"/>
      <c r="T97" s="166"/>
      <c r="U97" s="166"/>
      <c r="V97" s="166"/>
      <c r="W97" s="166"/>
      <c r="X97" s="166"/>
      <c r="Y97" s="166"/>
    </row>
    <row r="98" spans="1:25" s="167" customFormat="1" ht="16.5" x14ac:dyDescent="0.3">
      <c r="A98" s="92" t="s">
        <v>2326</v>
      </c>
      <c r="B98" s="188">
        <v>41200</v>
      </c>
      <c r="C98" s="185" t="s">
        <v>2327</v>
      </c>
      <c r="D98" s="120" t="s">
        <v>2328</v>
      </c>
      <c r="E98" s="92" t="s">
        <v>2067</v>
      </c>
      <c r="F98" s="92" t="s">
        <v>229</v>
      </c>
      <c r="G98" s="112">
        <v>41206</v>
      </c>
      <c r="H98" s="93">
        <v>41201</v>
      </c>
      <c r="I98" s="63" t="s">
        <v>798</v>
      </c>
      <c r="J98" s="80"/>
      <c r="K98" s="165"/>
      <c r="L98" s="166"/>
      <c r="M98" s="166"/>
      <c r="N98" s="166"/>
      <c r="O98" s="166"/>
      <c r="P98" s="166"/>
      <c r="Q98" s="166"/>
      <c r="R98" s="166"/>
      <c r="S98" s="166"/>
      <c r="T98" s="166"/>
      <c r="U98" s="166"/>
      <c r="V98" s="166"/>
      <c r="W98" s="166"/>
      <c r="X98" s="166"/>
      <c r="Y98" s="166"/>
    </row>
    <row r="99" spans="1:25" s="167" customFormat="1" ht="16.5" x14ac:dyDescent="0.3">
      <c r="A99" s="92" t="s">
        <v>2329</v>
      </c>
      <c r="B99" s="188">
        <v>41204</v>
      </c>
      <c r="C99" s="185" t="s">
        <v>1886</v>
      </c>
      <c r="D99" s="120" t="s">
        <v>2330</v>
      </c>
      <c r="E99" s="92" t="s">
        <v>2331</v>
      </c>
      <c r="F99" s="92" t="s">
        <v>229</v>
      </c>
      <c r="G99" s="112">
        <v>41274</v>
      </c>
      <c r="H99" s="93">
        <v>41310</v>
      </c>
      <c r="I99" s="63" t="s">
        <v>798</v>
      </c>
      <c r="J99" s="80"/>
      <c r="K99" s="165"/>
      <c r="L99" s="166"/>
      <c r="M99" s="166"/>
      <c r="N99" s="166"/>
      <c r="O99" s="166"/>
      <c r="P99" s="166"/>
      <c r="Q99" s="166"/>
      <c r="R99" s="166"/>
      <c r="S99" s="166"/>
      <c r="T99" s="166"/>
      <c r="U99" s="166"/>
      <c r="V99" s="166"/>
      <c r="W99" s="166"/>
      <c r="X99" s="166"/>
      <c r="Y99" s="166"/>
    </row>
    <row r="100" spans="1:25" s="167" customFormat="1" ht="16.5" x14ac:dyDescent="0.3">
      <c r="A100" s="92" t="s">
        <v>2332</v>
      </c>
      <c r="B100" s="188">
        <v>41206</v>
      </c>
      <c r="C100" s="185" t="s">
        <v>2334</v>
      </c>
      <c r="D100" s="120" t="s">
        <v>2333</v>
      </c>
      <c r="E100" s="92" t="s">
        <v>685</v>
      </c>
      <c r="F100" s="92" t="s">
        <v>1510</v>
      </c>
      <c r="G100" s="112">
        <v>41243</v>
      </c>
      <c r="H100" s="93">
        <v>41208</v>
      </c>
      <c r="I100" s="63" t="s">
        <v>798</v>
      </c>
      <c r="J100" s="80"/>
      <c r="K100" s="165"/>
      <c r="L100" s="166"/>
      <c r="M100" s="166"/>
      <c r="N100" s="166"/>
      <c r="O100" s="166"/>
      <c r="P100" s="166"/>
      <c r="Q100" s="166"/>
      <c r="R100" s="166"/>
      <c r="S100" s="166"/>
      <c r="T100" s="166"/>
      <c r="U100" s="166"/>
      <c r="V100" s="166"/>
      <c r="W100" s="166"/>
      <c r="X100" s="166"/>
      <c r="Y100" s="166"/>
    </row>
    <row r="101" spans="1:25" s="167" customFormat="1" ht="16.5" x14ac:dyDescent="0.3">
      <c r="A101" s="92" t="s">
        <v>2335</v>
      </c>
      <c r="B101" s="188">
        <v>41206</v>
      </c>
      <c r="C101" s="185" t="s">
        <v>2336</v>
      </c>
      <c r="D101" s="120" t="s">
        <v>2337</v>
      </c>
      <c r="E101" s="92" t="s">
        <v>2338</v>
      </c>
      <c r="F101" s="92" t="s">
        <v>229</v>
      </c>
      <c r="G101" s="112">
        <v>41213</v>
      </c>
      <c r="H101" s="93">
        <v>41241</v>
      </c>
      <c r="I101" s="63" t="s">
        <v>798</v>
      </c>
      <c r="J101" s="80"/>
      <c r="K101" s="165"/>
      <c r="L101" s="166"/>
      <c r="M101" s="166"/>
      <c r="N101" s="166"/>
      <c r="O101" s="166"/>
      <c r="P101" s="166"/>
      <c r="Q101" s="166"/>
      <c r="R101" s="166"/>
      <c r="S101" s="166"/>
      <c r="T101" s="166"/>
      <c r="U101" s="166"/>
      <c r="V101" s="166"/>
      <c r="W101" s="166"/>
      <c r="X101" s="166"/>
      <c r="Y101" s="166"/>
    </row>
    <row r="102" spans="1:25" s="167" customFormat="1" ht="27" x14ac:dyDescent="0.3">
      <c r="A102" s="92" t="s">
        <v>2340</v>
      </c>
      <c r="B102" s="188">
        <v>41213</v>
      </c>
      <c r="C102" s="185" t="s">
        <v>2341</v>
      </c>
      <c r="D102" s="120" t="s">
        <v>2342</v>
      </c>
      <c r="E102" s="92" t="s">
        <v>516</v>
      </c>
      <c r="F102" s="92" t="s">
        <v>794</v>
      </c>
      <c r="G102" s="112">
        <v>41215</v>
      </c>
      <c r="H102" s="93">
        <v>41232</v>
      </c>
      <c r="I102" s="63" t="s">
        <v>798</v>
      </c>
      <c r="J102" s="80"/>
      <c r="K102" s="165"/>
      <c r="L102" s="166"/>
      <c r="M102" s="166"/>
      <c r="N102" s="166"/>
      <c r="O102" s="166"/>
      <c r="P102" s="166"/>
      <c r="Q102" s="166"/>
      <c r="R102" s="166"/>
      <c r="S102" s="166"/>
      <c r="T102" s="166"/>
      <c r="U102" s="166"/>
      <c r="V102" s="166"/>
      <c r="W102" s="166"/>
      <c r="X102" s="166"/>
      <c r="Y102" s="166"/>
    </row>
    <row r="103" spans="1:25" s="167" customFormat="1" ht="40.5" x14ac:dyDescent="0.3">
      <c r="A103" s="92" t="s">
        <v>2343</v>
      </c>
      <c r="B103" s="188">
        <v>41213</v>
      </c>
      <c r="C103" s="185" t="s">
        <v>2344</v>
      </c>
      <c r="D103" s="120" t="s">
        <v>2569</v>
      </c>
      <c r="E103" s="92" t="s">
        <v>516</v>
      </c>
      <c r="F103" s="92" t="s">
        <v>794</v>
      </c>
      <c r="G103" s="112">
        <v>41274</v>
      </c>
      <c r="H103" s="93">
        <v>41499</v>
      </c>
      <c r="I103" s="63" t="s">
        <v>798</v>
      </c>
      <c r="J103" s="80"/>
      <c r="K103" s="165"/>
      <c r="L103" s="166"/>
      <c r="M103" s="166"/>
      <c r="N103" s="166"/>
      <c r="O103" s="166"/>
      <c r="P103" s="166"/>
      <c r="Q103" s="166"/>
      <c r="R103" s="166"/>
      <c r="S103" s="166"/>
      <c r="T103" s="166"/>
      <c r="U103" s="166"/>
      <c r="V103" s="166"/>
      <c r="W103" s="166"/>
      <c r="X103" s="166"/>
      <c r="Y103" s="166"/>
    </row>
    <row r="104" spans="1:25" s="167" customFormat="1" ht="27" x14ac:dyDescent="0.3">
      <c r="A104" s="92" t="s">
        <v>2345</v>
      </c>
      <c r="B104" s="188">
        <v>41225</v>
      </c>
      <c r="C104" s="185" t="s">
        <v>2346</v>
      </c>
      <c r="D104" s="120" t="s">
        <v>2347</v>
      </c>
      <c r="E104" s="92" t="s">
        <v>441</v>
      </c>
      <c r="F104" s="92" t="s">
        <v>229</v>
      </c>
      <c r="G104" s="112">
        <v>41229</v>
      </c>
      <c r="H104" s="93">
        <v>41229</v>
      </c>
      <c r="I104" s="63" t="s">
        <v>798</v>
      </c>
      <c r="J104" s="80"/>
      <c r="K104" s="165"/>
      <c r="L104" s="166"/>
      <c r="M104" s="166"/>
      <c r="N104" s="166"/>
      <c r="O104" s="166"/>
      <c r="P104" s="166"/>
      <c r="Q104" s="166"/>
      <c r="R104" s="166"/>
      <c r="S104" s="166"/>
      <c r="T104" s="166"/>
      <c r="U104" s="166"/>
      <c r="V104" s="166"/>
      <c r="W104" s="166"/>
      <c r="X104" s="166"/>
      <c r="Y104" s="166"/>
    </row>
    <row r="105" spans="1:25" s="167" customFormat="1" ht="27" x14ac:dyDescent="0.3">
      <c r="A105" s="92" t="s">
        <v>2348</v>
      </c>
      <c r="B105" s="188">
        <v>41227</v>
      </c>
      <c r="C105" s="185" t="s">
        <v>2349</v>
      </c>
      <c r="D105" s="120" t="s">
        <v>2350</v>
      </c>
      <c r="E105" s="92" t="s">
        <v>2282</v>
      </c>
      <c r="F105" s="92" t="s">
        <v>229</v>
      </c>
      <c r="G105" s="112">
        <v>41229</v>
      </c>
      <c r="H105" s="93">
        <v>41234</v>
      </c>
      <c r="I105" s="63" t="s">
        <v>798</v>
      </c>
      <c r="J105" s="80"/>
      <c r="K105" s="165"/>
      <c r="L105" s="166"/>
      <c r="M105" s="166"/>
      <c r="N105" s="166"/>
      <c r="O105" s="166"/>
      <c r="P105" s="166"/>
      <c r="Q105" s="166"/>
      <c r="R105" s="166"/>
      <c r="S105" s="166"/>
      <c r="T105" s="166"/>
      <c r="U105" s="166"/>
      <c r="V105" s="166"/>
      <c r="W105" s="166"/>
      <c r="X105" s="166"/>
      <c r="Y105" s="166"/>
    </row>
    <row r="106" spans="1:25" s="167" customFormat="1" ht="16.5" x14ac:dyDescent="0.3">
      <c r="A106" s="92" t="s">
        <v>2351</v>
      </c>
      <c r="B106" s="188">
        <v>41227</v>
      </c>
      <c r="C106" s="185" t="s">
        <v>491</v>
      </c>
      <c r="D106" s="120" t="s">
        <v>2352</v>
      </c>
      <c r="E106" s="92" t="s">
        <v>1461</v>
      </c>
      <c r="F106" s="92" t="s">
        <v>229</v>
      </c>
      <c r="G106" s="112">
        <v>41243</v>
      </c>
      <c r="H106" s="93">
        <v>41243</v>
      </c>
      <c r="I106" s="63" t="s">
        <v>798</v>
      </c>
      <c r="J106" s="80"/>
      <c r="K106" s="165"/>
      <c r="L106" s="166"/>
      <c r="M106" s="166"/>
      <c r="N106" s="166"/>
      <c r="O106" s="166"/>
      <c r="P106" s="166"/>
      <c r="Q106" s="166"/>
      <c r="R106" s="166"/>
      <c r="S106" s="166"/>
      <c r="T106" s="166"/>
      <c r="U106" s="166"/>
      <c r="V106" s="166"/>
      <c r="W106" s="166"/>
      <c r="X106" s="166"/>
      <c r="Y106" s="166"/>
    </row>
    <row r="107" spans="1:25" s="167" customFormat="1" ht="27" x14ac:dyDescent="0.3">
      <c r="A107" s="92" t="s">
        <v>2353</v>
      </c>
      <c r="B107" s="188">
        <v>41229</v>
      </c>
      <c r="C107" s="185" t="s">
        <v>2354</v>
      </c>
      <c r="D107" s="120" t="s">
        <v>2355</v>
      </c>
      <c r="E107" s="92" t="s">
        <v>516</v>
      </c>
      <c r="F107" s="92" t="s">
        <v>794</v>
      </c>
      <c r="G107" s="112">
        <v>41250</v>
      </c>
      <c r="H107" s="93">
        <v>41250</v>
      </c>
      <c r="I107" s="63" t="s">
        <v>798</v>
      </c>
      <c r="J107" s="80"/>
      <c r="K107" s="165"/>
      <c r="L107" s="166"/>
      <c r="M107" s="166"/>
      <c r="N107" s="166"/>
      <c r="O107" s="166"/>
      <c r="P107" s="166"/>
      <c r="Q107" s="166"/>
      <c r="R107" s="166"/>
      <c r="S107" s="166"/>
      <c r="T107" s="166"/>
      <c r="U107" s="166"/>
      <c r="V107" s="166"/>
      <c r="W107" s="166"/>
      <c r="X107" s="166"/>
      <c r="Y107" s="166"/>
    </row>
    <row r="108" spans="1:25" s="167" customFormat="1" ht="40.5" x14ac:dyDescent="0.3">
      <c r="A108" s="92" t="s">
        <v>2356</v>
      </c>
      <c r="B108" s="188">
        <v>41229</v>
      </c>
      <c r="C108" s="185" t="s">
        <v>2357</v>
      </c>
      <c r="D108" s="120" t="s">
        <v>2358</v>
      </c>
      <c r="E108" s="92" t="s">
        <v>516</v>
      </c>
      <c r="F108" s="92" t="s">
        <v>794</v>
      </c>
      <c r="G108" s="112">
        <v>41244</v>
      </c>
      <c r="H108" s="93">
        <v>41309</v>
      </c>
      <c r="I108" s="63" t="s">
        <v>798</v>
      </c>
      <c r="J108" s="80"/>
      <c r="K108" s="165"/>
      <c r="L108" s="166"/>
      <c r="M108" s="166"/>
      <c r="N108" s="166"/>
      <c r="O108" s="166"/>
      <c r="P108" s="166"/>
      <c r="Q108" s="166"/>
      <c r="R108" s="166"/>
      <c r="S108" s="166"/>
      <c r="T108" s="166"/>
      <c r="U108" s="166"/>
      <c r="V108" s="166"/>
      <c r="W108" s="166"/>
      <c r="X108" s="166"/>
      <c r="Y108" s="166"/>
    </row>
    <row r="109" spans="1:25" s="167" customFormat="1" ht="27" x14ac:dyDescent="0.3">
      <c r="A109" s="92" t="s">
        <v>2360</v>
      </c>
      <c r="B109" s="188">
        <v>41229</v>
      </c>
      <c r="C109" s="185" t="s">
        <v>2361</v>
      </c>
      <c r="D109" s="120" t="s">
        <v>2362</v>
      </c>
      <c r="E109" s="92" t="s">
        <v>685</v>
      </c>
      <c r="F109" s="92" t="s">
        <v>229</v>
      </c>
      <c r="G109" s="112">
        <v>41229</v>
      </c>
      <c r="H109" s="93">
        <v>41232</v>
      </c>
      <c r="I109" s="63" t="s">
        <v>798</v>
      </c>
      <c r="J109" s="80"/>
      <c r="K109" s="165"/>
      <c r="L109" s="166"/>
      <c r="M109" s="166"/>
      <c r="N109" s="166"/>
      <c r="O109" s="166"/>
      <c r="P109" s="166"/>
      <c r="Q109" s="166"/>
      <c r="R109" s="166"/>
      <c r="S109" s="166"/>
      <c r="T109" s="166"/>
      <c r="U109" s="166"/>
      <c r="V109" s="166"/>
      <c r="W109" s="166"/>
      <c r="X109" s="166"/>
      <c r="Y109" s="166"/>
    </row>
    <row r="110" spans="1:25" s="167" customFormat="1" ht="16.5" x14ac:dyDescent="0.3">
      <c r="A110" s="92" t="s">
        <v>2363</v>
      </c>
      <c r="B110" s="188">
        <v>41233</v>
      </c>
      <c r="C110" s="185" t="s">
        <v>767</v>
      </c>
      <c r="D110" s="120" t="s">
        <v>2364</v>
      </c>
      <c r="E110" s="92" t="s">
        <v>685</v>
      </c>
      <c r="F110" s="92" t="s">
        <v>794</v>
      </c>
      <c r="G110" s="112">
        <v>41274</v>
      </c>
      <c r="H110" s="93">
        <v>41352</v>
      </c>
      <c r="I110" s="63" t="s">
        <v>798</v>
      </c>
      <c r="J110" s="80"/>
      <c r="K110" s="165"/>
      <c r="L110" s="166"/>
      <c r="M110" s="166"/>
      <c r="N110" s="166"/>
      <c r="O110" s="166"/>
      <c r="P110" s="166"/>
      <c r="Q110" s="166"/>
      <c r="R110" s="166"/>
      <c r="S110" s="166"/>
      <c r="T110" s="166"/>
      <c r="U110" s="166"/>
      <c r="V110" s="166"/>
      <c r="W110" s="166"/>
      <c r="X110" s="166"/>
      <c r="Y110" s="166"/>
    </row>
    <row r="111" spans="1:25" s="166" customFormat="1" ht="40.5" x14ac:dyDescent="0.3">
      <c r="A111" s="92" t="s">
        <v>2365</v>
      </c>
      <c r="B111" s="188">
        <v>41239</v>
      </c>
      <c r="C111" s="185" t="s">
        <v>485</v>
      </c>
      <c r="D111" s="120" t="s">
        <v>2366</v>
      </c>
      <c r="E111" s="92" t="s">
        <v>486</v>
      </c>
      <c r="F111" s="92" t="s">
        <v>229</v>
      </c>
      <c r="G111" s="112">
        <v>41274</v>
      </c>
      <c r="H111" s="112">
        <v>41708</v>
      </c>
      <c r="I111" s="92" t="s">
        <v>2961</v>
      </c>
      <c r="J111" s="80"/>
      <c r="K111" s="165"/>
    </row>
    <row r="112" spans="1:25" s="167" customFormat="1" ht="27" x14ac:dyDescent="0.3">
      <c r="A112" s="92" t="s">
        <v>2367</v>
      </c>
      <c r="B112" s="188">
        <v>41238</v>
      </c>
      <c r="C112" s="185" t="s">
        <v>2368</v>
      </c>
      <c r="D112" s="120" t="s">
        <v>2369</v>
      </c>
      <c r="E112" s="92" t="s">
        <v>486</v>
      </c>
      <c r="F112" s="92" t="s">
        <v>229</v>
      </c>
      <c r="G112" s="112">
        <v>41294</v>
      </c>
      <c r="H112" s="93">
        <v>41333</v>
      </c>
      <c r="I112" s="63" t="s">
        <v>798</v>
      </c>
      <c r="J112" s="80"/>
      <c r="K112" s="165"/>
      <c r="L112" s="166"/>
      <c r="M112" s="166"/>
      <c r="N112" s="166"/>
      <c r="O112" s="166"/>
      <c r="P112" s="166"/>
      <c r="Q112" s="166"/>
      <c r="R112" s="166"/>
      <c r="S112" s="166"/>
      <c r="T112" s="166"/>
      <c r="U112" s="166"/>
      <c r="V112" s="166"/>
      <c r="W112" s="166"/>
      <c r="X112" s="166"/>
      <c r="Y112" s="166"/>
    </row>
    <row r="113" spans="1:25" s="167" customFormat="1" ht="27" x14ac:dyDescent="0.3">
      <c r="A113" s="92" t="s">
        <v>2370</v>
      </c>
      <c r="B113" s="188">
        <v>41241</v>
      </c>
      <c r="C113" s="185" t="s">
        <v>2371</v>
      </c>
      <c r="D113" s="120" t="s">
        <v>2372</v>
      </c>
      <c r="E113" s="92" t="s">
        <v>794</v>
      </c>
      <c r="F113" s="92" t="s">
        <v>794</v>
      </c>
      <c r="G113" s="112">
        <v>41289</v>
      </c>
      <c r="H113" s="93">
        <v>41613</v>
      </c>
      <c r="I113" s="63" t="s">
        <v>798</v>
      </c>
      <c r="J113" s="80"/>
      <c r="K113" s="165"/>
      <c r="L113" s="166"/>
      <c r="M113" s="166"/>
      <c r="N113" s="166"/>
      <c r="O113" s="166"/>
      <c r="P113" s="166"/>
      <c r="Q113" s="166"/>
      <c r="R113" s="166"/>
      <c r="S113" s="166"/>
      <c r="T113" s="166"/>
      <c r="U113" s="166"/>
      <c r="V113" s="166"/>
      <c r="W113" s="166"/>
      <c r="X113" s="166"/>
      <c r="Y113" s="166"/>
    </row>
    <row r="114" spans="1:25" s="167" customFormat="1" ht="16.5" x14ac:dyDescent="0.3">
      <c r="A114" s="92" t="s">
        <v>2373</v>
      </c>
      <c r="B114" s="188">
        <v>41242</v>
      </c>
      <c r="C114" s="185" t="s">
        <v>2374</v>
      </c>
      <c r="D114" s="120" t="s">
        <v>2375</v>
      </c>
      <c r="E114" s="92" t="s">
        <v>1510</v>
      </c>
      <c r="F114" s="92" t="s">
        <v>1510</v>
      </c>
      <c r="G114" s="112">
        <v>41263</v>
      </c>
      <c r="H114" s="93">
        <v>41262</v>
      </c>
      <c r="I114" s="63" t="s">
        <v>798</v>
      </c>
      <c r="J114" s="80"/>
      <c r="K114" s="165"/>
      <c r="L114" s="166"/>
      <c r="M114" s="166"/>
      <c r="N114" s="166"/>
      <c r="O114" s="166"/>
      <c r="P114" s="166"/>
      <c r="Q114" s="166"/>
      <c r="R114" s="166"/>
      <c r="S114" s="166"/>
      <c r="T114" s="166"/>
      <c r="U114" s="166"/>
      <c r="V114" s="166"/>
      <c r="W114" s="166"/>
      <c r="X114" s="166"/>
      <c r="Y114" s="166"/>
    </row>
    <row r="115" spans="1:25" s="167" customFormat="1" ht="16.5" x14ac:dyDescent="0.3">
      <c r="A115" s="92" t="s">
        <v>2378</v>
      </c>
      <c r="B115" s="188">
        <v>41247</v>
      </c>
      <c r="C115" s="185" t="s">
        <v>2379</v>
      </c>
      <c r="D115" s="120" t="s">
        <v>2380</v>
      </c>
      <c r="E115" s="92" t="s">
        <v>2331</v>
      </c>
      <c r="F115" s="92" t="s">
        <v>229</v>
      </c>
      <c r="G115" s="112">
        <v>41305</v>
      </c>
      <c r="H115" s="93">
        <v>41599</v>
      </c>
      <c r="I115" s="63" t="s">
        <v>798</v>
      </c>
      <c r="J115" s="80"/>
      <c r="K115" s="165"/>
      <c r="L115" s="166"/>
      <c r="M115" s="166"/>
      <c r="N115" s="166"/>
      <c r="O115" s="166"/>
      <c r="P115" s="166"/>
      <c r="Q115" s="166"/>
      <c r="R115" s="166"/>
      <c r="S115" s="166"/>
      <c r="T115" s="166"/>
      <c r="U115" s="166"/>
      <c r="V115" s="166"/>
      <c r="W115" s="166"/>
      <c r="X115" s="166"/>
      <c r="Y115" s="166"/>
    </row>
    <row r="116" spans="1:25" s="167" customFormat="1" ht="16.5" x14ac:dyDescent="0.3">
      <c r="A116" s="92" t="s">
        <v>2381</v>
      </c>
      <c r="B116" s="188">
        <v>41247</v>
      </c>
      <c r="C116" s="185" t="s">
        <v>2172</v>
      </c>
      <c r="D116" s="120" t="s">
        <v>2382</v>
      </c>
      <c r="E116" s="92" t="s">
        <v>2331</v>
      </c>
      <c r="F116" s="92" t="s">
        <v>229</v>
      </c>
      <c r="G116" s="112">
        <v>41305</v>
      </c>
      <c r="H116" s="93" t="s">
        <v>2586</v>
      </c>
      <c r="I116" s="63" t="s">
        <v>798</v>
      </c>
      <c r="J116" s="80"/>
      <c r="K116" s="165"/>
      <c r="L116" s="166"/>
      <c r="M116" s="166"/>
      <c r="N116" s="166"/>
      <c r="O116" s="166"/>
      <c r="P116" s="166"/>
      <c r="Q116" s="166"/>
      <c r="R116" s="166"/>
      <c r="S116" s="166"/>
      <c r="T116" s="166"/>
      <c r="U116" s="166"/>
      <c r="V116" s="166"/>
      <c r="W116" s="166"/>
      <c r="X116" s="166"/>
      <c r="Y116" s="166"/>
    </row>
    <row r="117" spans="1:25" s="167" customFormat="1" ht="16.5" x14ac:dyDescent="0.3">
      <c r="A117" s="92" t="s">
        <v>2385</v>
      </c>
      <c r="B117" s="188">
        <v>41249</v>
      </c>
      <c r="C117" s="185" t="s">
        <v>2386</v>
      </c>
      <c r="D117" s="120" t="s">
        <v>2387</v>
      </c>
      <c r="E117" s="92" t="s">
        <v>615</v>
      </c>
      <c r="F117" s="92" t="s">
        <v>1510</v>
      </c>
      <c r="G117" s="112">
        <v>41289</v>
      </c>
      <c r="H117" s="112">
        <v>42906</v>
      </c>
      <c r="I117" s="92" t="s">
        <v>798</v>
      </c>
      <c r="J117" s="80"/>
      <c r="K117" s="165"/>
      <c r="L117" s="166"/>
      <c r="M117" s="166"/>
      <c r="N117" s="166"/>
      <c r="O117" s="166"/>
      <c r="P117" s="166"/>
      <c r="Q117" s="166"/>
      <c r="R117" s="166"/>
      <c r="S117" s="166"/>
      <c r="T117" s="166"/>
      <c r="U117" s="166"/>
      <c r="V117" s="166"/>
      <c r="W117" s="166"/>
      <c r="X117" s="166"/>
      <c r="Y117" s="166"/>
    </row>
    <row r="118" spans="1:25" s="167" customFormat="1" ht="16.5" x14ac:dyDescent="0.3">
      <c r="A118" s="92" t="s">
        <v>2415</v>
      </c>
      <c r="B118" s="188">
        <v>41250</v>
      </c>
      <c r="C118" s="185" t="s">
        <v>2388</v>
      </c>
      <c r="D118" s="120" t="s">
        <v>2792</v>
      </c>
      <c r="E118" s="92" t="s">
        <v>2389</v>
      </c>
      <c r="F118" s="92" t="s">
        <v>1810</v>
      </c>
      <c r="G118" s="112">
        <v>41345</v>
      </c>
      <c r="H118" s="93">
        <v>41360</v>
      </c>
      <c r="I118" s="63" t="s">
        <v>798</v>
      </c>
      <c r="J118" s="80"/>
      <c r="K118" s="165"/>
      <c r="L118" s="166"/>
      <c r="M118" s="166"/>
      <c r="N118" s="166"/>
      <c r="O118" s="166"/>
      <c r="P118" s="166"/>
      <c r="Q118" s="166"/>
      <c r="R118" s="166"/>
      <c r="S118" s="166"/>
      <c r="T118" s="166"/>
      <c r="U118" s="166"/>
      <c r="V118" s="166"/>
      <c r="W118" s="166"/>
      <c r="X118" s="166"/>
      <c r="Y118" s="166"/>
    </row>
    <row r="119" spans="1:25" s="167" customFormat="1" ht="16.5" x14ac:dyDescent="0.3">
      <c r="A119" s="92" t="s">
        <v>2391</v>
      </c>
      <c r="B119" s="188">
        <v>41250</v>
      </c>
      <c r="C119" s="185" t="s">
        <v>2393</v>
      </c>
      <c r="D119" s="120" t="s">
        <v>2905</v>
      </c>
      <c r="E119" s="92" t="s">
        <v>727</v>
      </c>
      <c r="F119" s="92" t="s">
        <v>794</v>
      </c>
      <c r="G119" s="112">
        <v>41305</v>
      </c>
      <c r="H119" s="93">
        <v>41309</v>
      </c>
      <c r="I119" s="63" t="s">
        <v>798</v>
      </c>
      <c r="J119" s="80"/>
      <c r="K119" s="165"/>
      <c r="L119" s="166"/>
      <c r="M119" s="166"/>
      <c r="N119" s="166"/>
      <c r="O119" s="166"/>
      <c r="P119" s="166"/>
      <c r="Q119" s="166"/>
      <c r="R119" s="166"/>
      <c r="S119" s="166"/>
      <c r="T119" s="166"/>
      <c r="U119" s="166"/>
      <c r="V119" s="166"/>
      <c r="W119" s="166"/>
      <c r="X119" s="166"/>
      <c r="Y119" s="166"/>
    </row>
    <row r="120" spans="1:25" s="167" customFormat="1" ht="16.5" x14ac:dyDescent="0.3">
      <c r="A120" s="92" t="s">
        <v>2392</v>
      </c>
      <c r="B120" s="188">
        <v>41250</v>
      </c>
      <c r="C120" s="185" t="s">
        <v>1380</v>
      </c>
      <c r="D120" s="120" t="s">
        <v>2394</v>
      </c>
      <c r="E120" s="92" t="s">
        <v>727</v>
      </c>
      <c r="F120" s="92" t="s">
        <v>794</v>
      </c>
      <c r="G120" s="112">
        <v>41274</v>
      </c>
      <c r="H120" s="93">
        <v>41254</v>
      </c>
      <c r="I120" s="63" t="s">
        <v>2376</v>
      </c>
      <c r="J120" s="80"/>
      <c r="K120" s="165"/>
      <c r="L120" s="166"/>
      <c r="M120" s="166"/>
      <c r="N120" s="166"/>
      <c r="O120" s="166"/>
      <c r="P120" s="166"/>
      <c r="Q120" s="166"/>
      <c r="R120" s="166"/>
      <c r="S120" s="166"/>
      <c r="T120" s="166"/>
      <c r="U120" s="166"/>
      <c r="V120" s="166"/>
      <c r="W120" s="166"/>
      <c r="X120" s="166"/>
      <c r="Y120" s="166"/>
    </row>
    <row r="121" spans="1:25" s="167" customFormat="1" ht="27" x14ac:dyDescent="0.3">
      <c r="A121" s="92" t="s">
        <v>2395</v>
      </c>
      <c r="B121" s="188">
        <v>41250</v>
      </c>
      <c r="C121" s="185" t="s">
        <v>2396</v>
      </c>
      <c r="D121" s="120" t="s">
        <v>2397</v>
      </c>
      <c r="E121" s="92" t="s">
        <v>727</v>
      </c>
      <c r="F121" s="92" t="s">
        <v>794</v>
      </c>
      <c r="G121" s="112">
        <v>41274</v>
      </c>
      <c r="H121" s="93">
        <v>41253</v>
      </c>
      <c r="I121" s="63" t="s">
        <v>798</v>
      </c>
      <c r="J121" s="80"/>
      <c r="K121" s="165"/>
      <c r="L121" s="166"/>
      <c r="M121" s="166"/>
      <c r="N121" s="166"/>
      <c r="O121" s="166"/>
      <c r="P121" s="166"/>
      <c r="Q121" s="166"/>
      <c r="R121" s="166"/>
      <c r="S121" s="166"/>
      <c r="T121" s="166"/>
      <c r="U121" s="166"/>
      <c r="V121" s="166"/>
      <c r="W121" s="166"/>
      <c r="X121" s="166"/>
      <c r="Y121" s="166"/>
    </row>
    <row r="122" spans="1:25" s="167" customFormat="1" ht="16.5" x14ac:dyDescent="0.3">
      <c r="A122" s="92" t="s">
        <v>2398</v>
      </c>
      <c r="B122" s="188">
        <v>41250</v>
      </c>
      <c r="C122" s="185" t="s">
        <v>2399</v>
      </c>
      <c r="D122" s="120" t="s">
        <v>2400</v>
      </c>
      <c r="E122" s="92" t="s">
        <v>727</v>
      </c>
      <c r="F122" s="92" t="s">
        <v>794</v>
      </c>
      <c r="G122" s="112">
        <v>41305</v>
      </c>
      <c r="H122" s="93">
        <v>41309</v>
      </c>
      <c r="I122" s="63" t="s">
        <v>2475</v>
      </c>
      <c r="J122" s="80"/>
      <c r="K122" s="165"/>
      <c r="L122" s="166"/>
      <c r="M122" s="166"/>
      <c r="N122" s="166"/>
      <c r="O122" s="166"/>
      <c r="P122" s="166"/>
      <c r="Q122" s="166"/>
      <c r="R122" s="166"/>
      <c r="S122" s="166"/>
      <c r="T122" s="166"/>
      <c r="U122" s="166"/>
      <c r="V122" s="166"/>
      <c r="W122" s="166"/>
      <c r="X122" s="166"/>
      <c r="Y122" s="166"/>
    </row>
    <row r="123" spans="1:25" s="167" customFormat="1" ht="16.5" x14ac:dyDescent="0.3">
      <c r="A123" s="92" t="s">
        <v>2401</v>
      </c>
      <c r="B123" s="188">
        <v>41250</v>
      </c>
      <c r="C123" s="185" t="s">
        <v>2402</v>
      </c>
      <c r="D123" s="120" t="s">
        <v>2400</v>
      </c>
      <c r="E123" s="92" t="s">
        <v>727</v>
      </c>
      <c r="F123" s="92" t="s">
        <v>794</v>
      </c>
      <c r="G123" s="112">
        <v>40999</v>
      </c>
      <c r="H123" s="93">
        <v>41310</v>
      </c>
      <c r="I123" s="63" t="s">
        <v>798</v>
      </c>
      <c r="J123" s="80"/>
      <c r="K123" s="165"/>
      <c r="L123" s="166"/>
      <c r="M123" s="166"/>
      <c r="N123" s="166"/>
      <c r="O123" s="166"/>
      <c r="P123" s="166"/>
      <c r="Q123" s="166"/>
      <c r="R123" s="166"/>
      <c r="S123" s="166"/>
      <c r="T123" s="166"/>
      <c r="U123" s="166"/>
      <c r="V123" s="166"/>
      <c r="W123" s="166"/>
      <c r="X123" s="166"/>
      <c r="Y123" s="166"/>
    </row>
    <row r="124" spans="1:25" s="167" customFormat="1" ht="27" x14ac:dyDescent="0.3">
      <c r="A124" s="92" t="s">
        <v>2403</v>
      </c>
      <c r="B124" s="188">
        <v>41253</v>
      </c>
      <c r="C124" s="185" t="s">
        <v>2404</v>
      </c>
      <c r="D124" s="120" t="s">
        <v>2405</v>
      </c>
      <c r="E124" s="92" t="s">
        <v>486</v>
      </c>
      <c r="F124" s="92" t="s">
        <v>794</v>
      </c>
      <c r="G124" s="112">
        <v>41305</v>
      </c>
      <c r="H124" s="93">
        <v>41800</v>
      </c>
      <c r="I124" s="63" t="s">
        <v>798</v>
      </c>
      <c r="J124" s="80"/>
      <c r="K124" s="165"/>
      <c r="L124" s="166"/>
      <c r="M124" s="166"/>
      <c r="N124" s="166"/>
      <c r="O124" s="166"/>
      <c r="P124" s="166"/>
      <c r="Q124" s="166"/>
      <c r="R124" s="166"/>
      <c r="S124" s="166"/>
      <c r="T124" s="166"/>
      <c r="U124" s="166"/>
      <c r="V124" s="166"/>
      <c r="W124" s="166"/>
      <c r="X124" s="166"/>
      <c r="Y124" s="166"/>
    </row>
    <row r="125" spans="1:25" s="167" customFormat="1" ht="27" x14ac:dyDescent="0.3">
      <c r="A125" s="92" t="s">
        <v>2406</v>
      </c>
      <c r="B125" s="188">
        <v>41253</v>
      </c>
      <c r="C125" s="185" t="s">
        <v>2407</v>
      </c>
      <c r="D125" s="120" t="s">
        <v>2408</v>
      </c>
      <c r="E125" s="92" t="s">
        <v>794</v>
      </c>
      <c r="F125" s="92" t="s">
        <v>441</v>
      </c>
      <c r="G125" s="112">
        <v>41274</v>
      </c>
      <c r="H125" s="93">
        <v>41333</v>
      </c>
      <c r="I125" s="63" t="s">
        <v>798</v>
      </c>
      <c r="J125" s="80"/>
      <c r="K125" s="165"/>
      <c r="L125" s="166"/>
      <c r="M125" s="166"/>
      <c r="N125" s="166"/>
      <c r="O125" s="166"/>
      <c r="P125" s="166"/>
      <c r="Q125" s="166"/>
      <c r="R125" s="166"/>
      <c r="S125" s="166"/>
      <c r="T125" s="166"/>
      <c r="U125" s="166"/>
      <c r="V125" s="166"/>
      <c r="W125" s="166"/>
      <c r="X125" s="166"/>
      <c r="Y125" s="166"/>
    </row>
    <row r="126" spans="1:25" s="167" customFormat="1" ht="16.5" x14ac:dyDescent="0.3">
      <c r="A126" s="92" t="s">
        <v>2409</v>
      </c>
      <c r="B126" s="188">
        <v>41253</v>
      </c>
      <c r="C126" s="185" t="s">
        <v>449</v>
      </c>
      <c r="D126" s="120" t="s">
        <v>2410</v>
      </c>
      <c r="E126" s="92" t="s">
        <v>794</v>
      </c>
      <c r="F126" s="92" t="s">
        <v>441</v>
      </c>
      <c r="G126" s="112">
        <v>41274</v>
      </c>
      <c r="H126" s="93">
        <v>41297</v>
      </c>
      <c r="I126" s="63" t="s">
        <v>798</v>
      </c>
      <c r="J126" s="80"/>
      <c r="K126" s="165"/>
      <c r="L126" s="166"/>
      <c r="M126" s="166"/>
      <c r="N126" s="166"/>
      <c r="O126" s="166"/>
      <c r="P126" s="166"/>
      <c r="Q126" s="166"/>
      <c r="R126" s="166"/>
      <c r="S126" s="166"/>
      <c r="T126" s="166"/>
      <c r="U126" s="166"/>
      <c r="V126" s="166"/>
      <c r="W126" s="166"/>
      <c r="X126" s="166"/>
      <c r="Y126" s="166"/>
    </row>
    <row r="127" spans="1:25" s="167" customFormat="1" ht="27" x14ac:dyDescent="0.3">
      <c r="A127" s="92" t="s">
        <v>2411</v>
      </c>
      <c r="B127" s="188">
        <v>41254</v>
      </c>
      <c r="C127" s="185" t="s">
        <v>1716</v>
      </c>
      <c r="D127" s="120" t="s">
        <v>2412</v>
      </c>
      <c r="E127" s="92" t="s">
        <v>516</v>
      </c>
      <c r="F127" s="92" t="s">
        <v>794</v>
      </c>
      <c r="G127" s="112">
        <v>41274</v>
      </c>
      <c r="H127" s="93">
        <v>41387</v>
      </c>
      <c r="I127" s="63" t="s">
        <v>798</v>
      </c>
      <c r="J127" s="80"/>
      <c r="K127" s="165"/>
      <c r="L127" s="166"/>
      <c r="M127" s="166"/>
      <c r="N127" s="166"/>
      <c r="O127" s="166"/>
      <c r="P127" s="166"/>
      <c r="Q127" s="166"/>
      <c r="R127" s="166"/>
      <c r="S127" s="166"/>
      <c r="T127" s="166"/>
      <c r="U127" s="166"/>
      <c r="V127" s="166"/>
      <c r="W127" s="166"/>
      <c r="X127" s="166"/>
      <c r="Y127" s="166"/>
    </row>
    <row r="128" spans="1:25" s="167" customFormat="1" ht="16.5" x14ac:dyDescent="0.3">
      <c r="A128" s="92" t="s">
        <v>2416</v>
      </c>
      <c r="B128" s="188">
        <v>41255</v>
      </c>
      <c r="C128" s="185" t="s">
        <v>374</v>
      </c>
      <c r="D128" s="120" t="s">
        <v>2352</v>
      </c>
      <c r="E128" s="92" t="s">
        <v>2331</v>
      </c>
      <c r="F128" s="92" t="s">
        <v>229</v>
      </c>
      <c r="G128" s="112">
        <v>41292</v>
      </c>
      <c r="H128" s="93">
        <v>41878</v>
      </c>
      <c r="I128" s="63" t="s">
        <v>798</v>
      </c>
      <c r="J128" s="80"/>
      <c r="K128" s="165"/>
      <c r="L128" s="166"/>
      <c r="M128" s="166"/>
      <c r="N128" s="166"/>
      <c r="O128" s="166"/>
      <c r="P128" s="166"/>
      <c r="Q128" s="166"/>
      <c r="R128" s="166"/>
      <c r="S128" s="166"/>
      <c r="T128" s="166"/>
      <c r="U128" s="166"/>
      <c r="V128" s="166"/>
      <c r="W128" s="166"/>
      <c r="X128" s="166"/>
      <c r="Y128" s="166"/>
    </row>
    <row r="129" spans="1:25" s="167" customFormat="1" ht="16.5" x14ac:dyDescent="0.3">
      <c r="A129" s="92" t="s">
        <v>2417</v>
      </c>
      <c r="B129" s="188">
        <v>41255</v>
      </c>
      <c r="C129" s="185" t="s">
        <v>859</v>
      </c>
      <c r="D129" s="120" t="s">
        <v>2352</v>
      </c>
      <c r="E129" s="92" t="s">
        <v>2331</v>
      </c>
      <c r="F129" s="92" t="s">
        <v>229</v>
      </c>
      <c r="G129" s="112">
        <v>41264</v>
      </c>
      <c r="H129" s="93">
        <v>41585</v>
      </c>
      <c r="I129" s="63" t="s">
        <v>798</v>
      </c>
      <c r="J129" s="80"/>
      <c r="K129" s="165"/>
      <c r="L129" s="166"/>
      <c r="M129" s="166"/>
      <c r="N129" s="166"/>
      <c r="O129" s="166"/>
      <c r="P129" s="166"/>
      <c r="Q129" s="166"/>
      <c r="R129" s="166"/>
      <c r="S129" s="166"/>
      <c r="T129" s="166"/>
      <c r="U129" s="166"/>
      <c r="V129" s="166"/>
      <c r="W129" s="166"/>
      <c r="X129" s="166"/>
      <c r="Y129" s="166"/>
    </row>
    <row r="130" spans="1:25" s="167" customFormat="1" ht="16.5" x14ac:dyDescent="0.3">
      <c r="A130" s="92" t="s">
        <v>2418</v>
      </c>
      <c r="B130" s="188">
        <v>41255</v>
      </c>
      <c r="C130" s="185" t="s">
        <v>1706</v>
      </c>
      <c r="D130" s="120" t="s">
        <v>2375</v>
      </c>
      <c r="E130" s="92" t="s">
        <v>2331</v>
      </c>
      <c r="F130" s="92" t="s">
        <v>229</v>
      </c>
      <c r="G130" s="112">
        <v>41305</v>
      </c>
      <c r="H130" s="93">
        <v>41515</v>
      </c>
      <c r="I130" s="63" t="s">
        <v>993</v>
      </c>
      <c r="J130" s="80"/>
      <c r="K130" s="165"/>
      <c r="L130" s="166"/>
      <c r="M130" s="166"/>
      <c r="N130" s="166"/>
      <c r="O130" s="166"/>
      <c r="P130" s="166"/>
      <c r="Q130" s="166"/>
      <c r="R130" s="166"/>
      <c r="S130" s="166"/>
      <c r="T130" s="166"/>
      <c r="U130" s="166"/>
      <c r="V130" s="166"/>
      <c r="W130" s="166"/>
      <c r="X130" s="166"/>
      <c r="Y130" s="166"/>
    </row>
    <row r="131" spans="1:25" s="167" customFormat="1" ht="16.5" x14ac:dyDescent="0.3">
      <c r="A131" s="92" t="s">
        <v>2419</v>
      </c>
      <c r="B131" s="188">
        <v>41256</v>
      </c>
      <c r="C131" s="185" t="s">
        <v>433</v>
      </c>
      <c r="D131" s="120" t="s">
        <v>2420</v>
      </c>
      <c r="E131" s="92" t="s">
        <v>1510</v>
      </c>
      <c r="F131" s="92" t="s">
        <v>1510</v>
      </c>
      <c r="G131" s="112">
        <v>41287</v>
      </c>
      <c r="H131" s="93">
        <v>41365</v>
      </c>
      <c r="I131" s="63" t="s">
        <v>798</v>
      </c>
      <c r="J131" s="80"/>
      <c r="K131" s="165"/>
      <c r="L131" s="166"/>
      <c r="M131" s="166"/>
      <c r="N131" s="166"/>
      <c r="O131" s="166"/>
      <c r="P131" s="166"/>
      <c r="Q131" s="166"/>
      <c r="R131" s="166"/>
      <c r="S131" s="166"/>
      <c r="T131" s="166"/>
      <c r="U131" s="166"/>
      <c r="V131" s="166"/>
      <c r="W131" s="166"/>
      <c r="X131" s="166"/>
      <c r="Y131" s="166"/>
    </row>
    <row r="132" spans="1:25" s="167" customFormat="1" ht="16.5" x14ac:dyDescent="0.3">
      <c r="A132" s="92" t="s">
        <v>2421</v>
      </c>
      <c r="B132" s="188">
        <v>41256</v>
      </c>
      <c r="C132" s="185" t="s">
        <v>2422</v>
      </c>
      <c r="D132" s="120" t="s">
        <v>2423</v>
      </c>
      <c r="E132" s="92" t="s">
        <v>1510</v>
      </c>
      <c r="F132" s="92" t="s">
        <v>1510</v>
      </c>
      <c r="G132" s="112">
        <v>41294</v>
      </c>
      <c r="H132" s="93">
        <v>41544</v>
      </c>
      <c r="I132" s="63" t="s">
        <v>798</v>
      </c>
      <c r="J132" s="80"/>
      <c r="K132" s="165"/>
      <c r="L132" s="166"/>
      <c r="M132" s="166"/>
      <c r="N132" s="166"/>
      <c r="O132" s="166"/>
      <c r="P132" s="166"/>
      <c r="Q132" s="166"/>
      <c r="R132" s="166"/>
      <c r="S132" s="166"/>
      <c r="T132" s="166"/>
      <c r="U132" s="166"/>
      <c r="V132" s="166"/>
      <c r="W132" s="166"/>
      <c r="X132" s="166"/>
      <c r="Y132" s="166"/>
    </row>
    <row r="133" spans="1:25" s="167" customFormat="1" ht="16.5" x14ac:dyDescent="0.3">
      <c r="A133" s="92" t="s">
        <v>2424</v>
      </c>
      <c r="B133" s="188">
        <v>41256</v>
      </c>
      <c r="C133" s="185" t="s">
        <v>533</v>
      </c>
      <c r="D133" s="120" t="s">
        <v>921</v>
      </c>
      <c r="E133" s="92" t="s">
        <v>81</v>
      </c>
      <c r="F133" s="92" t="s">
        <v>1510</v>
      </c>
      <c r="G133" s="112">
        <v>41288</v>
      </c>
      <c r="H133" s="93">
        <v>41366</v>
      </c>
      <c r="I133" s="63" t="s">
        <v>798</v>
      </c>
      <c r="J133" s="80"/>
      <c r="K133" s="165"/>
      <c r="L133" s="166"/>
      <c r="M133" s="166"/>
      <c r="N133" s="166"/>
      <c r="O133" s="166"/>
      <c r="P133" s="166"/>
      <c r="Q133" s="166"/>
      <c r="R133" s="166"/>
      <c r="S133" s="166"/>
      <c r="T133" s="166"/>
      <c r="U133" s="166"/>
      <c r="V133" s="166"/>
      <c r="W133" s="166"/>
      <c r="X133" s="166"/>
      <c r="Y133" s="166"/>
    </row>
    <row r="134" spans="1:25" s="167" customFormat="1" ht="16.5" x14ac:dyDescent="0.3">
      <c r="A134" s="92" t="s">
        <v>2425</v>
      </c>
      <c r="B134" s="188">
        <v>41256</v>
      </c>
      <c r="C134" s="185" t="s">
        <v>2435</v>
      </c>
      <c r="D134" s="120" t="s">
        <v>2427</v>
      </c>
      <c r="E134" s="92" t="s">
        <v>2428</v>
      </c>
      <c r="F134" s="92" t="s">
        <v>229</v>
      </c>
      <c r="G134" s="112">
        <v>41276</v>
      </c>
      <c r="H134" s="93">
        <v>41523</v>
      </c>
      <c r="I134" s="63" t="s">
        <v>798</v>
      </c>
      <c r="J134" s="80"/>
      <c r="K134" s="165"/>
      <c r="L134" s="166"/>
      <c r="M134" s="166"/>
      <c r="N134" s="166"/>
      <c r="O134" s="166"/>
      <c r="P134" s="166"/>
      <c r="Q134" s="166"/>
      <c r="R134" s="166"/>
      <c r="S134" s="166"/>
      <c r="T134" s="166"/>
      <c r="U134" s="166"/>
      <c r="V134" s="166"/>
      <c r="W134" s="166"/>
      <c r="X134" s="166"/>
      <c r="Y134" s="166"/>
    </row>
    <row r="135" spans="1:25" s="167" customFormat="1" ht="16.5" x14ac:dyDescent="0.3">
      <c r="A135" s="92" t="s">
        <v>2426</v>
      </c>
      <c r="B135" s="188">
        <v>41256</v>
      </c>
      <c r="C135" s="185" t="s">
        <v>2436</v>
      </c>
      <c r="D135" s="120" t="s">
        <v>2429</v>
      </c>
      <c r="E135" s="92" t="s">
        <v>2428</v>
      </c>
      <c r="F135" s="92" t="s">
        <v>229</v>
      </c>
      <c r="G135" s="112">
        <v>41276</v>
      </c>
      <c r="H135" s="93">
        <v>41417</v>
      </c>
      <c r="I135" s="63" t="s">
        <v>798</v>
      </c>
      <c r="J135" s="80"/>
      <c r="K135" s="165"/>
      <c r="L135" s="166"/>
      <c r="M135" s="166"/>
      <c r="N135" s="166"/>
      <c r="O135" s="166"/>
      <c r="P135" s="166"/>
      <c r="Q135" s="166"/>
      <c r="R135" s="166"/>
      <c r="S135" s="166"/>
      <c r="T135" s="166"/>
      <c r="U135" s="166"/>
      <c r="V135" s="166"/>
      <c r="W135" s="166"/>
      <c r="X135" s="166"/>
      <c r="Y135" s="166"/>
    </row>
    <row r="136" spans="1:25" s="167" customFormat="1" ht="16.5" x14ac:dyDescent="0.3">
      <c r="A136" s="92" t="s">
        <v>2432</v>
      </c>
      <c r="B136" s="188">
        <v>41260</v>
      </c>
      <c r="C136" s="185" t="s">
        <v>2433</v>
      </c>
      <c r="D136" s="120" t="s">
        <v>1913</v>
      </c>
      <c r="E136" s="92" t="s">
        <v>516</v>
      </c>
      <c r="F136" s="92" t="s">
        <v>794</v>
      </c>
      <c r="G136" s="112">
        <v>41271</v>
      </c>
      <c r="H136" s="93">
        <v>41708</v>
      </c>
      <c r="I136" s="63" t="s">
        <v>798</v>
      </c>
      <c r="J136" s="80"/>
      <c r="K136" s="165"/>
      <c r="L136" s="166"/>
      <c r="M136" s="166"/>
      <c r="N136" s="166"/>
      <c r="O136" s="166"/>
      <c r="P136" s="166"/>
      <c r="Q136" s="166"/>
      <c r="R136" s="166"/>
      <c r="S136" s="166"/>
      <c r="T136" s="166"/>
      <c r="U136" s="166"/>
      <c r="V136" s="166"/>
      <c r="W136" s="166"/>
      <c r="X136" s="166"/>
      <c r="Y136" s="166"/>
    </row>
    <row r="137" spans="1:25" s="167" customFormat="1" ht="16.5" x14ac:dyDescent="0.3">
      <c r="A137" s="92" t="s">
        <v>2437</v>
      </c>
      <c r="B137" s="188">
        <v>41260</v>
      </c>
      <c r="C137" s="185" t="s">
        <v>2434</v>
      </c>
      <c r="D137" s="120" t="s">
        <v>1913</v>
      </c>
      <c r="E137" s="92" t="s">
        <v>516</v>
      </c>
      <c r="F137" s="92" t="s">
        <v>794</v>
      </c>
      <c r="G137" s="112">
        <v>41261</v>
      </c>
      <c r="H137" s="93">
        <v>41542</v>
      </c>
      <c r="I137" s="63" t="s">
        <v>798</v>
      </c>
      <c r="J137" s="80"/>
      <c r="K137" s="165"/>
      <c r="L137" s="166"/>
      <c r="M137" s="166"/>
      <c r="N137" s="166"/>
      <c r="O137" s="166"/>
      <c r="P137" s="166"/>
      <c r="Q137" s="166"/>
      <c r="R137" s="166"/>
      <c r="S137" s="166"/>
      <c r="T137" s="166"/>
      <c r="U137" s="166"/>
      <c r="V137" s="166"/>
      <c r="W137" s="166"/>
      <c r="X137" s="166"/>
      <c r="Y137" s="166"/>
    </row>
    <row r="138" spans="1:25" s="167" customFormat="1" ht="27" x14ac:dyDescent="0.3">
      <c r="A138" s="92" t="s">
        <v>2438</v>
      </c>
      <c r="B138" s="188">
        <v>41261</v>
      </c>
      <c r="C138" s="185" t="s">
        <v>2453</v>
      </c>
      <c r="D138" s="120" t="s">
        <v>2439</v>
      </c>
      <c r="E138" s="92" t="s">
        <v>1810</v>
      </c>
      <c r="F138" s="92" t="s">
        <v>794</v>
      </c>
      <c r="G138" s="112">
        <v>41261</v>
      </c>
      <c r="H138" s="93">
        <v>41262</v>
      </c>
      <c r="I138" s="63" t="s">
        <v>798</v>
      </c>
      <c r="J138" s="80"/>
      <c r="K138" s="165"/>
      <c r="L138" s="166"/>
      <c r="M138" s="166"/>
      <c r="N138" s="166"/>
      <c r="O138" s="166"/>
      <c r="P138" s="166"/>
      <c r="Q138" s="166"/>
      <c r="R138" s="166"/>
      <c r="S138" s="166"/>
      <c r="T138" s="166"/>
      <c r="U138" s="166"/>
      <c r="V138" s="166"/>
      <c r="W138" s="166"/>
      <c r="X138" s="166"/>
      <c r="Y138" s="166"/>
    </row>
    <row r="139" spans="1:25" s="167" customFormat="1" ht="16.5" x14ac:dyDescent="0.3">
      <c r="A139" s="92" t="s">
        <v>2440</v>
      </c>
      <c r="B139" s="188">
        <v>41262</v>
      </c>
      <c r="C139" s="185" t="s">
        <v>972</v>
      </c>
      <c r="D139" s="120" t="s">
        <v>2443</v>
      </c>
      <c r="E139" s="92" t="s">
        <v>615</v>
      </c>
      <c r="F139" s="92" t="s">
        <v>1510</v>
      </c>
      <c r="G139" s="112">
        <v>41295</v>
      </c>
      <c r="H139" s="93">
        <v>41499</v>
      </c>
      <c r="I139" s="63" t="s">
        <v>2679</v>
      </c>
      <c r="J139" s="80"/>
      <c r="K139" s="165"/>
      <c r="L139" s="166"/>
      <c r="M139" s="166"/>
      <c r="N139" s="166"/>
      <c r="O139" s="166"/>
      <c r="P139" s="166"/>
      <c r="Q139" s="166"/>
      <c r="R139" s="166"/>
      <c r="S139" s="166"/>
      <c r="T139" s="166"/>
      <c r="U139" s="166"/>
      <c r="V139" s="166"/>
      <c r="W139" s="166"/>
      <c r="X139" s="166"/>
      <c r="Y139" s="166"/>
    </row>
    <row r="140" spans="1:25" s="167" customFormat="1" ht="16.5" x14ac:dyDescent="0.3">
      <c r="A140" s="92" t="s">
        <v>2441</v>
      </c>
      <c r="B140" s="188">
        <v>41262</v>
      </c>
      <c r="C140" s="185" t="s">
        <v>2444</v>
      </c>
      <c r="D140" s="120" t="s">
        <v>2443</v>
      </c>
      <c r="E140" s="92" t="s">
        <v>615</v>
      </c>
      <c r="F140" s="92" t="s">
        <v>1510</v>
      </c>
      <c r="G140" s="112">
        <v>41295</v>
      </c>
      <c r="H140" s="93">
        <v>41499</v>
      </c>
      <c r="I140" s="63" t="s">
        <v>2679</v>
      </c>
      <c r="J140" s="80"/>
      <c r="K140" s="165"/>
      <c r="L140" s="166"/>
      <c r="M140" s="166"/>
      <c r="N140" s="166"/>
      <c r="O140" s="166"/>
      <c r="P140" s="166"/>
      <c r="Q140" s="166"/>
      <c r="R140" s="166"/>
      <c r="S140" s="166"/>
      <c r="T140" s="166"/>
      <c r="U140" s="166"/>
      <c r="V140" s="166"/>
      <c r="W140" s="166"/>
      <c r="X140" s="166"/>
      <c r="Y140" s="166"/>
    </row>
    <row r="141" spans="1:25" s="167" customFormat="1" ht="16.5" x14ac:dyDescent="0.3">
      <c r="A141" s="92" t="s">
        <v>2442</v>
      </c>
      <c r="B141" s="188">
        <v>41262</v>
      </c>
      <c r="C141" s="185" t="s">
        <v>165</v>
      </c>
      <c r="D141" s="120" t="s">
        <v>2443</v>
      </c>
      <c r="E141" s="92" t="s">
        <v>615</v>
      </c>
      <c r="F141" s="92" t="s">
        <v>1510</v>
      </c>
      <c r="G141" s="112">
        <v>41295</v>
      </c>
      <c r="H141" s="93">
        <v>41499</v>
      </c>
      <c r="I141" s="63" t="s">
        <v>2679</v>
      </c>
      <c r="J141" s="80"/>
      <c r="K141" s="165"/>
      <c r="L141" s="166"/>
      <c r="M141" s="166"/>
      <c r="N141" s="166"/>
      <c r="O141" s="166"/>
      <c r="P141" s="166"/>
      <c r="Q141" s="166"/>
      <c r="R141" s="166"/>
      <c r="S141" s="166"/>
      <c r="T141" s="166"/>
      <c r="U141" s="166"/>
      <c r="V141" s="166"/>
      <c r="W141" s="166"/>
      <c r="X141" s="166"/>
      <c r="Y141" s="166"/>
    </row>
    <row r="142" spans="1:25" s="167" customFormat="1" ht="27.75" x14ac:dyDescent="0.3">
      <c r="A142" s="92" t="s">
        <v>2445</v>
      </c>
      <c r="B142" s="188">
        <v>41262</v>
      </c>
      <c r="C142" s="185" t="s">
        <v>15</v>
      </c>
      <c r="D142" s="120" t="s">
        <v>2446</v>
      </c>
      <c r="E142" s="92" t="s">
        <v>2389</v>
      </c>
      <c r="F142" s="92" t="s">
        <v>441</v>
      </c>
      <c r="G142" s="112">
        <v>41373</v>
      </c>
      <c r="H142" s="93">
        <v>41389</v>
      </c>
      <c r="I142" s="63" t="s">
        <v>993</v>
      </c>
      <c r="J142" s="80" t="s">
        <v>2553</v>
      </c>
      <c r="K142" s="165"/>
      <c r="L142" s="166"/>
      <c r="M142" s="166"/>
      <c r="N142" s="166"/>
      <c r="O142" s="166"/>
      <c r="P142" s="166"/>
      <c r="Q142" s="166"/>
      <c r="R142" s="166"/>
      <c r="S142" s="166"/>
      <c r="T142" s="166"/>
      <c r="U142" s="166"/>
      <c r="V142" s="166"/>
      <c r="W142" s="166"/>
      <c r="X142" s="166"/>
      <c r="Y142" s="166"/>
    </row>
    <row r="143" spans="1:25" s="167" customFormat="1" ht="16.5" x14ac:dyDescent="0.3">
      <c r="A143" s="92" t="s">
        <v>2447</v>
      </c>
      <c r="B143" s="188">
        <v>41262</v>
      </c>
      <c r="C143" s="185" t="s">
        <v>437</v>
      </c>
      <c r="D143" s="120" t="s">
        <v>2448</v>
      </c>
      <c r="E143" s="92" t="s">
        <v>1461</v>
      </c>
      <c r="F143" s="92" t="s">
        <v>229</v>
      </c>
      <c r="G143" s="112">
        <v>41274</v>
      </c>
      <c r="H143" s="93">
        <v>41333</v>
      </c>
      <c r="I143" s="63" t="s">
        <v>798</v>
      </c>
      <c r="J143" s="80"/>
      <c r="K143" s="165"/>
      <c r="L143" s="166"/>
      <c r="M143" s="166"/>
      <c r="N143" s="166"/>
      <c r="O143" s="166"/>
      <c r="P143" s="166"/>
      <c r="Q143" s="166"/>
      <c r="R143" s="166"/>
      <c r="S143" s="166"/>
      <c r="T143" s="166"/>
      <c r="U143" s="166"/>
      <c r="V143" s="166"/>
      <c r="W143" s="166"/>
      <c r="X143" s="166"/>
      <c r="Y143" s="166"/>
    </row>
    <row r="144" spans="1:25" s="167" customFormat="1" ht="16.5" x14ac:dyDescent="0.3">
      <c r="A144" s="535" t="s">
        <v>2452</v>
      </c>
      <c r="B144" s="536"/>
      <c r="C144" s="536"/>
      <c r="D144" s="536"/>
      <c r="E144" s="536"/>
      <c r="F144" s="536"/>
      <c r="G144" s="536"/>
      <c r="H144" s="536"/>
      <c r="I144" s="537"/>
      <c r="J144" s="80"/>
      <c r="K144" s="165"/>
      <c r="L144" s="166"/>
      <c r="M144" s="166"/>
      <c r="N144" s="166"/>
      <c r="O144" s="166"/>
      <c r="P144" s="166"/>
      <c r="Q144" s="166"/>
      <c r="R144" s="166"/>
      <c r="S144" s="166"/>
      <c r="T144" s="166"/>
      <c r="U144" s="166"/>
      <c r="V144" s="166"/>
      <c r="W144" s="166"/>
      <c r="X144" s="166"/>
      <c r="Y144" s="166"/>
    </row>
    <row r="145" spans="1:25" s="167" customFormat="1" ht="16.5" x14ac:dyDescent="0.3">
      <c r="A145" s="118"/>
      <c r="B145" s="158"/>
      <c r="C145" s="118"/>
      <c r="D145" s="127"/>
      <c r="E145" s="116"/>
      <c r="F145" s="116"/>
      <c r="G145" s="159"/>
      <c r="H145" s="159"/>
      <c r="I145" s="117"/>
      <c r="J145" s="80"/>
      <c r="K145" s="165"/>
      <c r="L145" s="166"/>
      <c r="M145" s="166"/>
      <c r="N145" s="166"/>
      <c r="O145" s="166"/>
      <c r="P145" s="166"/>
      <c r="Q145" s="166"/>
      <c r="R145" s="166"/>
      <c r="S145" s="166"/>
      <c r="T145" s="166"/>
      <c r="U145" s="166"/>
      <c r="V145" s="166"/>
      <c r="W145" s="166"/>
      <c r="X145" s="166"/>
      <c r="Y145" s="166"/>
    </row>
    <row r="146" spans="1:25" s="167" customFormat="1" ht="16.5" x14ac:dyDescent="0.3">
      <c r="A146" s="92"/>
      <c r="B146" s="188"/>
      <c r="C146" s="185"/>
      <c r="D146" s="120"/>
      <c r="E146" s="92"/>
      <c r="F146" s="92"/>
      <c r="G146" s="112"/>
      <c r="H146" s="112"/>
      <c r="I146" s="63"/>
      <c r="J146" s="80"/>
      <c r="K146" s="165"/>
      <c r="L146" s="166"/>
      <c r="M146" s="166"/>
      <c r="N146" s="166"/>
      <c r="O146" s="166"/>
      <c r="P146" s="166"/>
      <c r="Q146" s="166"/>
      <c r="R146" s="166"/>
      <c r="S146" s="166"/>
      <c r="T146" s="166"/>
      <c r="U146" s="166"/>
      <c r="V146" s="166"/>
      <c r="W146" s="166"/>
      <c r="X146" s="166"/>
      <c r="Y146" s="166"/>
    </row>
    <row r="147" spans="1:25" s="167" customFormat="1" ht="16.5" x14ac:dyDescent="0.3">
      <c r="A147" s="92"/>
      <c r="B147" s="188"/>
      <c r="C147" s="185"/>
      <c r="D147" s="120"/>
      <c r="E147" s="92"/>
      <c r="F147" s="92"/>
      <c r="G147" s="112"/>
      <c r="H147" s="93"/>
      <c r="I147" s="63"/>
      <c r="J147" s="80"/>
      <c r="K147" s="165"/>
      <c r="L147" s="166"/>
      <c r="M147" s="166"/>
      <c r="N147" s="166"/>
      <c r="O147" s="166"/>
      <c r="P147" s="166"/>
      <c r="Q147" s="166"/>
      <c r="R147" s="166"/>
      <c r="S147" s="166"/>
      <c r="T147" s="166"/>
      <c r="U147" s="166"/>
      <c r="V147" s="166"/>
      <c r="W147" s="166"/>
      <c r="X147" s="166"/>
      <c r="Y147" s="166"/>
    </row>
    <row r="148" spans="1:25" s="167" customFormat="1" ht="16.5" x14ac:dyDescent="0.3">
      <c r="A148" s="92"/>
      <c r="B148" s="188"/>
      <c r="C148" s="185"/>
      <c r="D148" s="120"/>
      <c r="E148" s="92"/>
      <c r="F148" s="92"/>
      <c r="G148" s="112"/>
      <c r="H148" s="93"/>
      <c r="I148" s="63"/>
      <c r="J148" s="80"/>
      <c r="K148" s="165"/>
      <c r="L148" s="166"/>
      <c r="M148" s="166"/>
      <c r="N148" s="166"/>
      <c r="O148" s="166"/>
      <c r="P148" s="166"/>
      <c r="Q148" s="166"/>
      <c r="R148" s="166"/>
      <c r="S148" s="166"/>
      <c r="T148" s="166"/>
      <c r="U148" s="166"/>
      <c r="V148" s="166"/>
      <c r="W148" s="166"/>
      <c r="X148" s="166"/>
      <c r="Y148" s="166"/>
    </row>
    <row r="149" spans="1:25" s="167" customFormat="1" ht="16.5" x14ac:dyDescent="0.3">
      <c r="A149" s="92"/>
      <c r="B149" s="188"/>
      <c r="C149" s="185"/>
      <c r="D149" s="120"/>
      <c r="E149" s="92"/>
      <c r="F149" s="92"/>
      <c r="G149" s="112"/>
      <c r="H149" s="93"/>
      <c r="I149" s="63"/>
      <c r="J149" s="80"/>
      <c r="K149" s="165"/>
      <c r="L149" s="166"/>
      <c r="M149" s="166"/>
      <c r="N149" s="166"/>
      <c r="O149" s="166"/>
      <c r="P149" s="166"/>
      <c r="Q149" s="166"/>
      <c r="R149" s="166"/>
      <c r="S149" s="166"/>
      <c r="T149" s="166"/>
      <c r="U149" s="166"/>
      <c r="V149" s="166"/>
      <c r="W149" s="166"/>
      <c r="X149" s="166"/>
      <c r="Y149" s="166"/>
    </row>
    <row r="150" spans="1:25" s="167" customFormat="1" ht="16.5" x14ac:dyDescent="0.3">
      <c r="A150" s="92"/>
      <c r="B150" s="188"/>
      <c r="C150" s="185"/>
      <c r="D150" s="120"/>
      <c r="E150" s="92"/>
      <c r="F150" s="92"/>
      <c r="G150" s="112"/>
      <c r="H150" s="93"/>
      <c r="I150" s="63"/>
      <c r="J150" s="80"/>
      <c r="K150" s="165"/>
      <c r="L150" s="166"/>
      <c r="M150" s="166"/>
      <c r="N150" s="166"/>
      <c r="O150" s="166"/>
      <c r="P150" s="166"/>
      <c r="Q150" s="166"/>
      <c r="R150" s="166"/>
      <c r="S150" s="166"/>
      <c r="T150" s="166"/>
      <c r="U150" s="166"/>
      <c r="V150" s="166"/>
      <c r="W150" s="166"/>
      <c r="X150" s="166"/>
      <c r="Y150" s="166"/>
    </row>
    <row r="151" spans="1:25" s="167" customFormat="1" ht="16.5" x14ac:dyDescent="0.3">
      <c r="A151" s="92"/>
      <c r="B151" s="188"/>
      <c r="C151" s="185"/>
      <c r="D151" s="120"/>
      <c r="E151" s="92"/>
      <c r="F151" s="92"/>
      <c r="G151" s="112"/>
      <c r="H151" s="93"/>
      <c r="I151" s="63"/>
      <c r="J151" s="80"/>
      <c r="K151" s="165"/>
      <c r="L151" s="166"/>
      <c r="M151" s="166"/>
      <c r="N151" s="166"/>
      <c r="O151" s="166"/>
      <c r="P151" s="166"/>
      <c r="Q151" s="166"/>
      <c r="R151" s="166"/>
      <c r="S151" s="166"/>
      <c r="T151" s="166"/>
      <c r="U151" s="166"/>
      <c r="V151" s="166"/>
      <c r="W151" s="166"/>
      <c r="X151" s="166"/>
      <c r="Y151" s="166"/>
    </row>
    <row r="152" spans="1:25" s="167" customFormat="1" ht="16.5" x14ac:dyDescent="0.3">
      <c r="A152" s="92"/>
      <c r="B152" s="188"/>
      <c r="C152" s="185"/>
      <c r="D152" s="120"/>
      <c r="E152" s="92"/>
      <c r="F152" s="92"/>
      <c r="G152" s="112"/>
      <c r="H152" s="93"/>
      <c r="I152" s="63"/>
      <c r="J152" s="80"/>
      <c r="K152" s="165"/>
      <c r="L152" s="166"/>
      <c r="M152" s="166"/>
      <c r="N152" s="166"/>
      <c r="O152" s="166"/>
      <c r="P152" s="166"/>
      <c r="Q152" s="166"/>
      <c r="R152" s="166"/>
      <c r="S152" s="166"/>
      <c r="T152" s="166"/>
      <c r="U152" s="166"/>
      <c r="V152" s="166"/>
      <c r="W152" s="166"/>
      <c r="X152" s="166"/>
      <c r="Y152" s="166"/>
    </row>
    <row r="153" spans="1:25" s="167" customFormat="1" ht="16.5" x14ac:dyDescent="0.3">
      <c r="A153" s="92"/>
      <c r="B153" s="188"/>
      <c r="C153" s="185"/>
      <c r="D153" s="120"/>
      <c r="E153" s="92"/>
      <c r="F153" s="92"/>
      <c r="G153" s="112"/>
      <c r="H153" s="93"/>
      <c r="I153" s="63"/>
      <c r="J153" s="80"/>
      <c r="K153" s="165"/>
      <c r="L153" s="166"/>
      <c r="M153" s="166"/>
      <c r="N153" s="166"/>
      <c r="O153" s="166"/>
      <c r="P153" s="166"/>
      <c r="Q153" s="166"/>
      <c r="R153" s="166"/>
      <c r="S153" s="166"/>
      <c r="T153" s="166"/>
      <c r="U153" s="166"/>
      <c r="V153" s="166"/>
      <c r="W153" s="166"/>
      <c r="X153" s="166"/>
      <c r="Y153" s="166"/>
    </row>
    <row r="154" spans="1:25" s="167" customFormat="1" ht="16.5" x14ac:dyDescent="0.3">
      <c r="A154" s="92"/>
      <c r="B154" s="188"/>
      <c r="C154" s="185"/>
      <c r="D154" s="120"/>
      <c r="E154" s="92"/>
      <c r="F154" s="92"/>
      <c r="G154" s="112"/>
      <c r="H154" s="112"/>
      <c r="I154" s="92"/>
      <c r="J154" s="80"/>
      <c r="K154" s="165"/>
      <c r="L154" s="166"/>
      <c r="M154" s="166"/>
      <c r="N154" s="166"/>
      <c r="O154" s="166"/>
      <c r="P154" s="166"/>
      <c r="Q154" s="166"/>
      <c r="R154" s="166"/>
      <c r="S154" s="166"/>
      <c r="T154" s="166"/>
      <c r="U154" s="166"/>
      <c r="V154" s="166"/>
      <c r="W154" s="166"/>
      <c r="X154" s="166"/>
      <c r="Y154" s="166"/>
    </row>
    <row r="155" spans="1:25" s="167" customFormat="1" ht="16.5" x14ac:dyDescent="0.3">
      <c r="A155" s="92"/>
      <c r="B155" s="188"/>
      <c r="C155" s="185"/>
      <c r="D155" s="120"/>
      <c r="E155" s="92"/>
      <c r="F155" s="92"/>
      <c r="G155" s="112"/>
      <c r="H155" s="112"/>
      <c r="I155" s="92"/>
      <c r="J155" s="80"/>
      <c r="K155" s="165"/>
      <c r="L155" s="166"/>
      <c r="M155" s="166"/>
      <c r="N155" s="166"/>
      <c r="O155" s="166"/>
      <c r="P155" s="166"/>
      <c r="Q155" s="166"/>
      <c r="R155" s="166"/>
      <c r="S155" s="166"/>
      <c r="T155" s="166"/>
      <c r="U155" s="166"/>
      <c r="V155" s="166"/>
      <c r="W155" s="166"/>
      <c r="X155" s="166"/>
      <c r="Y155" s="166"/>
    </row>
    <row r="156" spans="1:25" s="167" customFormat="1" ht="16.5" x14ac:dyDescent="0.3">
      <c r="A156" s="116"/>
      <c r="B156" s="186"/>
      <c r="C156" s="118"/>
      <c r="D156" s="111"/>
      <c r="E156" s="63"/>
      <c r="F156" s="63"/>
      <c r="G156" s="93"/>
      <c r="H156" s="93"/>
      <c r="I156" s="63"/>
      <c r="J156" s="80"/>
      <c r="K156" s="165"/>
      <c r="L156" s="166"/>
      <c r="M156" s="166"/>
      <c r="N156" s="166"/>
      <c r="O156" s="166"/>
      <c r="P156" s="166"/>
      <c r="Q156" s="166"/>
      <c r="R156" s="166"/>
      <c r="S156" s="166"/>
      <c r="T156" s="166"/>
      <c r="U156" s="166"/>
      <c r="V156" s="166"/>
      <c r="W156" s="166"/>
      <c r="X156" s="166"/>
      <c r="Y156" s="166"/>
    </row>
    <row r="157" spans="1:25" s="167" customFormat="1" ht="16.5" x14ac:dyDescent="0.3">
      <c r="A157" s="92"/>
      <c r="B157" s="188"/>
      <c r="C157" s="185"/>
      <c r="D157" s="120"/>
      <c r="E157" s="63"/>
      <c r="F157" s="63"/>
      <c r="G157" s="93"/>
      <c r="H157" s="93"/>
      <c r="I157" s="63"/>
      <c r="J157" s="80"/>
      <c r="K157" s="165"/>
      <c r="L157" s="166"/>
      <c r="M157" s="166"/>
      <c r="N157" s="166"/>
      <c r="O157" s="166"/>
      <c r="P157" s="166"/>
      <c r="Q157" s="166"/>
      <c r="R157" s="166"/>
      <c r="S157" s="166"/>
      <c r="T157" s="166"/>
      <c r="U157" s="166"/>
      <c r="V157" s="166"/>
      <c r="W157" s="166"/>
      <c r="X157" s="166"/>
      <c r="Y157" s="166"/>
    </row>
    <row r="158" spans="1:25" s="167" customFormat="1" ht="16.5" x14ac:dyDescent="0.3">
      <c r="A158" s="92"/>
      <c r="B158" s="188"/>
      <c r="C158" s="185"/>
      <c r="D158" s="120"/>
      <c r="E158" s="92"/>
      <c r="F158" s="92"/>
      <c r="G158" s="112"/>
      <c r="H158" s="93"/>
      <c r="I158" s="63"/>
      <c r="J158" s="80"/>
      <c r="K158" s="165"/>
      <c r="L158" s="166"/>
      <c r="M158" s="166"/>
      <c r="N158" s="166"/>
      <c r="O158" s="166"/>
      <c r="P158" s="166"/>
      <c r="Q158" s="166"/>
      <c r="R158" s="166"/>
      <c r="S158" s="166"/>
      <c r="T158" s="166"/>
      <c r="U158" s="166"/>
      <c r="V158" s="166"/>
      <c r="W158" s="166"/>
      <c r="X158" s="166"/>
      <c r="Y158" s="166"/>
    </row>
    <row r="159" spans="1:25" s="167" customFormat="1" ht="16.5" x14ac:dyDescent="0.3">
      <c r="A159" s="92"/>
      <c r="B159" s="188"/>
      <c r="C159" s="185"/>
      <c r="D159" s="120"/>
      <c r="E159" s="92"/>
      <c r="F159" s="92"/>
      <c r="G159" s="112"/>
      <c r="H159" s="93"/>
      <c r="I159" s="63"/>
      <c r="J159" s="80"/>
      <c r="K159" s="165"/>
      <c r="L159" s="166"/>
      <c r="M159" s="166"/>
      <c r="N159" s="166"/>
      <c r="O159" s="166"/>
      <c r="P159" s="166"/>
      <c r="Q159" s="166"/>
      <c r="R159" s="166"/>
      <c r="S159" s="166"/>
      <c r="T159" s="166"/>
      <c r="U159" s="166"/>
      <c r="V159" s="166"/>
      <c r="W159" s="166"/>
      <c r="X159" s="166"/>
      <c r="Y159" s="166"/>
    </row>
    <row r="160" spans="1:25" s="167" customFormat="1" ht="16.5" x14ac:dyDescent="0.3">
      <c r="A160" s="145"/>
      <c r="B160" s="208"/>
      <c r="C160" s="209"/>
      <c r="D160" s="120"/>
      <c r="E160" s="92"/>
      <c r="F160" s="92"/>
      <c r="G160" s="112"/>
      <c r="H160" s="93"/>
      <c r="I160" s="63"/>
      <c r="J160" s="80"/>
      <c r="K160" s="165"/>
      <c r="L160" s="166"/>
      <c r="M160" s="166"/>
      <c r="N160" s="166"/>
      <c r="O160" s="166"/>
      <c r="P160" s="166"/>
      <c r="Q160" s="166"/>
      <c r="R160" s="166"/>
      <c r="S160" s="166"/>
      <c r="T160" s="166"/>
      <c r="U160" s="166"/>
      <c r="V160" s="166"/>
      <c r="W160" s="166"/>
      <c r="X160" s="166"/>
      <c r="Y160" s="166"/>
    </row>
    <row r="161" spans="1:25" s="167" customFormat="1" ht="16.5" x14ac:dyDescent="0.3">
      <c r="A161" s="92"/>
      <c r="B161" s="188"/>
      <c r="C161" s="185"/>
      <c r="D161" s="120"/>
      <c r="E161" s="92"/>
      <c r="F161" s="92"/>
      <c r="G161" s="112"/>
      <c r="H161" s="93"/>
      <c r="I161" s="63"/>
      <c r="J161" s="80"/>
      <c r="K161" s="165"/>
      <c r="L161" s="166"/>
      <c r="M161" s="166"/>
      <c r="N161" s="166"/>
      <c r="O161" s="166"/>
      <c r="P161" s="166"/>
      <c r="Q161" s="166"/>
      <c r="R161" s="166"/>
      <c r="S161" s="166"/>
      <c r="T161" s="166"/>
      <c r="U161" s="166"/>
      <c r="V161" s="166"/>
      <c r="W161" s="166"/>
      <c r="X161" s="166"/>
      <c r="Y161" s="166"/>
    </row>
    <row r="162" spans="1:25" s="167" customFormat="1" ht="16.5" x14ac:dyDescent="0.3">
      <c r="A162" s="92"/>
      <c r="B162" s="188"/>
      <c r="C162" s="185"/>
      <c r="D162" s="120"/>
      <c r="E162" s="92"/>
      <c r="F162" s="92"/>
      <c r="G162" s="112"/>
      <c r="H162" s="93"/>
      <c r="I162" s="63"/>
      <c r="J162" s="80"/>
      <c r="K162" s="165"/>
      <c r="L162" s="166"/>
      <c r="M162" s="166"/>
      <c r="N162" s="166"/>
      <c r="O162" s="166"/>
      <c r="P162" s="166"/>
      <c r="Q162" s="166"/>
      <c r="R162" s="166"/>
      <c r="S162" s="166"/>
      <c r="T162" s="166"/>
      <c r="U162" s="166"/>
      <c r="V162" s="166"/>
      <c r="W162" s="166"/>
      <c r="X162" s="166"/>
      <c r="Y162" s="166"/>
    </row>
    <row r="163" spans="1:25" s="167" customFormat="1" ht="16.5" x14ac:dyDescent="0.3">
      <c r="A163" s="92"/>
      <c r="B163" s="188"/>
      <c r="C163" s="185"/>
      <c r="D163" s="120"/>
      <c r="E163" s="92"/>
      <c r="F163" s="92"/>
      <c r="G163" s="112"/>
      <c r="H163" s="93"/>
      <c r="I163" s="63"/>
      <c r="J163" s="80"/>
      <c r="K163" s="165"/>
      <c r="L163" s="166"/>
      <c r="M163" s="166"/>
      <c r="N163" s="166"/>
      <c r="O163" s="166"/>
      <c r="P163" s="166"/>
      <c r="Q163" s="166"/>
      <c r="R163" s="166"/>
      <c r="S163" s="166"/>
      <c r="T163" s="166"/>
      <c r="U163" s="166"/>
      <c r="V163" s="166"/>
      <c r="W163" s="166"/>
      <c r="X163" s="166"/>
      <c r="Y163" s="166"/>
    </row>
    <row r="164" spans="1:25" s="167" customFormat="1" ht="16.5" x14ac:dyDescent="0.3">
      <c r="A164" s="92"/>
      <c r="B164" s="188"/>
      <c r="C164" s="183"/>
      <c r="D164" s="111"/>
      <c r="E164" s="92"/>
      <c r="F164" s="92"/>
      <c r="G164" s="112"/>
      <c r="H164" s="93"/>
      <c r="I164" s="63"/>
      <c r="J164" s="80"/>
      <c r="K164" s="165"/>
      <c r="L164" s="166"/>
      <c r="M164" s="166"/>
      <c r="N164" s="166"/>
      <c r="O164" s="166"/>
      <c r="P164" s="166"/>
      <c r="Q164" s="166"/>
      <c r="R164" s="166"/>
      <c r="S164" s="166"/>
      <c r="T164" s="166"/>
      <c r="U164" s="166"/>
      <c r="V164" s="166"/>
      <c r="W164" s="166"/>
      <c r="X164" s="166"/>
      <c r="Y164" s="166"/>
    </row>
    <row r="165" spans="1:25" s="167" customFormat="1" ht="16.5" x14ac:dyDescent="0.3">
      <c r="A165" s="92"/>
      <c r="B165" s="188"/>
      <c r="C165" s="185"/>
      <c r="D165" s="120"/>
      <c r="E165" s="92"/>
      <c r="F165" s="92"/>
      <c r="G165" s="112"/>
      <c r="H165" s="93"/>
      <c r="I165" s="63"/>
      <c r="J165" s="80"/>
      <c r="K165" s="165"/>
      <c r="L165" s="166"/>
      <c r="M165" s="166"/>
      <c r="N165" s="166"/>
      <c r="O165" s="166"/>
      <c r="P165" s="166"/>
      <c r="Q165" s="166"/>
      <c r="R165" s="166"/>
      <c r="S165" s="166"/>
      <c r="T165" s="166"/>
      <c r="U165" s="166"/>
      <c r="V165" s="166"/>
      <c r="W165" s="166"/>
      <c r="X165" s="166"/>
      <c r="Y165" s="166"/>
    </row>
    <row r="166" spans="1:25" s="167" customFormat="1" ht="16.5" x14ac:dyDescent="0.3">
      <c r="A166" s="92"/>
      <c r="B166" s="188"/>
      <c r="C166" s="185"/>
      <c r="D166" s="120"/>
      <c r="E166" s="92"/>
      <c r="F166" s="92"/>
      <c r="G166" s="112"/>
      <c r="H166" s="93"/>
      <c r="I166" s="63"/>
      <c r="J166" s="80"/>
      <c r="K166" s="165"/>
      <c r="L166" s="166"/>
      <c r="M166" s="166"/>
      <c r="N166" s="166"/>
      <c r="O166" s="166"/>
      <c r="P166" s="166"/>
      <c r="Q166" s="166"/>
      <c r="R166" s="166"/>
      <c r="S166" s="166"/>
      <c r="T166" s="166"/>
      <c r="U166" s="166"/>
      <c r="V166" s="166"/>
      <c r="W166" s="166"/>
      <c r="X166" s="166"/>
      <c r="Y166" s="166"/>
    </row>
    <row r="167" spans="1:25" s="167" customFormat="1" ht="16.5" x14ac:dyDescent="0.3">
      <c r="A167" s="92"/>
      <c r="B167" s="188"/>
      <c r="C167" s="185"/>
      <c r="D167" s="120"/>
      <c r="E167" s="92"/>
      <c r="F167" s="92"/>
      <c r="G167" s="112"/>
      <c r="H167" s="93"/>
      <c r="I167" s="63"/>
      <c r="J167" s="80"/>
      <c r="K167" s="165"/>
      <c r="L167" s="166"/>
      <c r="M167" s="166"/>
      <c r="N167" s="166"/>
      <c r="O167" s="166"/>
      <c r="P167" s="166"/>
      <c r="Q167" s="166"/>
      <c r="R167" s="166"/>
      <c r="S167" s="166"/>
      <c r="T167" s="166"/>
      <c r="U167" s="166"/>
      <c r="V167" s="166"/>
      <c r="W167" s="166"/>
      <c r="X167" s="166"/>
      <c r="Y167" s="166"/>
    </row>
    <row r="168" spans="1:25" s="167" customFormat="1" ht="16.5" x14ac:dyDescent="0.3">
      <c r="A168" s="92"/>
      <c r="B168" s="188"/>
      <c r="C168" s="185"/>
      <c r="D168" s="120"/>
      <c r="E168" s="92"/>
      <c r="F168" s="92"/>
      <c r="G168" s="112"/>
      <c r="H168" s="93"/>
      <c r="I168" s="63"/>
      <c r="J168" s="80"/>
      <c r="K168" s="165"/>
      <c r="L168" s="166"/>
      <c r="M168" s="166"/>
      <c r="N168" s="166"/>
      <c r="O168" s="166"/>
      <c r="P168" s="166"/>
      <c r="Q168" s="166"/>
      <c r="R168" s="166"/>
      <c r="S168" s="166"/>
      <c r="T168" s="166"/>
      <c r="U168" s="166"/>
      <c r="V168" s="166"/>
      <c r="W168" s="166"/>
      <c r="X168" s="166"/>
      <c r="Y168" s="166"/>
    </row>
    <row r="169" spans="1:25" s="167" customFormat="1" ht="16.5" x14ac:dyDescent="0.3">
      <c r="A169" s="92"/>
      <c r="B169" s="188"/>
      <c r="C169" s="185"/>
      <c r="D169" s="120"/>
      <c r="E169" s="92"/>
      <c r="F169" s="92"/>
      <c r="G169" s="112"/>
      <c r="H169" s="93"/>
      <c r="I169" s="63"/>
      <c r="J169" s="80"/>
      <c r="K169" s="165"/>
      <c r="L169" s="166"/>
      <c r="M169" s="166"/>
      <c r="N169" s="166"/>
      <c r="O169" s="166"/>
      <c r="P169" s="166"/>
      <c r="Q169" s="166"/>
      <c r="R169" s="166"/>
      <c r="S169" s="166"/>
      <c r="T169" s="166"/>
      <c r="U169" s="166"/>
      <c r="V169" s="166"/>
      <c r="W169" s="166"/>
      <c r="X169" s="166"/>
      <c r="Y169" s="166"/>
    </row>
    <row r="170" spans="1:25" s="167" customFormat="1" ht="16.5" x14ac:dyDescent="0.3">
      <c r="A170" s="92"/>
      <c r="B170" s="188"/>
      <c r="C170" s="185"/>
      <c r="D170" s="120"/>
      <c r="E170" s="92"/>
      <c r="F170" s="92"/>
      <c r="G170" s="112"/>
      <c r="H170" s="93"/>
      <c r="I170" s="63"/>
      <c r="J170" s="80"/>
      <c r="K170" s="165"/>
      <c r="L170" s="166"/>
      <c r="M170" s="166"/>
      <c r="N170" s="166"/>
      <c r="O170" s="166"/>
      <c r="P170" s="166"/>
      <c r="Q170" s="166"/>
      <c r="R170" s="166"/>
      <c r="S170" s="166"/>
      <c r="T170" s="166"/>
      <c r="U170" s="166"/>
      <c r="V170" s="166"/>
      <c r="W170" s="166"/>
      <c r="X170" s="166"/>
      <c r="Y170" s="166"/>
    </row>
    <row r="171" spans="1:25" s="167" customFormat="1" ht="16.5" x14ac:dyDescent="0.3">
      <c r="A171" s="92"/>
      <c r="B171" s="188"/>
      <c r="C171" s="185"/>
      <c r="D171" s="120"/>
      <c r="E171" s="92"/>
      <c r="F171" s="92"/>
      <c r="G171" s="112"/>
      <c r="H171" s="93"/>
      <c r="I171" s="63"/>
      <c r="J171" s="80"/>
      <c r="K171" s="165"/>
      <c r="L171" s="166"/>
      <c r="M171" s="166"/>
      <c r="N171" s="166"/>
      <c r="O171" s="166"/>
      <c r="P171" s="166"/>
      <c r="Q171" s="166"/>
      <c r="R171" s="166"/>
      <c r="S171" s="166"/>
      <c r="T171" s="166"/>
      <c r="U171" s="166"/>
      <c r="V171" s="166"/>
      <c r="W171" s="166"/>
      <c r="X171" s="166"/>
      <c r="Y171" s="166"/>
    </row>
    <row r="172" spans="1:25" s="167" customFormat="1" ht="16.5" x14ac:dyDescent="0.3">
      <c r="A172" s="92"/>
      <c r="B172" s="188"/>
      <c r="C172" s="185"/>
      <c r="D172" s="120"/>
      <c r="E172" s="92"/>
      <c r="F172" s="92"/>
      <c r="G172" s="112"/>
      <c r="H172" s="93"/>
      <c r="I172" s="63"/>
      <c r="J172" s="80"/>
      <c r="K172" s="165"/>
      <c r="L172" s="166"/>
      <c r="M172" s="166"/>
      <c r="N172" s="166"/>
      <c r="O172" s="166"/>
      <c r="P172" s="166"/>
      <c r="Q172" s="166"/>
      <c r="R172" s="166"/>
      <c r="S172" s="166"/>
      <c r="T172" s="166"/>
      <c r="U172" s="166"/>
      <c r="V172" s="166"/>
      <c r="W172" s="166"/>
      <c r="X172" s="166"/>
      <c r="Y172" s="166"/>
    </row>
    <row r="173" spans="1:25" s="167" customFormat="1" ht="16.5" x14ac:dyDescent="0.3">
      <c r="A173" s="92"/>
      <c r="B173" s="188"/>
      <c r="C173" s="210"/>
      <c r="D173" s="120"/>
      <c r="E173" s="92"/>
      <c r="F173" s="92"/>
      <c r="G173" s="112"/>
      <c r="H173" s="93"/>
      <c r="I173" s="63"/>
      <c r="J173" s="80"/>
      <c r="K173" s="165"/>
      <c r="L173" s="166"/>
      <c r="M173" s="166"/>
      <c r="N173" s="166"/>
      <c r="O173" s="166"/>
      <c r="P173" s="166"/>
      <c r="Q173" s="166"/>
      <c r="R173" s="166"/>
      <c r="S173" s="166"/>
      <c r="T173" s="166"/>
      <c r="U173" s="166"/>
      <c r="V173" s="166"/>
      <c r="W173" s="166"/>
      <c r="X173" s="166"/>
      <c r="Y173" s="166"/>
    </row>
    <row r="174" spans="1:25" s="167" customFormat="1" ht="16.5" x14ac:dyDescent="0.3">
      <c r="A174" s="92"/>
      <c r="B174" s="188"/>
      <c r="C174" s="185"/>
      <c r="D174" s="120"/>
      <c r="E174" s="92"/>
      <c r="F174" s="92"/>
      <c r="G174" s="112"/>
      <c r="H174" s="93"/>
      <c r="I174" s="63"/>
      <c r="J174" s="80"/>
      <c r="K174" s="165"/>
      <c r="L174" s="166"/>
      <c r="M174" s="166"/>
      <c r="N174" s="166"/>
      <c r="O174" s="166"/>
      <c r="P174" s="166"/>
      <c r="Q174" s="166"/>
      <c r="R174" s="166"/>
      <c r="S174" s="166"/>
      <c r="T174" s="166"/>
      <c r="U174" s="166"/>
      <c r="V174" s="166"/>
      <c r="W174" s="166"/>
      <c r="X174" s="166"/>
      <c r="Y174" s="166"/>
    </row>
    <row r="175" spans="1:25" s="167" customFormat="1" ht="16.5" x14ac:dyDescent="0.3">
      <c r="A175" s="92"/>
      <c r="B175" s="188"/>
      <c r="C175" s="185"/>
      <c r="D175" s="120"/>
      <c r="E175" s="92"/>
      <c r="F175" s="92"/>
      <c r="G175" s="112"/>
      <c r="H175" s="93"/>
      <c r="I175" s="63"/>
      <c r="J175" s="80"/>
      <c r="K175" s="165"/>
      <c r="L175" s="166"/>
      <c r="M175" s="166"/>
      <c r="N175" s="166"/>
      <c r="O175" s="166"/>
      <c r="P175" s="166"/>
      <c r="Q175" s="166"/>
      <c r="R175" s="166"/>
      <c r="S175" s="166"/>
      <c r="T175" s="166"/>
      <c r="U175" s="166"/>
      <c r="V175" s="166"/>
      <c r="W175" s="166"/>
      <c r="X175" s="166"/>
      <c r="Y175" s="166"/>
    </row>
    <row r="176" spans="1:25" s="167" customFormat="1" ht="16.5" x14ac:dyDescent="0.3">
      <c r="A176" s="92"/>
      <c r="B176" s="188"/>
      <c r="C176" s="185"/>
      <c r="D176" s="120"/>
      <c r="E176" s="92"/>
      <c r="F176" s="92"/>
      <c r="G176" s="112"/>
      <c r="H176" s="93"/>
      <c r="I176" s="63"/>
      <c r="J176" s="80"/>
      <c r="K176" s="165"/>
      <c r="L176" s="166"/>
      <c r="M176" s="166"/>
      <c r="N176" s="166"/>
      <c r="O176" s="166"/>
      <c r="P176" s="166"/>
      <c r="Q176" s="166"/>
      <c r="R176" s="166"/>
      <c r="S176" s="166"/>
      <c r="T176" s="166"/>
      <c r="U176" s="166"/>
      <c r="V176" s="166"/>
      <c r="W176" s="166"/>
      <c r="X176" s="166"/>
      <c r="Y176" s="166"/>
    </row>
    <row r="177" spans="1:25" s="167" customFormat="1" ht="16.5" x14ac:dyDescent="0.3">
      <c r="A177" s="92"/>
      <c r="B177" s="188"/>
      <c r="C177" s="185"/>
      <c r="D177" s="120"/>
      <c r="E177" s="92"/>
      <c r="F177" s="92"/>
      <c r="G177" s="112"/>
      <c r="H177" s="93"/>
      <c r="I177" s="63"/>
      <c r="J177" s="80"/>
      <c r="K177" s="165"/>
      <c r="L177" s="166"/>
      <c r="M177" s="166"/>
      <c r="N177" s="166"/>
      <c r="O177" s="166"/>
      <c r="P177" s="166"/>
      <c r="Q177" s="166"/>
      <c r="R177" s="166"/>
      <c r="S177" s="166"/>
      <c r="T177" s="166"/>
      <c r="U177" s="166"/>
      <c r="V177" s="166"/>
      <c r="W177" s="166"/>
      <c r="X177" s="166"/>
      <c r="Y177" s="166"/>
    </row>
    <row r="178" spans="1:25" s="167" customFormat="1" ht="16.5" x14ac:dyDescent="0.3">
      <c r="A178" s="92"/>
      <c r="B178" s="188"/>
      <c r="C178" s="185"/>
      <c r="D178" s="120"/>
      <c r="E178" s="92"/>
      <c r="F178" s="92"/>
      <c r="G178" s="112"/>
      <c r="H178" s="93"/>
      <c r="I178" s="63"/>
      <c r="J178" s="80"/>
      <c r="K178" s="165"/>
      <c r="L178" s="166"/>
      <c r="M178" s="166"/>
      <c r="N178" s="166"/>
      <c r="O178" s="166"/>
      <c r="P178" s="166"/>
      <c r="Q178" s="166"/>
      <c r="R178" s="166"/>
      <c r="S178" s="166"/>
      <c r="T178" s="166"/>
      <c r="U178" s="166"/>
      <c r="V178" s="166"/>
      <c r="W178" s="166"/>
      <c r="X178" s="166"/>
      <c r="Y178" s="166"/>
    </row>
    <row r="179" spans="1:25" s="167" customFormat="1" ht="16.5" x14ac:dyDescent="0.3">
      <c r="A179" s="92"/>
      <c r="B179" s="188"/>
      <c r="C179" s="185"/>
      <c r="D179" s="120"/>
      <c r="E179" s="92"/>
      <c r="F179" s="92"/>
      <c r="G179" s="112"/>
      <c r="H179" s="93"/>
      <c r="I179" s="63"/>
      <c r="J179" s="80"/>
      <c r="K179" s="165"/>
      <c r="L179" s="166"/>
      <c r="M179" s="166"/>
      <c r="N179" s="166"/>
      <c r="O179" s="166"/>
      <c r="P179" s="166"/>
      <c r="Q179" s="166"/>
      <c r="R179" s="166"/>
      <c r="S179" s="166"/>
      <c r="T179" s="166"/>
      <c r="U179" s="166"/>
      <c r="V179" s="166"/>
      <c r="W179" s="166"/>
      <c r="X179" s="166"/>
      <c r="Y179" s="166"/>
    </row>
    <row r="180" spans="1:25" s="167" customFormat="1" ht="16.5" x14ac:dyDescent="0.3">
      <c r="A180" s="92"/>
      <c r="B180" s="188"/>
      <c r="C180" s="185"/>
      <c r="D180" s="120"/>
      <c r="E180" s="92"/>
      <c r="F180" s="92"/>
      <c r="G180" s="112"/>
      <c r="H180" s="93"/>
      <c r="I180" s="63"/>
      <c r="J180" s="80"/>
      <c r="K180" s="165"/>
      <c r="L180" s="166"/>
      <c r="M180" s="166"/>
      <c r="N180" s="166"/>
      <c r="O180" s="166"/>
      <c r="P180" s="166"/>
      <c r="Q180" s="166"/>
      <c r="R180" s="166"/>
      <c r="S180" s="166"/>
      <c r="T180" s="166"/>
      <c r="U180" s="166"/>
      <c r="V180" s="166"/>
      <c r="W180" s="166"/>
      <c r="X180" s="166"/>
      <c r="Y180" s="166"/>
    </row>
    <row r="181" spans="1:25" s="167" customFormat="1" ht="16.5" x14ac:dyDescent="0.3">
      <c r="A181" s="92"/>
      <c r="B181" s="188"/>
      <c r="C181" s="185"/>
      <c r="D181" s="120"/>
      <c r="E181" s="92"/>
      <c r="F181" s="92"/>
      <c r="G181" s="112"/>
      <c r="H181" s="93"/>
      <c r="I181" s="63"/>
      <c r="J181" s="80"/>
      <c r="K181" s="165"/>
      <c r="L181" s="166"/>
      <c r="M181" s="166"/>
      <c r="N181" s="166"/>
      <c r="O181" s="166"/>
      <c r="P181" s="166"/>
      <c r="Q181" s="166"/>
      <c r="R181" s="166"/>
      <c r="S181" s="166"/>
      <c r="T181" s="166"/>
      <c r="U181" s="166"/>
      <c r="V181" s="166"/>
      <c r="W181" s="166"/>
      <c r="X181" s="166"/>
      <c r="Y181" s="166"/>
    </row>
    <row r="182" spans="1:25" s="167" customFormat="1" ht="16.5" x14ac:dyDescent="0.3">
      <c r="A182" s="92"/>
      <c r="B182" s="188"/>
      <c r="C182" s="185"/>
      <c r="D182" s="120"/>
      <c r="E182" s="92"/>
      <c r="F182" s="92"/>
      <c r="G182" s="112"/>
      <c r="H182" s="93"/>
      <c r="I182" s="63"/>
      <c r="J182" s="80"/>
      <c r="K182" s="165"/>
      <c r="L182" s="166"/>
      <c r="M182" s="166"/>
      <c r="N182" s="166"/>
      <c r="O182" s="166"/>
      <c r="P182" s="166"/>
      <c r="Q182" s="166"/>
      <c r="R182" s="166"/>
      <c r="S182" s="166"/>
      <c r="T182" s="166"/>
      <c r="U182" s="166"/>
      <c r="V182" s="166"/>
      <c r="W182" s="166"/>
      <c r="X182" s="166"/>
      <c r="Y182" s="166"/>
    </row>
    <row r="183" spans="1:25" s="167" customFormat="1" ht="16.5" x14ac:dyDescent="0.3">
      <c r="A183" s="92"/>
      <c r="B183" s="188"/>
      <c r="C183" s="185"/>
      <c r="D183" s="120"/>
      <c r="E183" s="92"/>
      <c r="F183" s="92"/>
      <c r="G183" s="112"/>
      <c r="H183" s="93"/>
      <c r="I183" s="63"/>
      <c r="J183" s="80"/>
      <c r="K183" s="165"/>
      <c r="L183" s="166"/>
      <c r="M183" s="166"/>
      <c r="N183" s="166"/>
      <c r="O183" s="166"/>
      <c r="P183" s="166"/>
      <c r="Q183" s="166"/>
      <c r="R183" s="166"/>
      <c r="S183" s="166"/>
      <c r="T183" s="166"/>
      <c r="U183" s="166"/>
      <c r="V183" s="166"/>
      <c r="W183" s="166"/>
      <c r="X183" s="166"/>
      <c r="Y183" s="166"/>
    </row>
    <row r="184" spans="1:25" s="167" customFormat="1" ht="16.5" x14ac:dyDescent="0.3">
      <c r="A184" s="92"/>
      <c r="B184" s="188"/>
      <c r="C184" s="185"/>
      <c r="D184" s="120"/>
      <c r="E184" s="92"/>
      <c r="F184" s="92"/>
      <c r="G184" s="112"/>
      <c r="H184" s="93"/>
      <c r="I184" s="63"/>
      <c r="J184" s="80"/>
      <c r="K184" s="165"/>
      <c r="L184" s="166"/>
      <c r="M184" s="166"/>
      <c r="N184" s="166"/>
      <c r="O184" s="166"/>
      <c r="P184" s="166"/>
      <c r="Q184" s="166"/>
      <c r="R184" s="166"/>
      <c r="S184" s="166"/>
      <c r="T184" s="166"/>
      <c r="U184" s="166"/>
      <c r="V184" s="166"/>
      <c r="W184" s="166"/>
      <c r="X184" s="166"/>
      <c r="Y184" s="166"/>
    </row>
    <row r="185" spans="1:25" s="167" customFormat="1" ht="16.5" x14ac:dyDescent="0.3">
      <c r="A185" s="92"/>
      <c r="B185" s="188"/>
      <c r="C185" s="185"/>
      <c r="D185" s="120"/>
      <c r="E185" s="92"/>
      <c r="F185" s="92"/>
      <c r="G185" s="112"/>
      <c r="H185" s="93"/>
      <c r="I185" s="63"/>
      <c r="J185" s="80"/>
      <c r="K185" s="165"/>
      <c r="L185" s="166"/>
      <c r="M185" s="166"/>
      <c r="N185" s="166"/>
      <c r="O185" s="166"/>
      <c r="P185" s="166"/>
      <c r="Q185" s="166"/>
      <c r="R185" s="166"/>
      <c r="S185" s="166"/>
      <c r="T185" s="166"/>
      <c r="U185" s="166"/>
      <c r="V185" s="166"/>
      <c r="W185" s="166"/>
      <c r="X185" s="166"/>
      <c r="Y185" s="166"/>
    </row>
    <row r="186" spans="1:25" s="167" customFormat="1" ht="16.5" x14ac:dyDescent="0.3">
      <c r="A186" s="63"/>
      <c r="B186" s="186"/>
      <c r="C186" s="184"/>
      <c r="D186" s="111"/>
      <c r="E186" s="63"/>
      <c r="F186" s="63"/>
      <c r="G186" s="93"/>
      <c r="H186" s="93"/>
      <c r="I186" s="63"/>
      <c r="J186" s="80"/>
      <c r="K186" s="165"/>
      <c r="L186" s="166"/>
      <c r="M186" s="166"/>
      <c r="N186" s="166"/>
      <c r="O186" s="166"/>
      <c r="P186" s="166"/>
      <c r="Q186" s="166"/>
      <c r="R186" s="166"/>
      <c r="S186" s="166"/>
      <c r="T186" s="166"/>
      <c r="U186" s="166"/>
      <c r="V186" s="166"/>
      <c r="W186" s="166"/>
      <c r="X186" s="166"/>
      <c r="Y186" s="166"/>
    </row>
    <row r="187" spans="1:25" s="167" customFormat="1" ht="16.5" x14ac:dyDescent="0.3">
      <c r="A187" s="92"/>
      <c r="B187" s="188"/>
      <c r="C187" s="185"/>
      <c r="D187" s="120"/>
      <c r="E187" s="92"/>
      <c r="F187" s="92"/>
      <c r="G187" s="112"/>
      <c r="H187" s="93"/>
      <c r="I187" s="63"/>
      <c r="J187" s="80"/>
      <c r="K187" s="165"/>
      <c r="L187" s="166"/>
      <c r="M187" s="166"/>
      <c r="N187" s="166"/>
      <c r="O187" s="166"/>
      <c r="P187" s="166"/>
      <c r="Q187" s="166"/>
      <c r="R187" s="166"/>
      <c r="S187" s="166"/>
      <c r="T187" s="166"/>
      <c r="U187" s="166"/>
      <c r="V187" s="166"/>
      <c r="W187" s="166"/>
      <c r="X187" s="166"/>
      <c r="Y187" s="166"/>
    </row>
    <row r="188" spans="1:25" s="167" customFormat="1" ht="16.5" x14ac:dyDescent="0.3">
      <c r="A188" s="92"/>
      <c r="B188" s="188"/>
      <c r="C188" s="185"/>
      <c r="D188" s="120"/>
      <c r="E188" s="92"/>
      <c r="F188" s="92"/>
      <c r="G188" s="112"/>
      <c r="H188" s="93"/>
      <c r="I188" s="63"/>
      <c r="J188" s="80"/>
      <c r="K188" s="165"/>
      <c r="L188" s="166"/>
      <c r="M188" s="166"/>
      <c r="N188" s="166"/>
      <c r="O188" s="166"/>
      <c r="P188" s="166"/>
      <c r="Q188" s="166"/>
      <c r="R188" s="166"/>
      <c r="S188" s="166"/>
      <c r="T188" s="166"/>
      <c r="U188" s="166"/>
      <c r="V188" s="166"/>
      <c r="W188" s="166"/>
      <c r="X188" s="166"/>
      <c r="Y188" s="166"/>
    </row>
    <row r="189" spans="1:25" s="167" customFormat="1" ht="16.5" x14ac:dyDescent="0.3">
      <c r="A189" s="92"/>
      <c r="B189" s="188"/>
      <c r="C189" s="185"/>
      <c r="D189" s="120"/>
      <c r="E189" s="92"/>
      <c r="F189" s="92"/>
      <c r="G189" s="112"/>
      <c r="H189" s="93"/>
      <c r="I189" s="63"/>
      <c r="J189" s="80"/>
      <c r="K189" s="165"/>
      <c r="L189" s="166"/>
      <c r="M189" s="166"/>
      <c r="N189" s="166"/>
      <c r="O189" s="166"/>
      <c r="P189" s="166"/>
      <c r="Q189" s="166"/>
      <c r="R189" s="166"/>
      <c r="S189" s="166"/>
      <c r="T189" s="166"/>
      <c r="U189" s="166"/>
      <c r="V189" s="166"/>
      <c r="W189" s="166"/>
      <c r="X189" s="166"/>
      <c r="Y189" s="166"/>
    </row>
    <row r="190" spans="1:25" s="167" customFormat="1" ht="16.5" x14ac:dyDescent="0.3">
      <c r="A190" s="92"/>
      <c r="B190" s="188"/>
      <c r="C190" s="185"/>
      <c r="D190" s="120"/>
      <c r="E190" s="92"/>
      <c r="F190" s="92"/>
      <c r="G190" s="112"/>
      <c r="H190" s="93"/>
      <c r="I190" s="63"/>
      <c r="J190" s="80"/>
      <c r="K190" s="165"/>
      <c r="L190" s="166"/>
      <c r="M190" s="166"/>
      <c r="N190" s="166"/>
      <c r="O190" s="166"/>
      <c r="P190" s="166"/>
      <c r="Q190" s="166"/>
      <c r="R190" s="166"/>
      <c r="S190" s="166"/>
      <c r="T190" s="166"/>
      <c r="U190" s="166"/>
      <c r="V190" s="166"/>
      <c r="W190" s="166"/>
      <c r="X190" s="166"/>
      <c r="Y190" s="166"/>
    </row>
    <row r="191" spans="1:25" s="167" customFormat="1" ht="16.5" x14ac:dyDescent="0.3">
      <c r="A191" s="92"/>
      <c r="B191" s="188"/>
      <c r="C191" s="185"/>
      <c r="D191" s="120"/>
      <c r="E191" s="92"/>
      <c r="F191" s="92"/>
      <c r="G191" s="112"/>
      <c r="H191" s="93"/>
      <c r="I191" s="63"/>
      <c r="J191" s="80"/>
      <c r="K191" s="165"/>
      <c r="L191" s="166"/>
      <c r="M191" s="166"/>
      <c r="N191" s="166"/>
      <c r="O191" s="166"/>
      <c r="P191" s="166"/>
      <c r="Q191" s="166"/>
      <c r="R191" s="166"/>
      <c r="S191" s="166"/>
      <c r="T191" s="166"/>
      <c r="U191" s="166"/>
      <c r="V191" s="166"/>
      <c r="W191" s="166"/>
      <c r="X191" s="166"/>
      <c r="Y191" s="166"/>
    </row>
    <row r="192" spans="1:25" s="167" customFormat="1" ht="16.5" x14ac:dyDescent="0.3">
      <c r="A192" s="92"/>
      <c r="B192" s="188"/>
      <c r="C192" s="185"/>
      <c r="D192" s="120"/>
      <c r="E192" s="92"/>
      <c r="F192" s="92"/>
      <c r="G192" s="112"/>
      <c r="H192" s="93"/>
      <c r="I192" s="63"/>
      <c r="J192" s="80"/>
      <c r="K192" s="165"/>
      <c r="L192" s="166"/>
      <c r="M192" s="166"/>
      <c r="N192" s="166"/>
      <c r="O192" s="166"/>
      <c r="P192" s="166"/>
      <c r="Q192" s="166"/>
      <c r="R192" s="166"/>
      <c r="S192" s="166"/>
      <c r="T192" s="166"/>
      <c r="U192" s="166"/>
      <c r="V192" s="166"/>
      <c r="W192" s="166"/>
      <c r="X192" s="166"/>
      <c r="Y192" s="166"/>
    </row>
    <row r="193" spans="1:25" s="175" customFormat="1" ht="16.5" x14ac:dyDescent="0.2">
      <c r="A193" s="92"/>
      <c r="B193" s="188"/>
      <c r="C193" s="185"/>
      <c r="D193" s="120"/>
      <c r="E193" s="92"/>
      <c r="F193" s="92"/>
      <c r="G193" s="112"/>
      <c r="H193" s="93"/>
      <c r="I193" s="63"/>
      <c r="J193" s="134"/>
      <c r="K193" s="169"/>
      <c r="L193" s="174"/>
      <c r="M193" s="174"/>
      <c r="N193" s="174"/>
      <c r="O193" s="174"/>
      <c r="P193" s="174"/>
      <c r="Q193" s="174"/>
      <c r="R193" s="174"/>
      <c r="S193" s="174"/>
      <c r="T193" s="174"/>
      <c r="U193" s="174"/>
      <c r="V193" s="174"/>
      <c r="W193" s="174"/>
      <c r="X193" s="174"/>
      <c r="Y193" s="174"/>
    </row>
    <row r="194" spans="1:25" s="166" customFormat="1" ht="16.5" x14ac:dyDescent="0.3">
      <c r="A194" s="92"/>
      <c r="B194" s="188"/>
      <c r="C194" s="185"/>
      <c r="D194" s="120"/>
      <c r="E194" s="92"/>
      <c r="F194" s="92"/>
      <c r="G194" s="112"/>
      <c r="H194" s="112"/>
      <c r="I194" s="92"/>
      <c r="J194" s="80"/>
      <c r="K194" s="165"/>
    </row>
    <row r="195" spans="1:25" s="167" customFormat="1" ht="16.5" x14ac:dyDescent="0.3">
      <c r="A195" s="92"/>
      <c r="B195" s="188"/>
      <c r="C195" s="185"/>
      <c r="D195" s="120"/>
      <c r="E195" s="92"/>
      <c r="F195" s="92"/>
      <c r="G195" s="112"/>
      <c r="H195" s="93"/>
      <c r="I195" s="63"/>
      <c r="J195" s="80"/>
      <c r="K195" s="165"/>
      <c r="L195" s="166"/>
      <c r="M195" s="166"/>
      <c r="N195" s="166"/>
      <c r="O195" s="166"/>
      <c r="P195" s="166"/>
      <c r="Q195" s="166"/>
      <c r="R195" s="166"/>
      <c r="S195" s="166"/>
      <c r="T195" s="166"/>
      <c r="U195" s="166"/>
      <c r="V195" s="166"/>
      <c r="W195" s="166"/>
      <c r="X195" s="166"/>
      <c r="Y195" s="166"/>
    </row>
    <row r="196" spans="1:25" s="167" customFormat="1" ht="16.5" x14ac:dyDescent="0.3">
      <c r="A196" s="92"/>
      <c r="B196" s="188"/>
      <c r="C196" s="185"/>
      <c r="D196" s="120"/>
      <c r="E196" s="92"/>
      <c r="F196" s="92"/>
      <c r="G196" s="112"/>
      <c r="H196" s="93"/>
      <c r="I196" s="63"/>
      <c r="J196" s="80"/>
      <c r="K196" s="165"/>
      <c r="L196" s="166"/>
      <c r="M196" s="166"/>
      <c r="N196" s="166"/>
      <c r="O196" s="166"/>
      <c r="P196" s="166"/>
      <c r="Q196" s="166"/>
      <c r="R196" s="166"/>
      <c r="S196" s="166"/>
      <c r="T196" s="166"/>
      <c r="U196" s="166"/>
      <c r="V196" s="166"/>
      <c r="W196" s="166"/>
      <c r="X196" s="166"/>
      <c r="Y196" s="166"/>
    </row>
    <row r="197" spans="1:25" s="167" customFormat="1" ht="16.5" x14ac:dyDescent="0.3">
      <c r="A197" s="92"/>
      <c r="B197" s="188"/>
      <c r="C197" s="185"/>
      <c r="D197" s="120"/>
      <c r="E197" s="92"/>
      <c r="F197" s="92"/>
      <c r="G197" s="112"/>
      <c r="H197" s="93"/>
      <c r="I197" s="63"/>
      <c r="J197" s="80"/>
      <c r="K197" s="165"/>
      <c r="L197" s="166"/>
      <c r="M197" s="166"/>
      <c r="N197" s="166"/>
      <c r="O197" s="166"/>
      <c r="P197" s="166"/>
      <c r="Q197" s="166"/>
      <c r="R197" s="166"/>
      <c r="S197" s="166"/>
      <c r="T197" s="166"/>
      <c r="U197" s="166"/>
      <c r="V197" s="166"/>
      <c r="W197" s="166"/>
      <c r="X197" s="166"/>
      <c r="Y197" s="166"/>
    </row>
    <row r="198" spans="1:25" s="167" customFormat="1" ht="16.5" x14ac:dyDescent="0.3">
      <c r="A198" s="92"/>
      <c r="B198" s="188"/>
      <c r="C198" s="185"/>
      <c r="D198" s="120"/>
      <c r="E198" s="92"/>
      <c r="F198" s="92"/>
      <c r="G198" s="112"/>
      <c r="H198" s="93"/>
      <c r="I198" s="63"/>
      <c r="J198" s="80"/>
      <c r="K198" s="165"/>
      <c r="L198" s="166"/>
      <c r="M198" s="166"/>
      <c r="N198" s="166"/>
      <c r="O198" s="166"/>
      <c r="P198" s="166"/>
      <c r="Q198" s="166"/>
      <c r="R198" s="166"/>
      <c r="S198" s="166"/>
      <c r="T198" s="166"/>
      <c r="U198" s="166"/>
      <c r="V198" s="166"/>
      <c r="W198" s="166"/>
      <c r="X198" s="166"/>
      <c r="Y198" s="166"/>
    </row>
    <row r="199" spans="1:25" s="167" customFormat="1" ht="16.5" x14ac:dyDescent="0.3">
      <c r="A199" s="92"/>
      <c r="B199" s="188"/>
      <c r="C199" s="185"/>
      <c r="D199" s="120"/>
      <c r="E199" s="92"/>
      <c r="F199" s="92"/>
      <c r="G199" s="112"/>
      <c r="H199" s="93"/>
      <c r="I199" s="63"/>
      <c r="J199" s="80"/>
      <c r="K199" s="165"/>
      <c r="L199" s="166"/>
      <c r="M199" s="166"/>
      <c r="N199" s="166"/>
      <c r="O199" s="166"/>
      <c r="P199" s="166"/>
      <c r="Q199" s="166"/>
      <c r="R199" s="166"/>
      <c r="S199" s="166"/>
      <c r="T199" s="166"/>
      <c r="U199" s="166"/>
      <c r="V199" s="166"/>
      <c r="W199" s="166"/>
      <c r="X199" s="166"/>
      <c r="Y199" s="166"/>
    </row>
    <row r="200" spans="1:25" s="167" customFormat="1" ht="16.5" x14ac:dyDescent="0.3">
      <c r="A200" s="92"/>
      <c r="B200" s="188"/>
      <c r="C200" s="185"/>
      <c r="D200" s="120"/>
      <c r="E200" s="92"/>
      <c r="F200" s="92"/>
      <c r="G200" s="112"/>
      <c r="H200" s="93"/>
      <c r="I200" s="63"/>
      <c r="J200" s="80"/>
      <c r="K200" s="165"/>
      <c r="L200" s="166"/>
      <c r="M200" s="166"/>
      <c r="N200" s="166"/>
      <c r="O200" s="166"/>
      <c r="P200" s="166"/>
      <c r="Q200" s="166"/>
      <c r="R200" s="166"/>
      <c r="S200" s="166"/>
      <c r="T200" s="166"/>
      <c r="U200" s="166"/>
      <c r="V200" s="166"/>
      <c r="W200" s="166"/>
      <c r="X200" s="166"/>
      <c r="Y200" s="166"/>
    </row>
    <row r="201" spans="1:25" s="167" customFormat="1" ht="16.5" x14ac:dyDescent="0.3">
      <c r="A201" s="92"/>
      <c r="B201" s="188"/>
      <c r="C201" s="185"/>
      <c r="D201" s="120"/>
      <c r="E201" s="92"/>
      <c r="F201" s="92"/>
      <c r="G201" s="112"/>
      <c r="H201" s="93"/>
      <c r="I201" s="63"/>
      <c r="J201" s="80"/>
      <c r="K201" s="165"/>
      <c r="L201" s="166"/>
      <c r="M201" s="166"/>
      <c r="N201" s="166"/>
      <c r="O201" s="166"/>
      <c r="P201" s="166"/>
      <c r="Q201" s="166"/>
      <c r="R201" s="166"/>
      <c r="S201" s="166"/>
      <c r="T201" s="166"/>
      <c r="U201" s="166"/>
      <c r="V201" s="166"/>
      <c r="W201" s="166"/>
      <c r="X201" s="166"/>
      <c r="Y201" s="166"/>
    </row>
    <row r="202" spans="1:25" s="167" customFormat="1" ht="16.5" x14ac:dyDescent="0.3">
      <c r="A202" s="92"/>
      <c r="B202" s="188"/>
      <c r="C202" s="185"/>
      <c r="D202" s="120"/>
      <c r="E202" s="92"/>
      <c r="F202" s="92"/>
      <c r="G202" s="112"/>
      <c r="H202" s="93"/>
      <c r="I202" s="63"/>
      <c r="J202" s="80"/>
      <c r="K202" s="165"/>
      <c r="L202" s="166"/>
      <c r="M202" s="166"/>
      <c r="N202" s="166"/>
      <c r="O202" s="166"/>
      <c r="P202" s="166"/>
      <c r="Q202" s="166"/>
      <c r="R202" s="166"/>
      <c r="S202" s="166"/>
      <c r="T202" s="166"/>
      <c r="U202" s="166"/>
      <c r="V202" s="166"/>
      <c r="W202" s="166"/>
      <c r="X202" s="166"/>
      <c r="Y202" s="166"/>
    </row>
    <row r="203" spans="1:25" s="167" customFormat="1" ht="16.5" x14ac:dyDescent="0.3">
      <c r="A203" s="92"/>
      <c r="B203" s="188"/>
      <c r="C203" s="185"/>
      <c r="D203" s="120"/>
      <c r="E203" s="92"/>
      <c r="F203" s="92"/>
      <c r="G203" s="112"/>
      <c r="H203" s="93"/>
      <c r="I203" s="63"/>
      <c r="J203" s="80"/>
      <c r="K203" s="165"/>
      <c r="L203" s="166"/>
      <c r="M203" s="166"/>
      <c r="N203" s="166"/>
      <c r="O203" s="166"/>
      <c r="P203" s="166"/>
      <c r="Q203" s="166"/>
      <c r="R203" s="166"/>
      <c r="S203" s="166"/>
      <c r="T203" s="166"/>
      <c r="U203" s="166"/>
      <c r="V203" s="166"/>
      <c r="W203" s="166"/>
      <c r="X203" s="166"/>
      <c r="Y203" s="166"/>
    </row>
    <row r="204" spans="1:25" s="167" customFormat="1" ht="16.5" x14ac:dyDescent="0.3">
      <c r="A204" s="92"/>
      <c r="B204" s="188"/>
      <c r="C204" s="185"/>
      <c r="D204" s="120"/>
      <c r="E204" s="92"/>
      <c r="F204" s="92"/>
      <c r="G204" s="112"/>
      <c r="H204" s="93"/>
      <c r="I204" s="63"/>
      <c r="J204" s="80"/>
      <c r="K204" s="165"/>
      <c r="L204" s="166"/>
      <c r="M204" s="166"/>
      <c r="N204" s="166"/>
      <c r="O204" s="166"/>
      <c r="P204" s="166"/>
      <c r="Q204" s="166"/>
      <c r="R204" s="166"/>
      <c r="S204" s="166"/>
      <c r="T204" s="166"/>
      <c r="U204" s="166"/>
      <c r="V204" s="166"/>
      <c r="W204" s="166"/>
      <c r="X204" s="166"/>
      <c r="Y204" s="166"/>
    </row>
    <row r="205" spans="1:25" s="167" customFormat="1" ht="16.5" x14ac:dyDescent="0.3">
      <c r="A205" s="92"/>
      <c r="B205" s="188"/>
      <c r="C205" s="185"/>
      <c r="D205" s="111"/>
      <c r="E205" s="92"/>
      <c r="F205" s="92"/>
      <c r="G205" s="112"/>
      <c r="H205" s="93"/>
      <c r="I205" s="63"/>
      <c r="J205" s="80"/>
      <c r="K205" s="165"/>
      <c r="L205" s="166"/>
      <c r="M205" s="166"/>
      <c r="N205" s="166"/>
      <c r="O205" s="166"/>
      <c r="P205" s="166"/>
      <c r="Q205" s="166"/>
      <c r="R205" s="166"/>
      <c r="S205" s="166"/>
      <c r="T205" s="166"/>
      <c r="U205" s="166"/>
      <c r="V205" s="166"/>
      <c r="W205" s="166"/>
      <c r="X205" s="166"/>
      <c r="Y205" s="166"/>
    </row>
    <row r="206" spans="1:25" s="167" customFormat="1" ht="16.5" x14ac:dyDescent="0.3">
      <c r="A206" s="92"/>
      <c r="B206" s="188"/>
      <c r="C206" s="185"/>
      <c r="D206" s="120"/>
      <c r="E206" s="92"/>
      <c r="F206" s="92"/>
      <c r="G206" s="112"/>
      <c r="H206" s="93"/>
      <c r="I206" s="63"/>
      <c r="J206" s="80"/>
      <c r="K206" s="165"/>
      <c r="L206" s="166"/>
      <c r="M206" s="166"/>
      <c r="N206" s="166"/>
      <c r="O206" s="166"/>
      <c r="P206" s="166"/>
      <c r="Q206" s="166"/>
      <c r="R206" s="166"/>
      <c r="S206" s="166"/>
      <c r="T206" s="166"/>
      <c r="U206" s="166"/>
      <c r="V206" s="166"/>
      <c r="W206" s="166"/>
      <c r="X206" s="166"/>
      <c r="Y206" s="166"/>
    </row>
    <row r="207" spans="1:25" s="167" customFormat="1" ht="16.5" x14ac:dyDescent="0.3">
      <c r="A207" s="92"/>
      <c r="B207" s="188"/>
      <c r="C207" s="185"/>
      <c r="D207" s="120"/>
      <c r="E207" s="92"/>
      <c r="F207" s="92"/>
      <c r="G207" s="112"/>
      <c r="H207" s="93"/>
      <c r="I207" s="63"/>
      <c r="J207" s="80"/>
      <c r="K207" s="165"/>
      <c r="L207" s="166"/>
      <c r="M207" s="166"/>
      <c r="N207" s="166"/>
      <c r="O207" s="166"/>
      <c r="P207" s="166"/>
      <c r="Q207" s="166"/>
      <c r="R207" s="166"/>
      <c r="S207" s="166"/>
      <c r="T207" s="166"/>
      <c r="U207" s="166"/>
      <c r="V207" s="166"/>
      <c r="W207" s="166"/>
      <c r="X207" s="166"/>
      <c r="Y207" s="166"/>
    </row>
    <row r="208" spans="1:25" s="167" customFormat="1" ht="16.5" x14ac:dyDescent="0.3">
      <c r="A208" s="92"/>
      <c r="B208" s="188"/>
      <c r="C208" s="185"/>
      <c r="D208" s="120"/>
      <c r="E208" s="92"/>
      <c r="F208" s="92"/>
      <c r="G208" s="112"/>
      <c r="H208" s="93"/>
      <c r="I208" s="63"/>
      <c r="J208" s="80"/>
      <c r="K208" s="165"/>
      <c r="L208" s="166"/>
      <c r="M208" s="166"/>
      <c r="N208" s="166"/>
      <c r="O208" s="166"/>
      <c r="P208" s="166"/>
      <c r="Q208" s="166"/>
      <c r="R208" s="166"/>
      <c r="S208" s="166"/>
      <c r="T208" s="166"/>
      <c r="U208" s="166"/>
      <c r="V208" s="166"/>
      <c r="W208" s="166"/>
      <c r="X208" s="166"/>
      <c r="Y208" s="166"/>
    </row>
    <row r="209" spans="1:25" s="167" customFormat="1" ht="16.5" x14ac:dyDescent="0.3">
      <c r="A209" s="92"/>
      <c r="B209" s="188"/>
      <c r="C209" s="185"/>
      <c r="D209" s="120"/>
      <c r="E209" s="92"/>
      <c r="F209" s="92"/>
      <c r="G209" s="112"/>
      <c r="H209" s="93"/>
      <c r="I209" s="63"/>
      <c r="J209" s="80"/>
      <c r="K209" s="165"/>
      <c r="L209" s="166"/>
      <c r="M209" s="166"/>
      <c r="N209" s="166"/>
      <c r="O209" s="166"/>
      <c r="P209" s="166"/>
      <c r="Q209" s="166"/>
      <c r="R209" s="166"/>
      <c r="S209" s="166"/>
      <c r="T209" s="166"/>
      <c r="U209" s="166"/>
      <c r="V209" s="166"/>
      <c r="W209" s="166"/>
      <c r="X209" s="166"/>
      <c r="Y209" s="166"/>
    </row>
    <row r="210" spans="1:25" s="167" customFormat="1" ht="16.5" x14ac:dyDescent="0.3">
      <c r="A210" s="92"/>
      <c r="B210" s="188"/>
      <c r="C210" s="185"/>
      <c r="D210" s="120"/>
      <c r="E210" s="92"/>
      <c r="F210" s="92"/>
      <c r="G210" s="112"/>
      <c r="H210" s="93"/>
      <c r="I210" s="63"/>
      <c r="J210" s="80"/>
      <c r="K210" s="165"/>
      <c r="L210" s="166"/>
      <c r="M210" s="166"/>
      <c r="N210" s="166"/>
      <c r="O210" s="166"/>
      <c r="P210" s="166"/>
      <c r="Q210" s="166"/>
      <c r="R210" s="166"/>
      <c r="S210" s="166"/>
      <c r="T210" s="166"/>
      <c r="U210" s="166"/>
      <c r="V210" s="166"/>
      <c r="W210" s="166"/>
      <c r="X210" s="166"/>
      <c r="Y210" s="166"/>
    </row>
    <row r="211" spans="1:25" s="167" customFormat="1" ht="16.5" x14ac:dyDescent="0.3">
      <c r="A211" s="92"/>
      <c r="B211" s="188"/>
      <c r="C211" s="185"/>
      <c r="D211" s="120"/>
      <c r="E211" s="92"/>
      <c r="F211" s="92"/>
      <c r="G211" s="112"/>
      <c r="H211" s="93"/>
      <c r="I211" s="63"/>
      <c r="J211" s="80"/>
      <c r="K211" s="165"/>
      <c r="L211" s="166"/>
      <c r="M211" s="166"/>
      <c r="N211" s="166"/>
      <c r="O211" s="166"/>
      <c r="P211" s="166"/>
      <c r="Q211" s="166"/>
      <c r="R211" s="166"/>
      <c r="S211" s="166"/>
      <c r="T211" s="166"/>
      <c r="U211" s="166"/>
      <c r="V211" s="166"/>
      <c r="W211" s="166"/>
      <c r="X211" s="166"/>
      <c r="Y211" s="166"/>
    </row>
    <row r="212" spans="1:25" s="167" customFormat="1" ht="16.5" x14ac:dyDescent="0.3">
      <c r="A212" s="92"/>
      <c r="B212" s="188"/>
      <c r="C212" s="185"/>
      <c r="D212" s="120"/>
      <c r="E212" s="92"/>
      <c r="F212" s="92"/>
      <c r="G212" s="112"/>
      <c r="H212" s="93"/>
      <c r="I212" s="63"/>
      <c r="J212" s="80"/>
      <c r="K212" s="165"/>
      <c r="L212" s="166"/>
      <c r="M212" s="166"/>
      <c r="N212" s="166"/>
      <c r="O212" s="166"/>
      <c r="P212" s="166"/>
      <c r="Q212" s="166"/>
      <c r="R212" s="166"/>
      <c r="S212" s="166"/>
      <c r="T212" s="166"/>
      <c r="U212" s="166"/>
      <c r="V212" s="166"/>
      <c r="W212" s="166"/>
      <c r="X212" s="166"/>
      <c r="Y212" s="166"/>
    </row>
    <row r="213" spans="1:25" s="167" customFormat="1" ht="16.5" x14ac:dyDescent="0.3">
      <c r="A213" s="92"/>
      <c r="B213" s="188"/>
      <c r="C213" s="185"/>
      <c r="D213" s="120"/>
      <c r="E213" s="92"/>
      <c r="F213" s="92"/>
      <c r="G213" s="112"/>
      <c r="H213" s="93"/>
      <c r="I213" s="63"/>
      <c r="J213" s="80"/>
      <c r="K213" s="165"/>
      <c r="L213" s="166"/>
      <c r="M213" s="166"/>
      <c r="N213" s="166"/>
      <c r="O213" s="166"/>
      <c r="P213" s="166"/>
      <c r="Q213" s="166"/>
      <c r="R213" s="166"/>
      <c r="S213" s="166"/>
      <c r="T213" s="166"/>
      <c r="U213" s="166"/>
      <c r="V213" s="166"/>
      <c r="W213" s="166"/>
      <c r="X213" s="166"/>
      <c r="Y213" s="166"/>
    </row>
    <row r="214" spans="1:25" s="167" customFormat="1" ht="16.5" x14ac:dyDescent="0.3">
      <c r="A214" s="92"/>
      <c r="B214" s="188"/>
      <c r="C214" s="185"/>
      <c r="D214" s="120"/>
      <c r="E214" s="92"/>
      <c r="F214" s="92"/>
      <c r="G214" s="112"/>
      <c r="H214" s="93"/>
      <c r="I214" s="63"/>
      <c r="J214" s="157"/>
      <c r="K214" s="165"/>
      <c r="L214" s="166"/>
      <c r="M214" s="166"/>
      <c r="N214" s="166"/>
      <c r="O214" s="166"/>
      <c r="P214" s="166"/>
      <c r="Q214" s="166"/>
      <c r="R214" s="166"/>
      <c r="S214" s="166"/>
      <c r="T214" s="166"/>
      <c r="U214" s="166"/>
      <c r="V214" s="166"/>
      <c r="W214" s="166"/>
      <c r="X214" s="166"/>
      <c r="Y214" s="166"/>
    </row>
    <row r="215" spans="1:25" s="167" customFormat="1" ht="16.5" x14ac:dyDescent="0.3">
      <c r="A215" s="92"/>
      <c r="B215" s="188"/>
      <c r="C215" s="185"/>
      <c r="D215" s="120"/>
      <c r="E215" s="92"/>
      <c r="F215" s="92"/>
      <c r="G215" s="112"/>
      <c r="H215" s="93"/>
      <c r="I215" s="63"/>
      <c r="J215" s="80"/>
      <c r="K215" s="165"/>
      <c r="L215" s="166"/>
      <c r="M215" s="166"/>
      <c r="N215" s="166"/>
      <c r="O215" s="166"/>
      <c r="P215" s="166"/>
      <c r="Q215" s="166"/>
      <c r="R215" s="166"/>
      <c r="S215" s="166"/>
      <c r="T215" s="166"/>
      <c r="U215" s="166"/>
      <c r="V215" s="166"/>
      <c r="W215" s="166"/>
      <c r="X215" s="166"/>
      <c r="Y215" s="166"/>
    </row>
    <row r="216" spans="1:25" s="167" customFormat="1" ht="16.5" x14ac:dyDescent="0.3">
      <c r="A216" s="92"/>
      <c r="B216" s="188"/>
      <c r="C216" s="185"/>
      <c r="D216" s="120"/>
      <c r="E216" s="92"/>
      <c r="F216" s="92"/>
      <c r="G216" s="112"/>
      <c r="H216" s="93"/>
      <c r="I216" s="63"/>
      <c r="J216" s="80"/>
      <c r="K216" s="165"/>
      <c r="L216" s="166"/>
      <c r="M216" s="166"/>
      <c r="N216" s="166"/>
      <c r="O216" s="166"/>
      <c r="P216" s="166"/>
      <c r="Q216" s="166"/>
      <c r="R216" s="166"/>
      <c r="S216" s="166"/>
      <c r="T216" s="166"/>
      <c r="U216" s="166"/>
      <c r="V216" s="166"/>
      <c r="W216" s="166"/>
      <c r="X216" s="166"/>
      <c r="Y216" s="166"/>
    </row>
    <row r="217" spans="1:25" s="167" customFormat="1" ht="16.5" x14ac:dyDescent="0.3">
      <c r="A217" s="92"/>
      <c r="B217" s="188"/>
      <c r="C217" s="185"/>
      <c r="D217" s="120"/>
      <c r="E217" s="92"/>
      <c r="F217" s="92"/>
      <c r="G217" s="112"/>
      <c r="H217" s="93"/>
      <c r="I217" s="63"/>
      <c r="J217" s="80"/>
      <c r="K217" s="165"/>
      <c r="L217" s="166"/>
      <c r="M217" s="166"/>
      <c r="N217" s="166"/>
      <c r="O217" s="166"/>
      <c r="P217" s="166"/>
      <c r="Q217" s="166"/>
      <c r="R217" s="166"/>
      <c r="S217" s="166"/>
      <c r="T217" s="166"/>
      <c r="U217" s="166"/>
      <c r="V217" s="166"/>
      <c r="W217" s="166"/>
      <c r="X217" s="166"/>
      <c r="Y217" s="166"/>
    </row>
    <row r="218" spans="1:25" s="167" customFormat="1" ht="16.5" x14ac:dyDescent="0.3">
      <c r="A218" s="92"/>
      <c r="B218" s="188"/>
      <c r="C218" s="185"/>
      <c r="D218" s="120"/>
      <c r="E218" s="92"/>
      <c r="F218" s="92"/>
      <c r="G218" s="112"/>
      <c r="H218" s="93"/>
      <c r="I218" s="63"/>
      <c r="J218" s="80"/>
      <c r="K218" s="165"/>
      <c r="L218" s="166"/>
      <c r="M218" s="166"/>
      <c r="N218" s="166"/>
      <c r="O218" s="166"/>
      <c r="P218" s="166"/>
      <c r="Q218" s="166"/>
      <c r="R218" s="166"/>
      <c r="S218" s="166"/>
      <c r="T218" s="166"/>
      <c r="U218" s="166"/>
      <c r="V218" s="166"/>
      <c r="W218" s="166"/>
      <c r="X218" s="166"/>
      <c r="Y218" s="166"/>
    </row>
    <row r="219" spans="1:25" s="167" customFormat="1" ht="16.5" x14ac:dyDescent="0.3">
      <c r="A219" s="92"/>
      <c r="B219" s="188"/>
      <c r="C219" s="185"/>
      <c r="D219" s="120"/>
      <c r="E219" s="92"/>
      <c r="F219" s="92"/>
      <c r="G219" s="112"/>
      <c r="H219" s="93"/>
      <c r="I219" s="63"/>
      <c r="J219" s="80"/>
      <c r="K219" s="165"/>
      <c r="L219" s="166"/>
      <c r="M219" s="166"/>
      <c r="N219" s="166"/>
      <c r="O219" s="166"/>
      <c r="P219" s="166"/>
      <c r="Q219" s="166"/>
      <c r="R219" s="166"/>
      <c r="S219" s="166"/>
      <c r="T219" s="166"/>
      <c r="U219" s="166"/>
      <c r="V219" s="166"/>
      <c r="W219" s="166"/>
      <c r="X219" s="166"/>
      <c r="Y219" s="166"/>
    </row>
    <row r="220" spans="1:25" s="167" customFormat="1" ht="16.5" x14ac:dyDescent="0.3">
      <c r="A220" s="92"/>
      <c r="B220" s="188"/>
      <c r="C220" s="185"/>
      <c r="D220" s="120"/>
      <c r="E220" s="92"/>
      <c r="F220" s="92"/>
      <c r="G220" s="112"/>
      <c r="H220" s="93"/>
      <c r="I220" s="63"/>
      <c r="J220" s="80"/>
      <c r="K220" s="165"/>
      <c r="L220" s="166"/>
      <c r="M220" s="166"/>
      <c r="N220" s="166"/>
      <c r="O220" s="166"/>
      <c r="P220" s="166"/>
      <c r="Q220" s="166"/>
      <c r="R220" s="166"/>
      <c r="S220" s="166"/>
      <c r="T220" s="166"/>
      <c r="U220" s="166"/>
      <c r="V220" s="166"/>
      <c r="W220" s="166"/>
      <c r="X220" s="166"/>
      <c r="Y220" s="166"/>
    </row>
    <row r="221" spans="1:25" s="167" customFormat="1" ht="16.5" x14ac:dyDescent="0.3">
      <c r="A221" s="92"/>
      <c r="B221" s="188"/>
      <c r="C221" s="185"/>
      <c r="D221" s="120"/>
      <c r="E221" s="92"/>
      <c r="F221" s="92"/>
      <c r="G221" s="112"/>
      <c r="H221" s="93"/>
      <c r="I221" s="63"/>
      <c r="J221" s="80"/>
      <c r="K221" s="165"/>
      <c r="L221" s="166"/>
      <c r="M221" s="166"/>
      <c r="N221" s="166"/>
      <c r="O221" s="166"/>
      <c r="P221" s="166"/>
      <c r="Q221" s="166"/>
      <c r="R221" s="166"/>
      <c r="S221" s="166"/>
      <c r="T221" s="166"/>
      <c r="U221" s="166"/>
      <c r="V221" s="166"/>
      <c r="W221" s="166"/>
      <c r="X221" s="166"/>
      <c r="Y221" s="166"/>
    </row>
    <row r="222" spans="1:25" s="167" customFormat="1" ht="16.5" x14ac:dyDescent="0.3">
      <c r="A222" s="92"/>
      <c r="B222" s="188"/>
      <c r="C222" s="185"/>
      <c r="D222" s="120"/>
      <c r="E222" s="92"/>
      <c r="F222" s="92"/>
      <c r="G222" s="112"/>
      <c r="H222" s="93"/>
      <c r="I222" s="63"/>
      <c r="J222" s="80"/>
      <c r="K222" s="165"/>
      <c r="L222" s="166"/>
      <c r="M222" s="166"/>
      <c r="N222" s="166"/>
      <c r="O222" s="166"/>
      <c r="P222" s="166"/>
      <c r="Q222" s="166"/>
      <c r="R222" s="166"/>
      <c r="S222" s="166"/>
      <c r="T222" s="166"/>
      <c r="U222" s="166"/>
      <c r="V222" s="166"/>
      <c r="W222" s="166"/>
      <c r="X222" s="166"/>
      <c r="Y222" s="166"/>
    </row>
    <row r="223" spans="1:25" s="167" customFormat="1" ht="16.5" x14ac:dyDescent="0.3">
      <c r="A223" s="92"/>
      <c r="B223" s="188"/>
      <c r="C223" s="185"/>
      <c r="D223" s="120"/>
      <c r="E223" s="92"/>
      <c r="F223" s="92"/>
      <c r="G223" s="112"/>
      <c r="H223" s="93"/>
      <c r="I223" s="63"/>
      <c r="J223" s="80"/>
      <c r="K223" s="165"/>
      <c r="L223" s="166"/>
      <c r="M223" s="166"/>
      <c r="N223" s="166"/>
      <c r="O223" s="166"/>
      <c r="P223" s="166"/>
      <c r="Q223" s="166"/>
      <c r="R223" s="166"/>
      <c r="S223" s="166"/>
      <c r="T223" s="166"/>
      <c r="U223" s="166"/>
      <c r="V223" s="166"/>
      <c r="W223" s="166"/>
      <c r="X223" s="166"/>
      <c r="Y223" s="166"/>
    </row>
    <row r="224" spans="1:25" s="167" customFormat="1" ht="16.5" x14ac:dyDescent="0.3">
      <c r="A224" s="92"/>
      <c r="B224" s="188"/>
      <c r="C224" s="185"/>
      <c r="D224" s="120"/>
      <c r="E224" s="92"/>
      <c r="F224" s="92"/>
      <c r="G224" s="112"/>
      <c r="H224" s="93"/>
      <c r="I224" s="63"/>
      <c r="J224" s="80"/>
      <c r="K224" s="165"/>
      <c r="L224" s="166"/>
      <c r="M224" s="166"/>
      <c r="N224" s="166"/>
      <c r="O224" s="166"/>
      <c r="P224" s="166"/>
      <c r="Q224" s="166"/>
      <c r="R224" s="166"/>
      <c r="S224" s="166"/>
      <c r="T224" s="166"/>
      <c r="U224" s="166"/>
      <c r="V224" s="166"/>
      <c r="W224" s="166"/>
      <c r="X224" s="166"/>
      <c r="Y224" s="166"/>
    </row>
    <row r="225" spans="1:25" s="167" customFormat="1" ht="16.5" x14ac:dyDescent="0.3">
      <c r="A225" s="92"/>
      <c r="B225" s="188"/>
      <c r="C225" s="185"/>
      <c r="D225" s="120"/>
      <c r="E225" s="92"/>
      <c r="F225" s="92"/>
      <c r="G225" s="112"/>
      <c r="H225" s="93"/>
      <c r="I225" s="63"/>
      <c r="J225" s="80"/>
      <c r="K225" s="165"/>
      <c r="L225" s="166"/>
      <c r="M225" s="166"/>
      <c r="N225" s="166"/>
      <c r="O225" s="166"/>
      <c r="P225" s="166"/>
      <c r="Q225" s="166"/>
      <c r="R225" s="166"/>
      <c r="S225" s="166"/>
      <c r="T225" s="166"/>
      <c r="U225" s="166"/>
      <c r="V225" s="166"/>
      <c r="W225" s="166"/>
      <c r="X225" s="166"/>
      <c r="Y225" s="166"/>
    </row>
  </sheetData>
  <mergeCells count="2">
    <mergeCell ref="A1:I1"/>
    <mergeCell ref="A144:I144"/>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Y171"/>
  <sheetViews>
    <sheetView zoomScaleNormal="100" workbookViewId="0">
      <pane ySplit="2" topLeftCell="A105" activePane="bottomLeft" state="frozen"/>
      <selection pane="bottomLeft" activeCell="H117" sqref="H117:I117"/>
    </sheetView>
  </sheetViews>
  <sheetFormatPr defaultColWidth="24.5703125" defaultRowHeight="13.5" x14ac:dyDescent="0.25"/>
  <cols>
    <col min="1" max="1" width="10.42578125" style="118" bestFit="1" customWidth="1"/>
    <col min="2" max="2" width="13.5703125" style="127" bestFit="1" customWidth="1"/>
    <col min="3" max="3" width="33.5703125" style="118" customWidth="1"/>
    <col min="4" max="4" width="63" style="127" bestFit="1" customWidth="1"/>
    <col min="5" max="5" width="10.42578125" style="116" bestFit="1" customWidth="1"/>
    <col min="6" max="6" width="10.5703125" style="118" bestFit="1" customWidth="1"/>
    <col min="7" max="7" width="10.5703125" style="149" customWidth="1"/>
    <col min="8" max="8" width="17.42578125" style="116" customWidth="1"/>
    <col min="9" max="9" width="25.5703125" style="117" customWidth="1"/>
    <col min="10" max="11" width="24.5703125" style="80" customWidth="1"/>
    <col min="12" max="25" width="24.5703125" style="81" customWidth="1"/>
    <col min="26" max="16384" width="24.5703125" style="82"/>
  </cols>
  <sheetData>
    <row r="1" spans="1:25" s="78" customFormat="1" ht="26.25" x14ac:dyDescent="0.35">
      <c r="A1" s="538" t="s">
        <v>196</v>
      </c>
      <c r="B1" s="538"/>
      <c r="C1" s="538"/>
      <c r="D1" s="538"/>
      <c r="E1" s="538"/>
      <c r="F1" s="538"/>
      <c r="G1" s="538"/>
      <c r="H1" s="538"/>
      <c r="I1" s="538"/>
      <c r="J1" s="76"/>
      <c r="K1" s="76"/>
      <c r="L1" s="77"/>
      <c r="M1" s="77"/>
      <c r="N1" s="77"/>
      <c r="O1" s="77"/>
      <c r="P1" s="77"/>
      <c r="Q1" s="77"/>
      <c r="R1" s="77"/>
      <c r="S1" s="77"/>
      <c r="T1" s="77"/>
      <c r="U1" s="77"/>
      <c r="V1" s="77"/>
      <c r="W1" s="77"/>
      <c r="X1" s="77"/>
      <c r="Y1" s="77"/>
    </row>
    <row r="2" spans="1:25" ht="38.25" x14ac:dyDescent="0.25">
      <c r="A2" s="109" t="s">
        <v>423</v>
      </c>
      <c r="B2" s="119" t="s">
        <v>1439</v>
      </c>
      <c r="C2" s="110" t="s">
        <v>1440</v>
      </c>
      <c r="D2" s="110" t="s">
        <v>426</v>
      </c>
      <c r="E2" s="109" t="s">
        <v>427</v>
      </c>
      <c r="F2" s="109" t="s">
        <v>428</v>
      </c>
      <c r="G2" s="148" t="s">
        <v>223</v>
      </c>
      <c r="H2" s="110" t="s">
        <v>1671</v>
      </c>
      <c r="I2" s="109" t="s">
        <v>452</v>
      </c>
    </row>
    <row r="3" spans="1:25" x14ac:dyDescent="0.25">
      <c r="A3" s="63" t="s">
        <v>197</v>
      </c>
      <c r="B3" s="151">
        <v>40546</v>
      </c>
      <c r="C3" s="61" t="s">
        <v>2474</v>
      </c>
      <c r="D3" s="111" t="s">
        <v>1651</v>
      </c>
      <c r="E3" s="63" t="s">
        <v>615</v>
      </c>
      <c r="F3" s="63" t="s">
        <v>1552</v>
      </c>
      <c r="G3" s="93">
        <v>40848</v>
      </c>
      <c r="H3" s="93">
        <v>40568</v>
      </c>
      <c r="I3" s="63" t="s">
        <v>993</v>
      </c>
    </row>
    <row r="4" spans="1:25" x14ac:dyDescent="0.25">
      <c r="A4" s="63" t="s">
        <v>105</v>
      </c>
      <c r="B4" s="151">
        <v>40547</v>
      </c>
      <c r="C4" s="61" t="s">
        <v>106</v>
      </c>
      <c r="D4" s="111" t="s">
        <v>1652</v>
      </c>
      <c r="E4" s="63" t="s">
        <v>615</v>
      </c>
      <c r="F4" s="63" t="s">
        <v>1552</v>
      </c>
      <c r="G4" s="93">
        <v>40848</v>
      </c>
      <c r="H4" s="93">
        <v>41249</v>
      </c>
      <c r="I4" s="63" t="s">
        <v>993</v>
      </c>
    </row>
    <row r="5" spans="1:25" ht="27" x14ac:dyDescent="0.25">
      <c r="A5" s="63" t="s">
        <v>21</v>
      </c>
      <c r="B5" s="151">
        <v>40549</v>
      </c>
      <c r="C5" s="61" t="s">
        <v>22</v>
      </c>
      <c r="D5" s="122" t="s">
        <v>1767</v>
      </c>
      <c r="E5" s="63" t="s">
        <v>987</v>
      </c>
      <c r="F5" s="63" t="s">
        <v>1552</v>
      </c>
      <c r="G5" s="93">
        <v>40848</v>
      </c>
      <c r="H5" s="112"/>
      <c r="I5" s="92" t="s">
        <v>993</v>
      </c>
    </row>
    <row r="6" spans="1:25" x14ac:dyDescent="0.25">
      <c r="A6" s="63" t="s">
        <v>1472</v>
      </c>
      <c r="B6" s="151">
        <v>40562</v>
      </c>
      <c r="C6" s="64" t="s">
        <v>1473</v>
      </c>
      <c r="D6" s="111" t="s">
        <v>1474</v>
      </c>
      <c r="E6" s="63" t="s">
        <v>987</v>
      </c>
      <c r="F6" s="63" t="s">
        <v>1552</v>
      </c>
      <c r="G6" s="93">
        <v>40848</v>
      </c>
      <c r="H6" s="93">
        <v>40841</v>
      </c>
      <c r="I6" s="63" t="s">
        <v>993</v>
      </c>
    </row>
    <row r="7" spans="1:25" x14ac:dyDescent="0.25">
      <c r="A7" s="63" t="s">
        <v>1477</v>
      </c>
      <c r="B7" s="151">
        <v>40562</v>
      </c>
      <c r="C7" s="61" t="s">
        <v>1475</v>
      </c>
      <c r="D7" s="111" t="s">
        <v>1476</v>
      </c>
      <c r="E7" s="63" t="s">
        <v>987</v>
      </c>
      <c r="F7" s="63" t="s">
        <v>1552</v>
      </c>
      <c r="G7" s="93">
        <v>40848</v>
      </c>
      <c r="H7" s="93" t="s">
        <v>1936</v>
      </c>
      <c r="I7" s="63" t="s">
        <v>1056</v>
      </c>
    </row>
    <row r="8" spans="1:25" x14ac:dyDescent="0.25">
      <c r="A8" s="63" t="s">
        <v>1478</v>
      </c>
      <c r="B8" s="151">
        <v>40562</v>
      </c>
      <c r="C8" s="61" t="s">
        <v>1690</v>
      </c>
      <c r="D8" s="111" t="s">
        <v>1479</v>
      </c>
      <c r="E8" s="63" t="s">
        <v>987</v>
      </c>
      <c r="F8" s="63" t="s">
        <v>1552</v>
      </c>
      <c r="G8" s="93">
        <v>40848</v>
      </c>
      <c r="H8" s="93" t="s">
        <v>1934</v>
      </c>
      <c r="I8" s="63" t="s">
        <v>1056</v>
      </c>
    </row>
    <row r="9" spans="1:25" s="108" customFormat="1" ht="27" x14ac:dyDescent="0.25">
      <c r="A9" s="63" t="s">
        <v>1410</v>
      </c>
      <c r="B9" s="151">
        <v>40563</v>
      </c>
      <c r="C9" s="61" t="s">
        <v>1412</v>
      </c>
      <c r="D9" s="111" t="s">
        <v>1411</v>
      </c>
      <c r="E9" s="63" t="s">
        <v>685</v>
      </c>
      <c r="F9" s="63" t="s">
        <v>794</v>
      </c>
      <c r="G9" s="93">
        <v>40848</v>
      </c>
      <c r="H9" s="93">
        <v>40945</v>
      </c>
      <c r="I9" s="63" t="s">
        <v>993</v>
      </c>
      <c r="J9" s="80"/>
      <c r="K9" s="80"/>
      <c r="L9" s="107"/>
      <c r="M9" s="107"/>
      <c r="N9" s="107"/>
      <c r="O9" s="107"/>
      <c r="P9" s="107"/>
      <c r="Q9" s="107"/>
      <c r="R9" s="107"/>
      <c r="S9" s="107"/>
      <c r="T9" s="107"/>
      <c r="U9" s="107"/>
      <c r="V9" s="107"/>
      <c r="W9" s="107"/>
      <c r="X9" s="107"/>
      <c r="Y9" s="107"/>
    </row>
    <row r="10" spans="1:25" x14ac:dyDescent="0.25">
      <c r="A10" s="63" t="s">
        <v>1116</v>
      </c>
      <c r="B10" s="151">
        <v>40574</v>
      </c>
      <c r="C10" s="61" t="s">
        <v>697</v>
      </c>
      <c r="D10" s="111" t="s">
        <v>1653</v>
      </c>
      <c r="E10" s="63" t="s">
        <v>685</v>
      </c>
      <c r="F10" s="63" t="s">
        <v>1552</v>
      </c>
      <c r="G10" s="93">
        <v>40848</v>
      </c>
      <c r="H10" s="93">
        <v>41270</v>
      </c>
      <c r="I10" s="63" t="s">
        <v>993</v>
      </c>
      <c r="J10" s="87"/>
    </row>
    <row r="11" spans="1:25" x14ac:dyDescent="0.25">
      <c r="A11" s="63" t="s">
        <v>1117</v>
      </c>
      <c r="B11" s="151">
        <v>40574</v>
      </c>
      <c r="C11" s="61" t="s">
        <v>1118</v>
      </c>
      <c r="D11" s="111" t="s">
        <v>1653</v>
      </c>
      <c r="E11" s="63" t="s">
        <v>685</v>
      </c>
      <c r="F11" s="63" t="s">
        <v>1552</v>
      </c>
      <c r="G11" s="93">
        <v>40848</v>
      </c>
      <c r="H11" s="93">
        <v>41264</v>
      </c>
      <c r="I11" s="63" t="s">
        <v>993</v>
      </c>
    </row>
    <row r="12" spans="1:25" x14ac:dyDescent="0.25">
      <c r="A12" s="63" t="s">
        <v>1119</v>
      </c>
      <c r="B12" s="151">
        <v>40574</v>
      </c>
      <c r="C12" s="61" t="s">
        <v>690</v>
      </c>
      <c r="D12" s="111" t="s">
        <v>1653</v>
      </c>
      <c r="E12" s="63" t="s">
        <v>685</v>
      </c>
      <c r="F12" s="63" t="s">
        <v>1552</v>
      </c>
      <c r="G12" s="93">
        <v>40848</v>
      </c>
      <c r="H12" s="93">
        <v>41264</v>
      </c>
      <c r="I12" s="63" t="s">
        <v>993</v>
      </c>
    </row>
    <row r="13" spans="1:25" x14ac:dyDescent="0.25">
      <c r="A13" s="63" t="s">
        <v>1120</v>
      </c>
      <c r="B13" s="151">
        <v>40574</v>
      </c>
      <c r="C13" s="61" t="s">
        <v>698</v>
      </c>
      <c r="D13" s="111" t="s">
        <v>1653</v>
      </c>
      <c r="E13" s="63" t="s">
        <v>685</v>
      </c>
      <c r="F13" s="63" t="s">
        <v>1552</v>
      </c>
      <c r="G13" s="93">
        <v>40848</v>
      </c>
      <c r="H13" s="93">
        <v>40533</v>
      </c>
      <c r="I13" s="63" t="s">
        <v>993</v>
      </c>
    </row>
    <row r="14" spans="1:25" x14ac:dyDescent="0.25">
      <c r="A14" s="63" t="s">
        <v>1030</v>
      </c>
      <c r="B14" s="151">
        <v>40578</v>
      </c>
      <c r="C14" s="61" t="s">
        <v>1031</v>
      </c>
      <c r="D14" s="111" t="s">
        <v>1034</v>
      </c>
      <c r="E14" s="63" t="s">
        <v>987</v>
      </c>
      <c r="F14" s="63" t="s">
        <v>1552</v>
      </c>
      <c r="G14" s="93">
        <v>40848</v>
      </c>
      <c r="H14" s="93">
        <v>40646</v>
      </c>
      <c r="I14" s="63" t="s">
        <v>993</v>
      </c>
    </row>
    <row r="15" spans="1:25" x14ac:dyDescent="0.25">
      <c r="A15" s="63" t="s">
        <v>1032</v>
      </c>
      <c r="B15" s="151">
        <v>40578</v>
      </c>
      <c r="C15" s="61" t="s">
        <v>1033</v>
      </c>
      <c r="D15" s="111" t="s">
        <v>1034</v>
      </c>
      <c r="E15" s="63" t="s">
        <v>987</v>
      </c>
      <c r="F15" s="63" t="s">
        <v>1552</v>
      </c>
      <c r="G15" s="93">
        <v>40848</v>
      </c>
      <c r="H15" s="93">
        <v>40646</v>
      </c>
      <c r="I15" s="63" t="s">
        <v>993</v>
      </c>
    </row>
    <row r="16" spans="1:25" ht="27" x14ac:dyDescent="0.25">
      <c r="A16" s="63" t="s">
        <v>1035</v>
      </c>
      <c r="B16" s="151">
        <v>40578</v>
      </c>
      <c r="C16" s="61" t="s">
        <v>1036</v>
      </c>
      <c r="D16" s="111" t="s">
        <v>1037</v>
      </c>
      <c r="E16" s="63" t="s">
        <v>987</v>
      </c>
      <c r="F16" s="63" t="s">
        <v>1552</v>
      </c>
      <c r="G16" s="93">
        <v>40848</v>
      </c>
      <c r="H16" s="93">
        <v>40646</v>
      </c>
      <c r="I16" s="63" t="s">
        <v>993</v>
      </c>
    </row>
    <row r="17" spans="1:11" x14ac:dyDescent="0.25">
      <c r="A17" s="63" t="s">
        <v>773</v>
      </c>
      <c r="B17" s="151">
        <v>40578</v>
      </c>
      <c r="C17" s="61" t="s">
        <v>774</v>
      </c>
      <c r="D17" s="111" t="s">
        <v>639</v>
      </c>
      <c r="E17" s="63" t="s">
        <v>987</v>
      </c>
      <c r="F17" s="63" t="s">
        <v>441</v>
      </c>
      <c r="G17" s="93">
        <v>40848</v>
      </c>
      <c r="H17" s="93">
        <v>40948</v>
      </c>
      <c r="I17" s="63" t="s">
        <v>798</v>
      </c>
    </row>
    <row r="18" spans="1:11" x14ac:dyDescent="0.25">
      <c r="A18" s="63" t="s">
        <v>640</v>
      </c>
      <c r="B18" s="151">
        <v>40581</v>
      </c>
      <c r="C18" s="61" t="s">
        <v>644</v>
      </c>
      <c r="D18" s="111" t="s">
        <v>1653</v>
      </c>
      <c r="E18" s="63" t="s">
        <v>685</v>
      </c>
      <c r="F18" s="63" t="s">
        <v>1552</v>
      </c>
      <c r="G18" s="93">
        <v>40848</v>
      </c>
      <c r="H18" s="93" t="s">
        <v>2275</v>
      </c>
      <c r="I18" s="63" t="s">
        <v>2862</v>
      </c>
    </row>
    <row r="19" spans="1:11" x14ac:dyDescent="0.25">
      <c r="A19" s="63" t="s">
        <v>641</v>
      </c>
      <c r="B19" s="151">
        <v>40581</v>
      </c>
      <c r="C19" s="61" t="s">
        <v>650</v>
      </c>
      <c r="D19" s="111" t="s">
        <v>1653</v>
      </c>
      <c r="E19" s="63" t="s">
        <v>685</v>
      </c>
      <c r="F19" s="63" t="s">
        <v>1552</v>
      </c>
      <c r="G19" s="93">
        <v>40848</v>
      </c>
      <c r="H19" s="93" t="s">
        <v>2275</v>
      </c>
      <c r="I19" s="63" t="s">
        <v>2276</v>
      </c>
    </row>
    <row r="20" spans="1:11" s="107" customFormat="1" x14ac:dyDescent="0.25">
      <c r="A20" s="63" t="s">
        <v>642</v>
      </c>
      <c r="B20" s="151">
        <v>40581</v>
      </c>
      <c r="C20" s="61" t="s">
        <v>649</v>
      </c>
      <c r="D20" s="111" t="s">
        <v>1653</v>
      </c>
      <c r="E20" s="63" t="s">
        <v>685</v>
      </c>
      <c r="F20" s="63" t="s">
        <v>1552</v>
      </c>
      <c r="G20" s="93">
        <v>40848</v>
      </c>
      <c r="H20" s="112">
        <v>41264</v>
      </c>
      <c r="I20" s="92" t="s">
        <v>993</v>
      </c>
      <c r="J20" s="80"/>
      <c r="K20" s="80"/>
    </row>
    <row r="21" spans="1:11" x14ac:dyDescent="0.25">
      <c r="A21" s="63" t="s">
        <v>643</v>
      </c>
      <c r="B21" s="151">
        <v>40581</v>
      </c>
      <c r="C21" s="61" t="s">
        <v>648</v>
      </c>
      <c r="D21" s="111" t="s">
        <v>1653</v>
      </c>
      <c r="E21" s="63" t="s">
        <v>685</v>
      </c>
      <c r="F21" s="63" t="s">
        <v>1552</v>
      </c>
      <c r="G21" s="93">
        <v>40848</v>
      </c>
      <c r="H21" s="93">
        <v>41488</v>
      </c>
      <c r="I21" s="63" t="s">
        <v>993</v>
      </c>
    </row>
    <row r="22" spans="1:11" x14ac:dyDescent="0.25">
      <c r="A22" s="63" t="s">
        <v>646</v>
      </c>
      <c r="B22" s="151">
        <v>40581</v>
      </c>
      <c r="C22" s="61" t="s">
        <v>647</v>
      </c>
      <c r="D22" s="111" t="s">
        <v>1653</v>
      </c>
      <c r="E22" s="63" t="s">
        <v>685</v>
      </c>
      <c r="F22" s="63" t="s">
        <v>1552</v>
      </c>
      <c r="G22" s="93">
        <v>40848</v>
      </c>
      <c r="H22" s="93">
        <v>41311</v>
      </c>
      <c r="I22" s="63" t="s">
        <v>798</v>
      </c>
    </row>
    <row r="23" spans="1:11" x14ac:dyDescent="0.25">
      <c r="A23" s="63" t="s">
        <v>651</v>
      </c>
      <c r="B23" s="151">
        <v>40581</v>
      </c>
      <c r="C23" s="61" t="s">
        <v>645</v>
      </c>
      <c r="D23" s="111" t="s">
        <v>1653</v>
      </c>
      <c r="E23" s="63" t="s">
        <v>685</v>
      </c>
      <c r="F23" s="63" t="s">
        <v>1552</v>
      </c>
      <c r="G23" s="93">
        <v>40848</v>
      </c>
      <c r="H23" s="93">
        <v>41150</v>
      </c>
      <c r="I23" s="63" t="s">
        <v>993</v>
      </c>
      <c r="J23" s="89"/>
    </row>
    <row r="24" spans="1:11" x14ac:dyDescent="0.25">
      <c r="A24" s="63" t="s">
        <v>652</v>
      </c>
      <c r="B24" s="151">
        <v>40582</v>
      </c>
      <c r="C24" s="61" t="s">
        <v>653</v>
      </c>
      <c r="D24" s="111" t="s">
        <v>654</v>
      </c>
      <c r="E24" s="63" t="s">
        <v>999</v>
      </c>
      <c r="F24" s="63" t="s">
        <v>1552</v>
      </c>
      <c r="G24" s="93">
        <v>40848</v>
      </c>
      <c r="H24" s="93">
        <v>40630</v>
      </c>
      <c r="I24" s="63" t="s">
        <v>993</v>
      </c>
    </row>
    <row r="25" spans="1:11" x14ac:dyDescent="0.25">
      <c r="A25" s="63" t="s">
        <v>655</v>
      </c>
      <c r="B25" s="151">
        <v>40582</v>
      </c>
      <c r="C25" s="61" t="s">
        <v>498</v>
      </c>
      <c r="D25" s="111" t="s">
        <v>656</v>
      </c>
      <c r="E25" s="63" t="s">
        <v>999</v>
      </c>
      <c r="F25" s="63" t="s">
        <v>1552</v>
      </c>
      <c r="G25" s="93">
        <v>40848</v>
      </c>
      <c r="H25" s="93">
        <v>40724</v>
      </c>
      <c r="I25" s="63" t="s">
        <v>993</v>
      </c>
    </row>
    <row r="26" spans="1:11" x14ac:dyDescent="0.25">
      <c r="A26" s="92" t="s">
        <v>272</v>
      </c>
      <c r="B26" s="152">
        <v>40597</v>
      </c>
      <c r="C26" s="64" t="s">
        <v>274</v>
      </c>
      <c r="D26" s="120" t="s">
        <v>273</v>
      </c>
      <c r="E26" s="92" t="s">
        <v>516</v>
      </c>
      <c r="F26" s="92" t="s">
        <v>1552</v>
      </c>
      <c r="G26" s="112">
        <v>40848</v>
      </c>
      <c r="H26" s="112">
        <v>40597</v>
      </c>
      <c r="I26" s="63" t="s">
        <v>993</v>
      </c>
    </row>
    <row r="27" spans="1:11" x14ac:dyDescent="0.25">
      <c r="A27" s="63" t="s">
        <v>147</v>
      </c>
      <c r="B27" s="151">
        <v>40599</v>
      </c>
      <c r="C27" s="61" t="s">
        <v>146</v>
      </c>
      <c r="D27" s="111" t="s">
        <v>1654</v>
      </c>
      <c r="E27" s="63" t="s">
        <v>727</v>
      </c>
      <c r="F27" s="63" t="s">
        <v>794</v>
      </c>
      <c r="G27" s="93">
        <v>40848</v>
      </c>
      <c r="H27" s="93">
        <v>41261</v>
      </c>
      <c r="I27" s="63" t="s">
        <v>993</v>
      </c>
    </row>
    <row r="28" spans="1:11" x14ac:dyDescent="0.25">
      <c r="A28" s="63" t="s">
        <v>148</v>
      </c>
      <c r="B28" s="151">
        <v>40599</v>
      </c>
      <c r="C28" s="61" t="s">
        <v>149</v>
      </c>
      <c r="D28" s="111" t="s">
        <v>1655</v>
      </c>
      <c r="E28" s="63" t="s">
        <v>615</v>
      </c>
      <c r="F28" s="63" t="s">
        <v>794</v>
      </c>
      <c r="G28" s="93">
        <v>40848</v>
      </c>
      <c r="H28" s="93">
        <v>41253</v>
      </c>
      <c r="I28" s="63" t="s">
        <v>993</v>
      </c>
    </row>
    <row r="29" spans="1:11" x14ac:dyDescent="0.25">
      <c r="A29" s="63" t="s">
        <v>1726</v>
      </c>
      <c r="B29" s="151">
        <v>40602</v>
      </c>
      <c r="C29" s="63" t="s">
        <v>1727</v>
      </c>
      <c r="D29" s="122" t="s">
        <v>1656</v>
      </c>
      <c r="E29" s="63" t="s">
        <v>999</v>
      </c>
      <c r="F29" s="63" t="s">
        <v>794</v>
      </c>
      <c r="G29" s="93">
        <v>40848</v>
      </c>
      <c r="H29" s="93">
        <v>40864</v>
      </c>
      <c r="I29" s="63" t="s">
        <v>993</v>
      </c>
    </row>
    <row r="30" spans="1:11" x14ac:dyDescent="0.25">
      <c r="A30" s="63" t="s">
        <v>1728</v>
      </c>
      <c r="B30" s="151">
        <v>40602</v>
      </c>
      <c r="C30" s="61" t="s">
        <v>1729</v>
      </c>
      <c r="D30" s="111" t="s">
        <v>1655</v>
      </c>
      <c r="E30" s="63" t="s">
        <v>1730</v>
      </c>
      <c r="F30" s="63" t="s">
        <v>794</v>
      </c>
      <c r="G30" s="93">
        <v>40848</v>
      </c>
      <c r="H30" s="93">
        <v>40883</v>
      </c>
      <c r="I30" s="63" t="s">
        <v>993</v>
      </c>
    </row>
    <row r="31" spans="1:11" x14ac:dyDescent="0.25">
      <c r="A31" s="63" t="s">
        <v>1609</v>
      </c>
      <c r="B31" s="151">
        <v>40604</v>
      </c>
      <c r="C31" s="61" t="s">
        <v>297</v>
      </c>
      <c r="D31" s="111" t="s">
        <v>1610</v>
      </c>
      <c r="E31" s="63" t="s">
        <v>1351</v>
      </c>
      <c r="F31" s="63" t="s">
        <v>1552</v>
      </c>
      <c r="G31" s="93">
        <v>40848</v>
      </c>
      <c r="H31" s="93">
        <v>41262</v>
      </c>
      <c r="I31" s="63" t="s">
        <v>993</v>
      </c>
    </row>
    <row r="32" spans="1:11" x14ac:dyDescent="0.25">
      <c r="A32" s="63" t="s">
        <v>1483</v>
      </c>
      <c r="B32" s="151">
        <v>40604</v>
      </c>
      <c r="C32" s="84" t="s">
        <v>1482</v>
      </c>
      <c r="D32" s="138" t="s">
        <v>1657</v>
      </c>
      <c r="E32" s="63" t="s">
        <v>999</v>
      </c>
      <c r="F32" s="63" t="s">
        <v>794</v>
      </c>
      <c r="G32" s="93">
        <v>40848</v>
      </c>
      <c r="H32" s="93">
        <v>41262</v>
      </c>
      <c r="I32" s="63" t="s">
        <v>798</v>
      </c>
    </row>
    <row r="33" spans="1:25" x14ac:dyDescent="0.25">
      <c r="A33" s="92" t="s">
        <v>1331</v>
      </c>
      <c r="B33" s="152">
        <v>40604</v>
      </c>
      <c r="C33" s="61" t="s">
        <v>1332</v>
      </c>
      <c r="D33" s="111" t="s">
        <v>1158</v>
      </c>
      <c r="E33" s="63" t="s">
        <v>516</v>
      </c>
      <c r="F33" s="63" t="s">
        <v>441</v>
      </c>
      <c r="G33" s="93">
        <v>40848</v>
      </c>
      <c r="H33" s="93">
        <v>41302</v>
      </c>
      <c r="I33" s="63" t="s">
        <v>798</v>
      </c>
    </row>
    <row r="34" spans="1:25" x14ac:dyDescent="0.25">
      <c r="A34" s="92" t="s">
        <v>1009</v>
      </c>
      <c r="B34" s="152">
        <v>40616</v>
      </c>
      <c r="C34" s="61" t="s">
        <v>1010</v>
      </c>
      <c r="D34" s="139" t="s">
        <v>1654</v>
      </c>
      <c r="E34" s="63" t="s">
        <v>624</v>
      </c>
      <c r="F34" s="63" t="s">
        <v>1552</v>
      </c>
      <c r="G34" s="93">
        <v>40848</v>
      </c>
      <c r="H34" s="93">
        <v>40885</v>
      </c>
      <c r="I34" s="63" t="s">
        <v>993</v>
      </c>
    </row>
    <row r="35" spans="1:25" x14ac:dyDescent="0.25">
      <c r="A35" s="92" t="s">
        <v>1011</v>
      </c>
      <c r="B35" s="152">
        <v>40616</v>
      </c>
      <c r="C35" s="61" t="s">
        <v>732</v>
      </c>
      <c r="D35" s="139" t="s">
        <v>1654</v>
      </c>
      <c r="E35" s="63" t="s">
        <v>624</v>
      </c>
      <c r="F35" s="63" t="s">
        <v>1552</v>
      </c>
      <c r="G35" s="93">
        <v>40848</v>
      </c>
      <c r="H35" s="93">
        <v>40889</v>
      </c>
      <c r="I35" s="117" t="s">
        <v>993</v>
      </c>
    </row>
    <row r="36" spans="1:25" x14ac:dyDescent="0.25">
      <c r="A36" s="92" t="s">
        <v>1012</v>
      </c>
      <c r="B36" s="152">
        <v>40616</v>
      </c>
      <c r="C36" s="61" t="s">
        <v>1013</v>
      </c>
      <c r="D36" s="139" t="s">
        <v>1654</v>
      </c>
      <c r="E36" s="63" t="s">
        <v>624</v>
      </c>
      <c r="F36" s="63" t="s">
        <v>1552</v>
      </c>
      <c r="G36" s="93">
        <v>40848</v>
      </c>
      <c r="H36" s="93">
        <v>40886</v>
      </c>
      <c r="I36" s="63" t="s">
        <v>993</v>
      </c>
    </row>
    <row r="37" spans="1:25" x14ac:dyDescent="0.25">
      <c r="A37" s="92" t="s">
        <v>811</v>
      </c>
      <c r="B37" s="152">
        <v>40623</v>
      </c>
      <c r="C37" s="61" t="s">
        <v>812</v>
      </c>
      <c r="D37" s="111" t="s">
        <v>813</v>
      </c>
      <c r="E37" s="63" t="s">
        <v>814</v>
      </c>
      <c r="F37" s="63" t="s">
        <v>1552</v>
      </c>
      <c r="G37" s="93">
        <v>40654</v>
      </c>
      <c r="H37" s="93">
        <v>40765</v>
      </c>
      <c r="I37" s="63" t="s">
        <v>993</v>
      </c>
    </row>
    <row r="38" spans="1:25" x14ac:dyDescent="0.25">
      <c r="A38" s="92" t="s">
        <v>815</v>
      </c>
      <c r="B38" s="152">
        <v>40623</v>
      </c>
      <c r="C38" s="61" t="s">
        <v>816</v>
      </c>
      <c r="D38" s="111" t="s">
        <v>817</v>
      </c>
      <c r="E38" s="63" t="s">
        <v>814</v>
      </c>
      <c r="F38" s="63" t="s">
        <v>1552</v>
      </c>
      <c r="G38" s="93">
        <v>40654</v>
      </c>
      <c r="H38" s="93">
        <v>40765</v>
      </c>
      <c r="I38" s="63" t="s">
        <v>993</v>
      </c>
    </row>
    <row r="39" spans="1:25" x14ac:dyDescent="0.25">
      <c r="A39" s="92" t="s">
        <v>634</v>
      </c>
      <c r="B39" s="152">
        <v>40624</v>
      </c>
      <c r="C39" s="61" t="s">
        <v>635</v>
      </c>
      <c r="D39" s="138" t="s">
        <v>1658</v>
      </c>
      <c r="E39" s="63" t="s">
        <v>486</v>
      </c>
      <c r="F39" s="63" t="s">
        <v>1552</v>
      </c>
      <c r="G39" s="93">
        <v>40848</v>
      </c>
      <c r="H39" s="93">
        <v>41663</v>
      </c>
      <c r="I39" s="63" t="s">
        <v>993</v>
      </c>
    </row>
    <row r="40" spans="1:25" x14ac:dyDescent="0.25">
      <c r="A40" s="92" t="s">
        <v>636</v>
      </c>
      <c r="B40" s="152">
        <v>40624</v>
      </c>
      <c r="C40" s="61" t="s">
        <v>736</v>
      </c>
      <c r="D40" s="138" t="s">
        <v>2221</v>
      </c>
      <c r="E40" s="63" t="s">
        <v>486</v>
      </c>
      <c r="F40" s="63" t="s">
        <v>1552</v>
      </c>
      <c r="G40" s="93">
        <v>40848</v>
      </c>
      <c r="H40" s="93">
        <v>41103</v>
      </c>
      <c r="I40" s="63" t="s">
        <v>993</v>
      </c>
    </row>
    <row r="41" spans="1:25" x14ac:dyDescent="0.25">
      <c r="A41" s="92" t="s">
        <v>637</v>
      </c>
      <c r="B41" s="152">
        <v>40624</v>
      </c>
      <c r="C41" s="61" t="s">
        <v>638</v>
      </c>
      <c r="D41" s="138" t="s">
        <v>1657</v>
      </c>
      <c r="E41" s="63" t="s">
        <v>486</v>
      </c>
      <c r="F41" s="63" t="s">
        <v>1552</v>
      </c>
      <c r="G41" s="93">
        <v>40848</v>
      </c>
      <c r="H41" s="93">
        <v>40857</v>
      </c>
      <c r="I41" s="63" t="s">
        <v>993</v>
      </c>
    </row>
    <row r="42" spans="1:25" x14ac:dyDescent="0.25">
      <c r="A42" s="92" t="s">
        <v>434</v>
      </c>
      <c r="B42" s="152">
        <v>40625</v>
      </c>
      <c r="C42" s="61" t="s">
        <v>757</v>
      </c>
      <c r="D42" s="138" t="s">
        <v>1659</v>
      </c>
      <c r="E42" s="63" t="s">
        <v>685</v>
      </c>
      <c r="F42" s="63" t="s">
        <v>1552</v>
      </c>
      <c r="G42" s="93">
        <v>40848</v>
      </c>
      <c r="H42" s="93">
        <v>41578</v>
      </c>
      <c r="I42" s="63" t="s">
        <v>993</v>
      </c>
    </row>
    <row r="43" spans="1:25" x14ac:dyDescent="0.25">
      <c r="A43" s="92" t="s">
        <v>306</v>
      </c>
      <c r="B43" s="152">
        <v>40626</v>
      </c>
      <c r="C43" s="61" t="s">
        <v>308</v>
      </c>
      <c r="D43" s="124" t="s">
        <v>307</v>
      </c>
      <c r="E43" s="63" t="s">
        <v>794</v>
      </c>
      <c r="F43" s="63" t="s">
        <v>441</v>
      </c>
      <c r="G43" s="93">
        <v>40848</v>
      </c>
      <c r="H43" s="93">
        <v>40637</v>
      </c>
      <c r="I43" s="63" t="s">
        <v>993</v>
      </c>
    </row>
    <row r="44" spans="1:25" x14ac:dyDescent="0.25">
      <c r="A44" s="92" t="s">
        <v>158</v>
      </c>
      <c r="B44" s="152">
        <v>40626</v>
      </c>
      <c r="C44" s="61" t="s">
        <v>501</v>
      </c>
      <c r="D44" s="140" t="s">
        <v>160</v>
      </c>
      <c r="E44" s="63" t="s">
        <v>987</v>
      </c>
      <c r="F44" s="63" t="s">
        <v>1552</v>
      </c>
      <c r="G44" s="93">
        <v>40848</v>
      </c>
      <c r="H44" s="93">
        <v>40794</v>
      </c>
      <c r="I44" s="63" t="s">
        <v>993</v>
      </c>
    </row>
    <row r="45" spans="1:25" x14ac:dyDescent="0.25">
      <c r="A45" s="92" t="s">
        <v>159</v>
      </c>
      <c r="B45" s="152">
        <v>40626</v>
      </c>
      <c r="C45" s="113" t="s">
        <v>1475</v>
      </c>
      <c r="D45" s="140" t="s">
        <v>1937</v>
      </c>
      <c r="E45" s="63" t="s">
        <v>987</v>
      </c>
      <c r="F45" s="63" t="s">
        <v>1552</v>
      </c>
      <c r="G45" s="93">
        <v>40848</v>
      </c>
      <c r="H45" s="93">
        <v>40800</v>
      </c>
      <c r="I45" s="63" t="s">
        <v>993</v>
      </c>
    </row>
    <row r="46" spans="1:25" x14ac:dyDescent="0.25">
      <c r="A46" s="92" t="s">
        <v>1649</v>
      </c>
      <c r="B46" s="152">
        <v>40630</v>
      </c>
      <c r="C46" s="113" t="s">
        <v>1650</v>
      </c>
      <c r="D46" s="125" t="s">
        <v>182</v>
      </c>
      <c r="E46" s="114" t="s">
        <v>237</v>
      </c>
      <c r="F46" s="114" t="s">
        <v>794</v>
      </c>
      <c r="G46" s="135">
        <v>40848</v>
      </c>
      <c r="H46" s="93">
        <v>40864</v>
      </c>
      <c r="I46" s="63" t="s">
        <v>993</v>
      </c>
    </row>
    <row r="47" spans="1:25" x14ac:dyDescent="0.25">
      <c r="A47" s="92" t="s">
        <v>1880</v>
      </c>
      <c r="B47" s="152">
        <v>40632</v>
      </c>
      <c r="C47" s="113" t="s">
        <v>1881</v>
      </c>
      <c r="D47" s="125" t="s">
        <v>182</v>
      </c>
      <c r="E47" s="114" t="s">
        <v>237</v>
      </c>
      <c r="F47" s="114" t="s">
        <v>794</v>
      </c>
      <c r="G47" s="135">
        <v>40663</v>
      </c>
      <c r="H47" s="93">
        <v>40781</v>
      </c>
      <c r="I47" s="63" t="s">
        <v>993</v>
      </c>
    </row>
    <row r="48" spans="1:25" s="118" customFormat="1" ht="40.5" x14ac:dyDescent="0.2">
      <c r="A48" s="92" t="s">
        <v>1335</v>
      </c>
      <c r="B48" s="152">
        <v>40633</v>
      </c>
      <c r="C48" s="114" t="s">
        <v>1337</v>
      </c>
      <c r="D48" s="111" t="s">
        <v>1336</v>
      </c>
      <c r="E48" s="114" t="s">
        <v>999</v>
      </c>
      <c r="F48" s="114" t="s">
        <v>794</v>
      </c>
      <c r="G48" s="135">
        <v>40848</v>
      </c>
      <c r="H48" s="93">
        <v>40724</v>
      </c>
      <c r="I48" s="63" t="s">
        <v>993</v>
      </c>
      <c r="J48" s="134"/>
      <c r="K48" s="134"/>
      <c r="L48" s="134"/>
      <c r="M48" s="134"/>
      <c r="N48" s="134"/>
      <c r="O48" s="134"/>
      <c r="P48" s="134"/>
      <c r="Q48" s="134"/>
      <c r="R48" s="134"/>
      <c r="S48" s="134"/>
      <c r="T48" s="134"/>
      <c r="U48" s="134"/>
      <c r="V48" s="134"/>
      <c r="W48" s="134"/>
      <c r="X48" s="134"/>
      <c r="Y48" s="134"/>
    </row>
    <row r="49" spans="1:25" x14ac:dyDescent="0.25">
      <c r="A49" s="92" t="s">
        <v>954</v>
      </c>
      <c r="B49" s="152">
        <v>40646</v>
      </c>
      <c r="C49" s="61" t="s">
        <v>955</v>
      </c>
      <c r="D49" s="111" t="s">
        <v>956</v>
      </c>
      <c r="E49" s="92" t="s">
        <v>1351</v>
      </c>
      <c r="F49" s="92" t="s">
        <v>1552</v>
      </c>
      <c r="G49" s="112">
        <v>40848</v>
      </c>
      <c r="H49" s="93">
        <v>40659</v>
      </c>
      <c r="I49" s="63" t="s">
        <v>993</v>
      </c>
    </row>
    <row r="50" spans="1:25" x14ac:dyDescent="0.25">
      <c r="A50" s="63" t="s">
        <v>506</v>
      </c>
      <c r="B50" s="151">
        <v>40651</v>
      </c>
      <c r="C50" s="61" t="s">
        <v>507</v>
      </c>
      <c r="D50" s="111" t="s">
        <v>508</v>
      </c>
      <c r="E50" s="92" t="s">
        <v>999</v>
      </c>
      <c r="F50" s="92" t="s">
        <v>794</v>
      </c>
      <c r="G50" s="112">
        <v>40848</v>
      </c>
      <c r="H50" s="93">
        <v>40724</v>
      </c>
      <c r="I50" s="63" t="s">
        <v>993</v>
      </c>
    </row>
    <row r="51" spans="1:25" x14ac:dyDescent="0.25">
      <c r="A51" s="92" t="s">
        <v>335</v>
      </c>
      <c r="B51" s="152">
        <v>40652</v>
      </c>
      <c r="C51" s="64" t="s">
        <v>336</v>
      </c>
      <c r="D51" s="120" t="s">
        <v>337</v>
      </c>
      <c r="E51" s="92" t="s">
        <v>987</v>
      </c>
      <c r="F51" s="92" t="s">
        <v>1552</v>
      </c>
      <c r="G51" s="112">
        <v>40848</v>
      </c>
      <c r="H51" s="93">
        <v>40654</v>
      </c>
      <c r="I51" s="63" t="s">
        <v>993</v>
      </c>
    </row>
    <row r="52" spans="1:25" ht="70.5" customHeight="1" x14ac:dyDescent="0.25">
      <c r="A52" s="92" t="s">
        <v>1635</v>
      </c>
      <c r="B52" s="152">
        <v>40660</v>
      </c>
      <c r="C52" s="61" t="s">
        <v>437</v>
      </c>
      <c r="D52" s="111" t="s">
        <v>1634</v>
      </c>
      <c r="E52" s="92" t="s">
        <v>794</v>
      </c>
      <c r="F52" s="92" t="s">
        <v>441</v>
      </c>
      <c r="G52" s="112">
        <v>40848</v>
      </c>
      <c r="H52" s="159">
        <v>41263</v>
      </c>
      <c r="I52" s="93" t="s">
        <v>2450</v>
      </c>
    </row>
    <row r="53" spans="1:25" x14ac:dyDescent="0.25">
      <c r="A53" s="92" t="s">
        <v>1464</v>
      </c>
      <c r="B53" s="152">
        <v>40669</v>
      </c>
      <c r="C53" s="61" t="s">
        <v>1832</v>
      </c>
      <c r="D53" s="111" t="s">
        <v>2629</v>
      </c>
      <c r="E53" s="92" t="s">
        <v>1351</v>
      </c>
      <c r="F53" s="92" t="s">
        <v>1552</v>
      </c>
      <c r="G53" s="112">
        <v>40848</v>
      </c>
      <c r="H53" s="93">
        <v>40772</v>
      </c>
      <c r="I53" s="63" t="s">
        <v>798</v>
      </c>
    </row>
    <row r="54" spans="1:25" x14ac:dyDescent="0.25">
      <c r="A54" s="92" t="s">
        <v>1245</v>
      </c>
      <c r="B54" s="152">
        <v>40673</v>
      </c>
      <c r="C54" s="61" t="s">
        <v>1398</v>
      </c>
      <c r="D54" s="111" t="s">
        <v>1246</v>
      </c>
      <c r="E54" s="92" t="s">
        <v>1351</v>
      </c>
      <c r="F54" s="92" t="s">
        <v>1552</v>
      </c>
      <c r="G54" s="112">
        <v>40848</v>
      </c>
      <c r="H54" s="93">
        <v>40786</v>
      </c>
      <c r="I54" s="63" t="s">
        <v>993</v>
      </c>
    </row>
    <row r="55" spans="1:25" x14ac:dyDescent="0.25">
      <c r="A55" s="92" t="s">
        <v>1015</v>
      </c>
      <c r="B55" s="152">
        <v>40674</v>
      </c>
      <c r="C55" s="61" t="s">
        <v>1016</v>
      </c>
      <c r="D55" s="111" t="s">
        <v>1246</v>
      </c>
      <c r="E55" s="63" t="s">
        <v>1017</v>
      </c>
      <c r="F55" s="92" t="s">
        <v>1552</v>
      </c>
      <c r="G55" s="112">
        <v>40848</v>
      </c>
      <c r="H55" s="93">
        <v>40855</v>
      </c>
      <c r="I55" s="63" t="s">
        <v>993</v>
      </c>
    </row>
    <row r="56" spans="1:25" x14ac:dyDescent="0.25">
      <c r="A56" s="92" t="s">
        <v>1018</v>
      </c>
      <c r="B56" s="152">
        <v>40674</v>
      </c>
      <c r="C56" s="61" t="s">
        <v>1525</v>
      </c>
      <c r="D56" s="111" t="s">
        <v>1246</v>
      </c>
      <c r="E56" s="63" t="s">
        <v>1017</v>
      </c>
      <c r="F56" s="92" t="s">
        <v>1552</v>
      </c>
      <c r="G56" s="112">
        <v>40848</v>
      </c>
      <c r="H56" s="93">
        <v>41569</v>
      </c>
      <c r="I56" s="63" t="s">
        <v>993</v>
      </c>
    </row>
    <row r="57" spans="1:25" x14ac:dyDescent="0.25">
      <c r="A57" s="92" t="s">
        <v>733</v>
      </c>
      <c r="B57" s="152">
        <v>40676</v>
      </c>
      <c r="C57" s="61" t="s">
        <v>1489</v>
      </c>
      <c r="D57" s="111" t="s">
        <v>1246</v>
      </c>
      <c r="E57" s="92" t="s">
        <v>1351</v>
      </c>
      <c r="F57" s="92" t="s">
        <v>1552</v>
      </c>
      <c r="G57" s="112">
        <v>40848</v>
      </c>
      <c r="H57" s="93">
        <v>40864</v>
      </c>
      <c r="I57" s="63" t="s">
        <v>993</v>
      </c>
    </row>
    <row r="58" spans="1:25" x14ac:dyDescent="0.25">
      <c r="A58" s="92" t="s">
        <v>734</v>
      </c>
      <c r="B58" s="152">
        <v>40676</v>
      </c>
      <c r="C58" s="61" t="s">
        <v>735</v>
      </c>
      <c r="D58" s="111" t="s">
        <v>1833</v>
      </c>
      <c r="E58" s="92" t="s">
        <v>1351</v>
      </c>
      <c r="F58" s="92" t="s">
        <v>1552</v>
      </c>
      <c r="G58" s="112">
        <v>40848</v>
      </c>
      <c r="H58" s="93">
        <v>40794</v>
      </c>
      <c r="I58" s="63" t="s">
        <v>993</v>
      </c>
    </row>
    <row r="59" spans="1:25" x14ac:dyDescent="0.25">
      <c r="A59" s="92" t="s">
        <v>473</v>
      </c>
      <c r="B59" s="152">
        <v>40695</v>
      </c>
      <c r="C59" s="61" t="s">
        <v>1838</v>
      </c>
      <c r="D59" s="111" t="s">
        <v>474</v>
      </c>
      <c r="E59" s="92" t="s">
        <v>987</v>
      </c>
      <c r="F59" s="92" t="s">
        <v>1552</v>
      </c>
      <c r="G59" s="112">
        <v>40848</v>
      </c>
      <c r="H59" s="93" t="s">
        <v>1839</v>
      </c>
      <c r="I59" s="63" t="s">
        <v>993</v>
      </c>
    </row>
    <row r="60" spans="1:25" x14ac:dyDescent="0.25">
      <c r="A60" s="92" t="s">
        <v>86</v>
      </c>
      <c r="B60" s="152">
        <v>40700</v>
      </c>
      <c r="C60" s="61" t="s">
        <v>87</v>
      </c>
      <c r="D60" s="111" t="s">
        <v>88</v>
      </c>
      <c r="E60" s="92" t="s">
        <v>516</v>
      </c>
      <c r="F60" s="92" t="s">
        <v>794</v>
      </c>
      <c r="G60" s="112">
        <v>40848</v>
      </c>
      <c r="H60" s="93">
        <v>41198</v>
      </c>
      <c r="I60" s="63" t="s">
        <v>798</v>
      </c>
    </row>
    <row r="61" spans="1:25" ht="40.5" x14ac:dyDescent="0.25">
      <c r="A61" s="92" t="s">
        <v>1683</v>
      </c>
      <c r="B61" s="152">
        <v>40701</v>
      </c>
      <c r="C61" s="61" t="s">
        <v>1684</v>
      </c>
      <c r="D61" s="111" t="s">
        <v>2042</v>
      </c>
      <c r="E61" s="92" t="s">
        <v>987</v>
      </c>
      <c r="F61" s="92" t="s">
        <v>794</v>
      </c>
      <c r="G61" s="112">
        <v>40848</v>
      </c>
      <c r="H61" s="93">
        <v>40925</v>
      </c>
      <c r="I61" s="63" t="s">
        <v>798</v>
      </c>
    </row>
    <row r="62" spans="1:25" ht="27" x14ac:dyDescent="0.25">
      <c r="A62" s="92" t="s">
        <v>1508</v>
      </c>
      <c r="B62" s="152">
        <v>40701</v>
      </c>
      <c r="C62" s="61" t="s">
        <v>1509</v>
      </c>
      <c r="D62" s="111" t="s">
        <v>1938</v>
      </c>
      <c r="E62" s="92" t="s">
        <v>685</v>
      </c>
      <c r="F62" s="92" t="s">
        <v>1510</v>
      </c>
      <c r="G62" s="112">
        <v>40848</v>
      </c>
      <c r="H62" s="93">
        <v>40723</v>
      </c>
      <c r="I62" s="63" t="s">
        <v>993</v>
      </c>
    </row>
    <row r="63" spans="1:25" s="108" customFormat="1" x14ac:dyDescent="0.25">
      <c r="A63" s="92" t="s">
        <v>405</v>
      </c>
      <c r="B63" s="150" t="s">
        <v>403</v>
      </c>
      <c r="C63" s="61" t="s">
        <v>404</v>
      </c>
      <c r="D63" s="111" t="s">
        <v>408</v>
      </c>
      <c r="E63" s="92" t="s">
        <v>987</v>
      </c>
      <c r="F63" s="92" t="s">
        <v>794</v>
      </c>
      <c r="G63" s="112">
        <v>40848</v>
      </c>
      <c r="H63" s="93">
        <v>40743</v>
      </c>
      <c r="I63" s="63" t="s">
        <v>798</v>
      </c>
      <c r="J63" s="80"/>
      <c r="K63" s="80"/>
      <c r="L63" s="107"/>
      <c r="M63" s="107"/>
      <c r="N63" s="107"/>
      <c r="O63" s="107"/>
      <c r="P63" s="107"/>
      <c r="Q63" s="107"/>
      <c r="R63" s="107"/>
      <c r="S63" s="107"/>
      <c r="T63" s="107"/>
      <c r="U63" s="107"/>
      <c r="V63" s="107"/>
      <c r="W63" s="107"/>
      <c r="X63" s="107"/>
      <c r="Y63" s="107"/>
    </row>
    <row r="64" spans="1:25" x14ac:dyDescent="0.25">
      <c r="A64" s="92" t="s">
        <v>406</v>
      </c>
      <c r="B64" s="150" t="s">
        <v>403</v>
      </c>
      <c r="C64" s="61" t="s">
        <v>1005</v>
      </c>
      <c r="D64" s="111" t="s">
        <v>1006</v>
      </c>
      <c r="E64" s="63" t="s">
        <v>727</v>
      </c>
      <c r="F64" s="92" t="s">
        <v>794</v>
      </c>
      <c r="G64" s="112">
        <v>40848</v>
      </c>
      <c r="H64" s="112" t="s">
        <v>1139</v>
      </c>
      <c r="I64" s="63" t="s">
        <v>2275</v>
      </c>
      <c r="J64" s="80" t="s">
        <v>2776</v>
      </c>
    </row>
    <row r="65" spans="1:10" ht="27" x14ac:dyDescent="0.25">
      <c r="A65" s="92" t="s">
        <v>407</v>
      </c>
      <c r="B65" s="150" t="s">
        <v>403</v>
      </c>
      <c r="C65" s="61" t="s">
        <v>281</v>
      </c>
      <c r="D65" s="111" t="s">
        <v>217</v>
      </c>
      <c r="E65" s="92" t="s">
        <v>685</v>
      </c>
      <c r="F65" s="92" t="s">
        <v>794</v>
      </c>
      <c r="G65" s="112">
        <v>40848</v>
      </c>
      <c r="H65" s="93">
        <v>40858</v>
      </c>
      <c r="I65" s="63" t="s">
        <v>993</v>
      </c>
    </row>
    <row r="66" spans="1:10" ht="27" x14ac:dyDescent="0.25">
      <c r="A66" s="92" t="s">
        <v>409</v>
      </c>
      <c r="B66" s="150" t="s">
        <v>410</v>
      </c>
      <c r="C66" s="64" t="s">
        <v>411</v>
      </c>
      <c r="D66" s="111" t="s">
        <v>412</v>
      </c>
      <c r="E66" s="92" t="s">
        <v>685</v>
      </c>
      <c r="F66" s="92" t="s">
        <v>794</v>
      </c>
      <c r="G66" s="112">
        <v>40776</v>
      </c>
      <c r="H66" s="93">
        <v>40757</v>
      </c>
      <c r="I66" s="63" t="s">
        <v>993</v>
      </c>
    </row>
    <row r="67" spans="1:10" ht="27" x14ac:dyDescent="0.25">
      <c r="A67" s="92" t="s">
        <v>413</v>
      </c>
      <c r="B67" s="150" t="s">
        <v>414</v>
      </c>
      <c r="C67" s="64" t="s">
        <v>415</v>
      </c>
      <c r="D67" s="111" t="s">
        <v>416</v>
      </c>
      <c r="E67" s="92" t="s">
        <v>421</v>
      </c>
      <c r="F67" s="92" t="s">
        <v>441</v>
      </c>
      <c r="G67" s="112">
        <v>40848</v>
      </c>
      <c r="H67" s="93">
        <v>41676</v>
      </c>
      <c r="I67" s="63" t="s">
        <v>993</v>
      </c>
    </row>
    <row r="68" spans="1:10" ht="27" x14ac:dyDescent="0.25">
      <c r="A68" s="92" t="s">
        <v>417</v>
      </c>
      <c r="B68" s="150" t="s">
        <v>418</v>
      </c>
      <c r="C68" s="64" t="s">
        <v>419</v>
      </c>
      <c r="D68" s="111" t="s">
        <v>420</v>
      </c>
      <c r="E68" s="92" t="s">
        <v>516</v>
      </c>
      <c r="F68" s="92" t="s">
        <v>441</v>
      </c>
      <c r="G68" s="112">
        <v>40777</v>
      </c>
      <c r="H68" s="93">
        <v>40765</v>
      </c>
      <c r="I68" s="63" t="s">
        <v>993</v>
      </c>
    </row>
    <row r="69" spans="1:10" x14ac:dyDescent="0.25">
      <c r="A69" s="92" t="s">
        <v>207</v>
      </c>
      <c r="B69" s="150" t="s">
        <v>208</v>
      </c>
      <c r="C69" s="61" t="s">
        <v>209</v>
      </c>
      <c r="D69" s="111" t="s">
        <v>210</v>
      </c>
      <c r="E69" s="92" t="s">
        <v>516</v>
      </c>
      <c r="F69" s="92" t="s">
        <v>794</v>
      </c>
      <c r="G69" s="112">
        <v>40848</v>
      </c>
      <c r="H69" s="93">
        <v>41486</v>
      </c>
      <c r="I69" s="63" t="s">
        <v>993</v>
      </c>
    </row>
    <row r="70" spans="1:10" ht="27" x14ac:dyDescent="0.25">
      <c r="A70" s="92" t="s">
        <v>211</v>
      </c>
      <c r="B70" s="150" t="s">
        <v>208</v>
      </c>
      <c r="C70" s="61" t="s">
        <v>212</v>
      </c>
      <c r="D70" s="111" t="s">
        <v>213</v>
      </c>
      <c r="E70" s="92" t="s">
        <v>516</v>
      </c>
      <c r="F70" s="92" t="s">
        <v>794</v>
      </c>
      <c r="G70" s="112">
        <v>40848</v>
      </c>
      <c r="H70" s="93">
        <v>40778</v>
      </c>
      <c r="I70" s="63" t="s">
        <v>993</v>
      </c>
    </row>
    <row r="71" spans="1:10" x14ac:dyDescent="0.25">
      <c r="A71" s="92" t="s">
        <v>1843</v>
      </c>
      <c r="B71" s="150" t="s">
        <v>208</v>
      </c>
      <c r="C71" s="61" t="s">
        <v>1716</v>
      </c>
      <c r="D71" s="111" t="s">
        <v>214</v>
      </c>
      <c r="E71" s="92" t="s">
        <v>516</v>
      </c>
      <c r="F71" s="92" t="s">
        <v>794</v>
      </c>
      <c r="G71" s="112">
        <v>40848</v>
      </c>
      <c r="H71" s="93">
        <v>41753</v>
      </c>
      <c r="I71" s="63" t="s">
        <v>993</v>
      </c>
    </row>
    <row r="72" spans="1:10" ht="27" x14ac:dyDescent="0.25">
      <c r="A72" s="92" t="s">
        <v>215</v>
      </c>
      <c r="B72" s="150" t="s">
        <v>208</v>
      </c>
      <c r="C72" s="115" t="s">
        <v>488</v>
      </c>
      <c r="D72" s="111" t="s">
        <v>216</v>
      </c>
      <c r="E72" s="92" t="s">
        <v>624</v>
      </c>
      <c r="F72" s="92" t="s">
        <v>794</v>
      </c>
      <c r="G72" s="112">
        <v>40848</v>
      </c>
      <c r="H72" s="93">
        <v>41498</v>
      </c>
      <c r="I72" s="63" t="s">
        <v>2677</v>
      </c>
      <c r="J72" s="80" t="s">
        <v>2676</v>
      </c>
    </row>
    <row r="73" spans="1:10" x14ac:dyDescent="0.25">
      <c r="A73" s="92" t="s">
        <v>218</v>
      </c>
      <c r="B73" s="150" t="s">
        <v>208</v>
      </c>
      <c r="C73" s="61" t="s">
        <v>219</v>
      </c>
      <c r="D73" s="111" t="s">
        <v>220</v>
      </c>
      <c r="E73" s="92" t="s">
        <v>516</v>
      </c>
      <c r="F73" s="92" t="s">
        <v>794</v>
      </c>
      <c r="G73" s="112">
        <v>40848</v>
      </c>
      <c r="H73" s="276"/>
      <c r="I73" s="143"/>
    </row>
    <row r="74" spans="1:10" x14ac:dyDescent="0.25">
      <c r="A74" s="92" t="s">
        <v>221</v>
      </c>
      <c r="B74" s="150" t="s">
        <v>222</v>
      </c>
      <c r="C74" s="61" t="s">
        <v>1784</v>
      </c>
      <c r="D74" s="124" t="s">
        <v>224</v>
      </c>
      <c r="E74" s="92" t="s">
        <v>794</v>
      </c>
      <c r="F74" s="92" t="s">
        <v>441</v>
      </c>
      <c r="G74" s="112">
        <v>40752</v>
      </c>
      <c r="H74" s="93">
        <v>40783</v>
      </c>
      <c r="I74" s="63" t="s">
        <v>993</v>
      </c>
    </row>
    <row r="75" spans="1:10" ht="27" x14ac:dyDescent="0.25">
      <c r="A75" s="92" t="s">
        <v>225</v>
      </c>
      <c r="B75" s="150" t="s">
        <v>226</v>
      </c>
      <c r="C75" s="61" t="s">
        <v>227</v>
      </c>
      <c r="D75" s="126" t="s">
        <v>228</v>
      </c>
      <c r="E75" s="92" t="s">
        <v>987</v>
      </c>
      <c r="F75" s="92" t="s">
        <v>229</v>
      </c>
      <c r="G75" s="112">
        <v>40760</v>
      </c>
      <c r="H75" s="93">
        <v>40778</v>
      </c>
      <c r="I75" s="63" t="s">
        <v>993</v>
      </c>
    </row>
    <row r="76" spans="1:10" x14ac:dyDescent="0.25">
      <c r="A76" s="92" t="s">
        <v>1783</v>
      </c>
      <c r="B76" s="150" t="s">
        <v>1785</v>
      </c>
      <c r="C76" s="61" t="s">
        <v>1784</v>
      </c>
      <c r="D76" s="124" t="s">
        <v>1786</v>
      </c>
      <c r="E76" s="92" t="s">
        <v>794</v>
      </c>
      <c r="F76" s="92" t="s">
        <v>441</v>
      </c>
      <c r="G76" s="112">
        <v>40760</v>
      </c>
      <c r="H76" s="93">
        <v>40758</v>
      </c>
      <c r="I76" s="63" t="s">
        <v>993</v>
      </c>
    </row>
    <row r="77" spans="1:10" x14ac:dyDescent="0.25">
      <c r="A77" s="92" t="s">
        <v>1787</v>
      </c>
      <c r="B77" s="150" t="s">
        <v>1789</v>
      </c>
      <c r="C77" s="61" t="s">
        <v>1788</v>
      </c>
      <c r="D77" s="124" t="s">
        <v>1786</v>
      </c>
      <c r="E77" s="92" t="s">
        <v>794</v>
      </c>
      <c r="F77" s="92" t="s">
        <v>441</v>
      </c>
      <c r="G77" s="112">
        <v>40767</v>
      </c>
      <c r="H77" s="93">
        <v>40767</v>
      </c>
      <c r="I77" s="63" t="s">
        <v>993</v>
      </c>
    </row>
    <row r="78" spans="1:10" x14ac:dyDescent="0.25">
      <c r="A78" s="92" t="s">
        <v>1792</v>
      </c>
      <c r="B78" s="150" t="s">
        <v>1790</v>
      </c>
      <c r="C78" s="61" t="s">
        <v>1791</v>
      </c>
      <c r="D78" s="111" t="s">
        <v>182</v>
      </c>
      <c r="E78" s="92" t="s">
        <v>727</v>
      </c>
      <c r="F78" s="92" t="s">
        <v>794</v>
      </c>
      <c r="G78" s="112">
        <v>40848</v>
      </c>
      <c r="H78" s="93">
        <v>40833</v>
      </c>
      <c r="I78" s="63" t="s">
        <v>993</v>
      </c>
    </row>
    <row r="79" spans="1:10" x14ac:dyDescent="0.25">
      <c r="A79" s="92" t="s">
        <v>1793</v>
      </c>
      <c r="B79" s="150" t="s">
        <v>1790</v>
      </c>
      <c r="C79" s="61" t="s">
        <v>617</v>
      </c>
      <c r="D79" s="111" t="s">
        <v>182</v>
      </c>
      <c r="E79" s="92" t="s">
        <v>727</v>
      </c>
      <c r="F79" s="92" t="s">
        <v>794</v>
      </c>
      <c r="G79" s="112">
        <v>40848</v>
      </c>
      <c r="H79" s="93">
        <v>40833</v>
      </c>
      <c r="I79" s="63" t="s">
        <v>993</v>
      </c>
    </row>
    <row r="80" spans="1:10" x14ac:dyDescent="0.25">
      <c r="A80" s="92" t="s">
        <v>1794</v>
      </c>
      <c r="B80" s="150" t="s">
        <v>1790</v>
      </c>
      <c r="C80" s="61" t="s">
        <v>1154</v>
      </c>
      <c r="D80" s="111" t="s">
        <v>182</v>
      </c>
      <c r="E80" s="92" t="s">
        <v>486</v>
      </c>
      <c r="F80" s="92" t="s">
        <v>794</v>
      </c>
      <c r="G80" s="112">
        <v>40848</v>
      </c>
      <c r="H80" s="93">
        <v>41297</v>
      </c>
      <c r="I80" s="63" t="s">
        <v>993</v>
      </c>
    </row>
    <row r="81" spans="1:9" x14ac:dyDescent="0.25">
      <c r="A81" s="92" t="s">
        <v>1795</v>
      </c>
      <c r="B81" s="150" t="s">
        <v>1790</v>
      </c>
      <c r="C81" s="61" t="s">
        <v>1796</v>
      </c>
      <c r="D81" s="111" t="s">
        <v>182</v>
      </c>
      <c r="E81" s="92" t="s">
        <v>486</v>
      </c>
      <c r="F81" s="92" t="s">
        <v>794</v>
      </c>
      <c r="G81" s="112">
        <v>40848</v>
      </c>
      <c r="H81" s="93">
        <v>40864</v>
      </c>
      <c r="I81" s="63" t="s">
        <v>993</v>
      </c>
    </row>
    <row r="82" spans="1:9" x14ac:dyDescent="0.25">
      <c r="A82" s="92" t="s">
        <v>1797</v>
      </c>
      <c r="B82" s="150" t="s">
        <v>1790</v>
      </c>
      <c r="C82" s="61" t="s">
        <v>908</v>
      </c>
      <c r="D82" s="111" t="s">
        <v>1798</v>
      </c>
      <c r="E82" s="92" t="s">
        <v>486</v>
      </c>
      <c r="F82" s="92" t="s">
        <v>794</v>
      </c>
      <c r="G82" s="112">
        <v>40848</v>
      </c>
      <c r="H82" s="93">
        <v>41725</v>
      </c>
      <c r="I82" s="63" t="s">
        <v>993</v>
      </c>
    </row>
    <row r="83" spans="1:9" x14ac:dyDescent="0.25">
      <c r="A83" s="92" t="s">
        <v>1799</v>
      </c>
      <c r="B83" s="150" t="s">
        <v>1790</v>
      </c>
      <c r="C83" s="64" t="s">
        <v>1800</v>
      </c>
      <c r="D83" s="120" t="s">
        <v>1801</v>
      </c>
      <c r="E83" s="92" t="s">
        <v>685</v>
      </c>
      <c r="F83" s="92" t="s">
        <v>794</v>
      </c>
      <c r="G83" s="112">
        <v>40848</v>
      </c>
      <c r="H83" s="93">
        <v>41221</v>
      </c>
      <c r="I83" s="63" t="s">
        <v>1056</v>
      </c>
    </row>
    <row r="84" spans="1:9" x14ac:dyDescent="0.25">
      <c r="A84" s="92" t="s">
        <v>1802</v>
      </c>
      <c r="B84" s="150" t="s">
        <v>1790</v>
      </c>
      <c r="C84" s="64" t="s">
        <v>1803</v>
      </c>
      <c r="D84" s="120" t="s">
        <v>182</v>
      </c>
      <c r="E84" s="92" t="s">
        <v>685</v>
      </c>
      <c r="F84" s="92" t="s">
        <v>794</v>
      </c>
      <c r="G84" s="112">
        <v>40848</v>
      </c>
      <c r="H84" s="93">
        <v>41667</v>
      </c>
      <c r="I84" s="63" t="s">
        <v>993</v>
      </c>
    </row>
    <row r="85" spans="1:9" x14ac:dyDescent="0.25">
      <c r="A85" s="92" t="s">
        <v>1804</v>
      </c>
      <c r="B85" s="150" t="s">
        <v>1790</v>
      </c>
      <c r="C85" s="64" t="s">
        <v>1805</v>
      </c>
      <c r="D85" s="120" t="s">
        <v>182</v>
      </c>
      <c r="E85" s="92" t="s">
        <v>685</v>
      </c>
      <c r="F85" s="92" t="s">
        <v>156</v>
      </c>
      <c r="G85" s="112">
        <v>40848</v>
      </c>
      <c r="H85" s="93">
        <v>41221</v>
      </c>
      <c r="I85" s="63" t="s">
        <v>1056</v>
      </c>
    </row>
    <row r="86" spans="1:9" x14ac:dyDescent="0.25">
      <c r="A86" s="92" t="s">
        <v>1806</v>
      </c>
      <c r="B86" s="150" t="s">
        <v>1790</v>
      </c>
      <c r="C86" s="64" t="s">
        <v>1807</v>
      </c>
      <c r="D86" s="120" t="s">
        <v>182</v>
      </c>
      <c r="E86" s="92" t="s">
        <v>794</v>
      </c>
      <c r="F86" s="92" t="s">
        <v>441</v>
      </c>
      <c r="G86" s="112">
        <v>40848</v>
      </c>
      <c r="H86" s="93">
        <v>40788</v>
      </c>
      <c r="I86" s="63" t="s">
        <v>993</v>
      </c>
    </row>
    <row r="87" spans="1:9" x14ac:dyDescent="0.25">
      <c r="A87" s="92" t="s">
        <v>1808</v>
      </c>
      <c r="B87" s="150" t="s">
        <v>1809</v>
      </c>
      <c r="C87" s="64" t="s">
        <v>451</v>
      </c>
      <c r="D87" s="120" t="s">
        <v>1798</v>
      </c>
      <c r="E87" s="92" t="s">
        <v>1810</v>
      </c>
      <c r="F87" s="92" t="s">
        <v>794</v>
      </c>
      <c r="G87" s="112">
        <v>40848</v>
      </c>
      <c r="H87" s="93">
        <v>41240</v>
      </c>
      <c r="I87" s="63" t="s">
        <v>993</v>
      </c>
    </row>
    <row r="88" spans="1:9" x14ac:dyDescent="0.25">
      <c r="A88" s="92" t="s">
        <v>1811</v>
      </c>
      <c r="B88" s="150" t="s">
        <v>1809</v>
      </c>
      <c r="C88" s="64" t="s">
        <v>614</v>
      </c>
      <c r="D88" s="120" t="s">
        <v>182</v>
      </c>
      <c r="E88" s="92" t="s">
        <v>1810</v>
      </c>
      <c r="F88" s="92" t="s">
        <v>794</v>
      </c>
      <c r="G88" s="112">
        <v>40848</v>
      </c>
      <c r="H88" s="93">
        <v>41233</v>
      </c>
      <c r="I88" s="63" t="s">
        <v>993</v>
      </c>
    </row>
    <row r="89" spans="1:9" x14ac:dyDescent="0.25">
      <c r="A89" s="92" t="s">
        <v>1812</v>
      </c>
      <c r="B89" s="150" t="s">
        <v>1809</v>
      </c>
      <c r="C89" s="64" t="s">
        <v>1813</v>
      </c>
      <c r="D89" s="120" t="s">
        <v>220</v>
      </c>
      <c r="E89" s="92" t="s">
        <v>1810</v>
      </c>
      <c r="F89" s="92" t="s">
        <v>794</v>
      </c>
      <c r="G89" s="112">
        <v>40848</v>
      </c>
      <c r="H89" s="93">
        <v>41242</v>
      </c>
      <c r="I89" s="63" t="s">
        <v>993</v>
      </c>
    </row>
    <row r="90" spans="1:9" x14ac:dyDescent="0.25">
      <c r="A90" s="92" t="s">
        <v>1814</v>
      </c>
      <c r="B90" s="150" t="s">
        <v>1809</v>
      </c>
      <c r="C90" s="64" t="s">
        <v>1815</v>
      </c>
      <c r="D90" s="120" t="s">
        <v>220</v>
      </c>
      <c r="E90" s="92" t="s">
        <v>1810</v>
      </c>
      <c r="F90" s="92" t="s">
        <v>794</v>
      </c>
      <c r="G90" s="112">
        <v>40848</v>
      </c>
      <c r="H90" s="93">
        <v>41233</v>
      </c>
      <c r="I90" s="63" t="s">
        <v>993</v>
      </c>
    </row>
    <row r="91" spans="1:9" x14ac:dyDescent="0.25">
      <c r="A91" s="92" t="s">
        <v>1816</v>
      </c>
      <c r="B91" s="150" t="s">
        <v>1809</v>
      </c>
      <c r="C91" s="64" t="s">
        <v>1817</v>
      </c>
      <c r="D91" s="120" t="s">
        <v>220</v>
      </c>
      <c r="E91" s="92" t="s">
        <v>1818</v>
      </c>
      <c r="F91" s="92" t="s">
        <v>794</v>
      </c>
      <c r="G91" s="112">
        <v>40848</v>
      </c>
      <c r="H91" s="93">
        <v>41513</v>
      </c>
      <c r="I91" s="63" t="s">
        <v>798</v>
      </c>
    </row>
    <row r="92" spans="1:9" x14ac:dyDescent="0.25">
      <c r="A92" s="92" t="s">
        <v>1819</v>
      </c>
      <c r="B92" s="150" t="s">
        <v>1809</v>
      </c>
      <c r="C92" s="64" t="s">
        <v>1560</v>
      </c>
      <c r="D92" s="120" t="s">
        <v>182</v>
      </c>
      <c r="E92" s="92" t="s">
        <v>727</v>
      </c>
      <c r="F92" s="92" t="s">
        <v>794</v>
      </c>
      <c r="G92" s="112">
        <v>40848</v>
      </c>
      <c r="H92" s="93">
        <v>41231</v>
      </c>
      <c r="I92" s="63" t="s">
        <v>993</v>
      </c>
    </row>
    <row r="93" spans="1:9" x14ac:dyDescent="0.25">
      <c r="A93" s="92" t="s">
        <v>1820</v>
      </c>
      <c r="B93" s="150" t="s">
        <v>1809</v>
      </c>
      <c r="C93" s="64" t="s">
        <v>1821</v>
      </c>
      <c r="D93" s="120" t="s">
        <v>182</v>
      </c>
      <c r="E93" s="92" t="s">
        <v>727</v>
      </c>
      <c r="F93" s="92" t="s">
        <v>794</v>
      </c>
      <c r="G93" s="112">
        <v>40848</v>
      </c>
      <c r="H93" s="112">
        <v>40857</v>
      </c>
      <c r="I93" s="63" t="s">
        <v>993</v>
      </c>
    </row>
    <row r="94" spans="1:9" x14ac:dyDescent="0.25">
      <c r="A94" s="92" t="s">
        <v>1822</v>
      </c>
      <c r="B94" s="150" t="s">
        <v>1809</v>
      </c>
      <c r="C94" s="64" t="s">
        <v>1823</v>
      </c>
      <c r="D94" s="120" t="s">
        <v>182</v>
      </c>
      <c r="E94" s="92" t="s">
        <v>727</v>
      </c>
      <c r="F94" s="92" t="s">
        <v>794</v>
      </c>
      <c r="G94" s="112">
        <v>40848</v>
      </c>
      <c r="H94" s="93">
        <v>40864</v>
      </c>
      <c r="I94" s="63" t="s">
        <v>993</v>
      </c>
    </row>
    <row r="95" spans="1:9" x14ac:dyDescent="0.25">
      <c r="A95" s="92" t="s">
        <v>1825</v>
      </c>
      <c r="B95" s="150" t="s">
        <v>1809</v>
      </c>
      <c r="C95" s="64" t="s">
        <v>1824</v>
      </c>
      <c r="D95" s="120" t="s">
        <v>182</v>
      </c>
      <c r="E95" s="92" t="s">
        <v>999</v>
      </c>
      <c r="F95" s="92" t="s">
        <v>794</v>
      </c>
      <c r="G95" s="112">
        <v>40848</v>
      </c>
      <c r="H95" s="93">
        <v>42132</v>
      </c>
      <c r="I95" s="63" t="s">
        <v>993</v>
      </c>
    </row>
    <row r="96" spans="1:9" x14ac:dyDescent="0.25">
      <c r="A96" s="92" t="s">
        <v>1826</v>
      </c>
      <c r="B96" s="150" t="s">
        <v>1809</v>
      </c>
      <c r="C96" s="64" t="s">
        <v>1573</v>
      </c>
      <c r="D96" s="120" t="s">
        <v>182</v>
      </c>
      <c r="E96" s="92" t="s">
        <v>999</v>
      </c>
      <c r="F96" s="92" t="s">
        <v>794</v>
      </c>
      <c r="G96" s="112">
        <v>40848</v>
      </c>
      <c r="H96" s="93">
        <v>40857</v>
      </c>
      <c r="I96" s="63" t="s">
        <v>993</v>
      </c>
    </row>
    <row r="97" spans="1:9" x14ac:dyDescent="0.25">
      <c r="A97" s="92" t="s">
        <v>1827</v>
      </c>
      <c r="B97" s="150" t="s">
        <v>1809</v>
      </c>
      <c r="C97" s="64" t="s">
        <v>1521</v>
      </c>
      <c r="D97" s="120" t="s">
        <v>220</v>
      </c>
      <c r="E97" s="92" t="s">
        <v>999</v>
      </c>
      <c r="F97" s="92" t="s">
        <v>794</v>
      </c>
      <c r="G97" s="112">
        <v>40848</v>
      </c>
      <c r="H97" s="93">
        <v>41262</v>
      </c>
      <c r="I97" s="63" t="s">
        <v>993</v>
      </c>
    </row>
    <row r="98" spans="1:9" ht="13.5" customHeight="1" x14ac:dyDescent="0.25">
      <c r="A98" s="92" t="s">
        <v>1828</v>
      </c>
      <c r="B98" s="150" t="s">
        <v>1809</v>
      </c>
      <c r="C98" s="64" t="s">
        <v>1523</v>
      </c>
      <c r="D98" s="120" t="s">
        <v>220</v>
      </c>
      <c r="E98" s="92" t="s">
        <v>999</v>
      </c>
      <c r="F98" s="92" t="s">
        <v>794</v>
      </c>
      <c r="G98" s="112">
        <v>40848</v>
      </c>
      <c r="H98" s="93">
        <v>41262</v>
      </c>
      <c r="I98" s="63" t="s">
        <v>993</v>
      </c>
    </row>
    <row r="99" spans="1:9" x14ac:dyDescent="0.25">
      <c r="A99" s="92" t="s">
        <v>1834</v>
      </c>
      <c r="B99" s="150" t="s">
        <v>1837</v>
      </c>
      <c r="C99" s="64" t="s">
        <v>1835</v>
      </c>
      <c r="D99" s="120" t="s">
        <v>1836</v>
      </c>
      <c r="E99" s="92" t="s">
        <v>987</v>
      </c>
      <c r="F99" s="92" t="s">
        <v>229</v>
      </c>
      <c r="G99" s="112">
        <v>40781</v>
      </c>
      <c r="H99" s="93">
        <v>40778</v>
      </c>
      <c r="I99" s="63" t="s">
        <v>993</v>
      </c>
    </row>
    <row r="100" spans="1:9" x14ac:dyDescent="0.25">
      <c r="A100" s="92" t="s">
        <v>1840</v>
      </c>
      <c r="B100" s="150" t="s">
        <v>1841</v>
      </c>
      <c r="C100" s="64" t="s">
        <v>1842</v>
      </c>
      <c r="D100" s="120" t="s">
        <v>1670</v>
      </c>
      <c r="E100" s="92" t="s">
        <v>987</v>
      </c>
      <c r="F100" s="92" t="s">
        <v>794</v>
      </c>
      <c r="G100" s="112">
        <v>40787</v>
      </c>
      <c r="H100" s="93">
        <v>40779</v>
      </c>
      <c r="I100" s="63" t="s">
        <v>993</v>
      </c>
    </row>
    <row r="101" spans="1:9" x14ac:dyDescent="0.25">
      <c r="A101" s="92" t="s">
        <v>1844</v>
      </c>
      <c r="B101" s="150" t="s">
        <v>1841</v>
      </c>
      <c r="C101" s="64" t="s">
        <v>1845</v>
      </c>
      <c r="D101" s="120" t="s">
        <v>182</v>
      </c>
      <c r="E101" s="92" t="s">
        <v>516</v>
      </c>
      <c r="F101" s="92" t="s">
        <v>794</v>
      </c>
      <c r="G101" s="112">
        <v>40848</v>
      </c>
      <c r="H101" s="211">
        <v>41515</v>
      </c>
      <c r="I101" s="233" t="s">
        <v>993</v>
      </c>
    </row>
    <row r="102" spans="1:9" x14ac:dyDescent="0.25">
      <c r="A102" s="92" t="s">
        <v>1847</v>
      </c>
      <c r="B102" s="150" t="s">
        <v>1841</v>
      </c>
      <c r="C102" s="64" t="s">
        <v>1846</v>
      </c>
      <c r="D102" s="120" t="s">
        <v>220</v>
      </c>
      <c r="E102" s="92" t="s">
        <v>516</v>
      </c>
      <c r="F102" s="92" t="s">
        <v>794</v>
      </c>
      <c r="G102" s="112">
        <v>40848</v>
      </c>
      <c r="H102" s="112">
        <v>41186</v>
      </c>
      <c r="I102" s="92" t="s">
        <v>993</v>
      </c>
    </row>
    <row r="103" spans="1:9" x14ac:dyDescent="0.25">
      <c r="A103" s="116" t="s">
        <v>1848</v>
      </c>
      <c r="B103" s="111" t="s">
        <v>1841</v>
      </c>
      <c r="C103" s="116" t="s">
        <v>1125</v>
      </c>
      <c r="D103" s="111" t="s">
        <v>220</v>
      </c>
      <c r="E103" s="63" t="s">
        <v>516</v>
      </c>
      <c r="F103" s="63" t="s">
        <v>794</v>
      </c>
      <c r="G103" s="93">
        <v>40848</v>
      </c>
      <c r="H103" s="93">
        <v>41344</v>
      </c>
      <c r="I103" s="63" t="s">
        <v>993</v>
      </c>
    </row>
    <row r="104" spans="1:9" x14ac:dyDescent="0.25">
      <c r="A104" s="92" t="s">
        <v>1849</v>
      </c>
      <c r="B104" s="150" t="s">
        <v>1841</v>
      </c>
      <c r="C104" s="64" t="s">
        <v>1127</v>
      </c>
      <c r="D104" s="120" t="s">
        <v>1798</v>
      </c>
      <c r="E104" s="63" t="s">
        <v>516</v>
      </c>
      <c r="F104" s="63" t="s">
        <v>794</v>
      </c>
      <c r="G104" s="93">
        <v>40848</v>
      </c>
      <c r="H104" s="93">
        <v>41344</v>
      </c>
      <c r="I104" s="63" t="s">
        <v>993</v>
      </c>
    </row>
    <row r="105" spans="1:9" x14ac:dyDescent="0.25">
      <c r="A105" s="92" t="s">
        <v>1850</v>
      </c>
      <c r="B105" s="150" t="s">
        <v>1841</v>
      </c>
      <c r="C105" s="64" t="s">
        <v>1150</v>
      </c>
      <c r="D105" s="120" t="s">
        <v>182</v>
      </c>
      <c r="E105" s="92" t="s">
        <v>516</v>
      </c>
      <c r="F105" s="92" t="s">
        <v>794</v>
      </c>
      <c r="G105" s="112">
        <v>40848</v>
      </c>
      <c r="H105" s="93">
        <v>41264</v>
      </c>
      <c r="I105" s="63" t="s">
        <v>993</v>
      </c>
    </row>
    <row r="106" spans="1:9" x14ac:dyDescent="0.25">
      <c r="A106" s="92" t="s">
        <v>1852</v>
      </c>
      <c r="B106" s="150" t="s">
        <v>1841</v>
      </c>
      <c r="C106" s="64" t="s">
        <v>1148</v>
      </c>
      <c r="D106" s="120" t="s">
        <v>182</v>
      </c>
      <c r="E106" s="92" t="s">
        <v>516</v>
      </c>
      <c r="F106" s="92" t="s">
        <v>794</v>
      </c>
      <c r="G106" s="112">
        <v>40848</v>
      </c>
      <c r="H106" s="93">
        <v>41264</v>
      </c>
      <c r="I106" s="63" t="s">
        <v>993</v>
      </c>
    </row>
    <row r="107" spans="1:9" ht="27" x14ac:dyDescent="0.25">
      <c r="A107" s="145" t="s">
        <v>1853</v>
      </c>
      <c r="B107" s="153" t="s">
        <v>1841</v>
      </c>
      <c r="C107" s="146" t="s">
        <v>485</v>
      </c>
      <c r="D107" s="120" t="s">
        <v>1919</v>
      </c>
      <c r="E107" s="92" t="s">
        <v>486</v>
      </c>
      <c r="F107" s="92" t="s">
        <v>794</v>
      </c>
      <c r="G107" s="112">
        <v>40848</v>
      </c>
      <c r="H107" s="93">
        <v>41229</v>
      </c>
      <c r="I107" s="63" t="s">
        <v>2359</v>
      </c>
    </row>
    <row r="108" spans="1:9" x14ac:dyDescent="0.25">
      <c r="A108" s="92" t="s">
        <v>1854</v>
      </c>
      <c r="B108" s="150" t="s">
        <v>1841</v>
      </c>
      <c r="C108" s="64" t="s">
        <v>2091</v>
      </c>
      <c r="D108" s="120" t="s">
        <v>2092</v>
      </c>
      <c r="E108" s="92" t="s">
        <v>999</v>
      </c>
      <c r="F108" s="92" t="s">
        <v>794</v>
      </c>
      <c r="G108" s="112">
        <v>40848</v>
      </c>
      <c r="H108" s="93">
        <v>40980</v>
      </c>
      <c r="I108" s="63" t="s">
        <v>993</v>
      </c>
    </row>
    <row r="109" spans="1:9" x14ac:dyDescent="0.25">
      <c r="A109" s="92" t="s">
        <v>1855</v>
      </c>
      <c r="B109" s="150" t="s">
        <v>1841</v>
      </c>
      <c r="C109" s="64" t="s">
        <v>1856</v>
      </c>
      <c r="D109" s="120" t="s">
        <v>220</v>
      </c>
      <c r="E109" s="92" t="s">
        <v>999</v>
      </c>
      <c r="F109" s="92" t="s">
        <v>794</v>
      </c>
      <c r="G109" s="112">
        <v>40848</v>
      </c>
      <c r="H109" s="93">
        <v>41270</v>
      </c>
      <c r="I109" s="63" t="s">
        <v>993</v>
      </c>
    </row>
    <row r="110" spans="1:9" x14ac:dyDescent="0.25">
      <c r="A110" s="92" t="s">
        <v>1857</v>
      </c>
      <c r="B110" s="150" t="s">
        <v>1841</v>
      </c>
      <c r="C110" s="64" t="s">
        <v>1858</v>
      </c>
      <c r="D110" s="120" t="s">
        <v>220</v>
      </c>
      <c r="E110" s="92" t="s">
        <v>999</v>
      </c>
      <c r="F110" s="92" t="s">
        <v>794</v>
      </c>
      <c r="G110" s="112">
        <v>40848</v>
      </c>
      <c r="H110" s="93">
        <v>41351</v>
      </c>
      <c r="I110" s="63" t="s">
        <v>993</v>
      </c>
    </row>
    <row r="111" spans="1:9" x14ac:dyDescent="0.25">
      <c r="A111" s="92" t="s">
        <v>1860</v>
      </c>
      <c r="B111" s="150" t="s">
        <v>1861</v>
      </c>
      <c r="C111" s="61" t="s">
        <v>1862</v>
      </c>
      <c r="D111" s="111" t="s">
        <v>1935</v>
      </c>
      <c r="E111" s="92" t="s">
        <v>987</v>
      </c>
      <c r="F111" s="92" t="s">
        <v>229</v>
      </c>
      <c r="G111" s="112">
        <v>40786</v>
      </c>
      <c r="H111" s="93">
        <v>40809</v>
      </c>
      <c r="I111" s="63" t="s">
        <v>993</v>
      </c>
    </row>
    <row r="112" spans="1:9" ht="12.75" customHeight="1" x14ac:dyDescent="0.25">
      <c r="A112" s="92" t="s">
        <v>1863</v>
      </c>
      <c r="B112" s="150" t="s">
        <v>1864</v>
      </c>
      <c r="C112" s="64" t="s">
        <v>1290</v>
      </c>
      <c r="D112" s="120" t="s">
        <v>220</v>
      </c>
      <c r="E112" s="92" t="s">
        <v>1865</v>
      </c>
      <c r="F112" s="92" t="s">
        <v>794</v>
      </c>
      <c r="G112" s="112">
        <v>40848</v>
      </c>
      <c r="H112" s="93" t="s">
        <v>1139</v>
      </c>
      <c r="I112" s="63" t="s">
        <v>2518</v>
      </c>
    </row>
    <row r="113" spans="1:9" x14ac:dyDescent="0.25">
      <c r="A113" s="92" t="s">
        <v>1866</v>
      </c>
      <c r="B113" s="150" t="s">
        <v>1841</v>
      </c>
      <c r="C113" s="64" t="s">
        <v>884</v>
      </c>
      <c r="D113" s="120" t="s">
        <v>182</v>
      </c>
      <c r="E113" s="92" t="s">
        <v>1865</v>
      </c>
      <c r="F113" s="92" t="s">
        <v>794</v>
      </c>
      <c r="G113" s="112">
        <v>40848</v>
      </c>
      <c r="H113" s="93">
        <v>41254</v>
      </c>
      <c r="I113" s="63" t="s">
        <v>798</v>
      </c>
    </row>
    <row r="114" spans="1:9" x14ac:dyDescent="0.25">
      <c r="A114" s="92" t="s">
        <v>1867</v>
      </c>
      <c r="B114" s="150" t="s">
        <v>1841</v>
      </c>
      <c r="C114" s="64" t="s">
        <v>514</v>
      </c>
      <c r="D114" s="120" t="s">
        <v>1801</v>
      </c>
      <c r="E114" s="92" t="s">
        <v>999</v>
      </c>
      <c r="F114" s="92" t="s">
        <v>794</v>
      </c>
      <c r="G114" s="112">
        <v>40848</v>
      </c>
      <c r="H114" s="93" t="s">
        <v>1139</v>
      </c>
      <c r="I114" s="63" t="s">
        <v>2458</v>
      </c>
    </row>
    <row r="115" spans="1:9" x14ac:dyDescent="0.25">
      <c r="A115" s="92" t="s">
        <v>1868</v>
      </c>
      <c r="B115" s="150" t="s">
        <v>1841</v>
      </c>
      <c r="C115" s="64" t="s">
        <v>1869</v>
      </c>
      <c r="D115" s="120" t="s">
        <v>182</v>
      </c>
      <c r="E115" s="92" t="s">
        <v>987</v>
      </c>
      <c r="F115" s="92" t="s">
        <v>794</v>
      </c>
      <c r="G115" s="112">
        <v>40848</v>
      </c>
      <c r="H115" s="93">
        <v>40809</v>
      </c>
      <c r="I115" s="63" t="s">
        <v>993</v>
      </c>
    </row>
    <row r="116" spans="1:9" x14ac:dyDescent="0.25">
      <c r="A116" s="92" t="s">
        <v>1870</v>
      </c>
      <c r="B116" s="150" t="s">
        <v>1841</v>
      </c>
      <c r="C116" s="64" t="s">
        <v>1871</v>
      </c>
      <c r="D116" s="120" t="s">
        <v>220</v>
      </c>
      <c r="E116" s="92" t="s">
        <v>987</v>
      </c>
      <c r="F116" s="92" t="s">
        <v>794</v>
      </c>
      <c r="G116" s="112">
        <v>40848</v>
      </c>
      <c r="H116" s="93" t="s">
        <v>1998</v>
      </c>
      <c r="I116" s="63" t="s">
        <v>993</v>
      </c>
    </row>
    <row r="117" spans="1:9" x14ac:dyDescent="0.25">
      <c r="A117" s="92" t="s">
        <v>1872</v>
      </c>
      <c r="B117" s="150" t="s">
        <v>1875</v>
      </c>
      <c r="C117" s="64" t="s">
        <v>1873</v>
      </c>
      <c r="D117" s="120" t="s">
        <v>1874</v>
      </c>
      <c r="E117" s="92" t="s">
        <v>516</v>
      </c>
      <c r="F117" s="92" t="s">
        <v>441</v>
      </c>
      <c r="G117" s="112">
        <v>40878</v>
      </c>
      <c r="H117" s="336" t="s">
        <v>1139</v>
      </c>
      <c r="I117" s="336" t="s">
        <v>993</v>
      </c>
    </row>
    <row r="118" spans="1:9" x14ac:dyDescent="0.25">
      <c r="A118" s="92" t="s">
        <v>1876</v>
      </c>
      <c r="B118" s="150" t="s">
        <v>1877</v>
      </c>
      <c r="C118" s="64" t="s">
        <v>1878</v>
      </c>
      <c r="D118" s="120" t="s">
        <v>1879</v>
      </c>
      <c r="E118" s="92" t="s">
        <v>794</v>
      </c>
      <c r="F118" s="92" t="s">
        <v>794</v>
      </c>
      <c r="G118" s="112">
        <v>40784</v>
      </c>
      <c r="H118" s="93">
        <v>40786</v>
      </c>
      <c r="I118" s="63" t="s">
        <v>993</v>
      </c>
    </row>
    <row r="119" spans="1:9" x14ac:dyDescent="0.25">
      <c r="A119" s="92" t="s">
        <v>1882</v>
      </c>
      <c r="B119" s="150" t="s">
        <v>1877</v>
      </c>
      <c r="C119" s="64" t="s">
        <v>784</v>
      </c>
      <c r="D119" s="120" t="s">
        <v>1798</v>
      </c>
      <c r="E119" s="92" t="s">
        <v>987</v>
      </c>
      <c r="F119" s="92" t="s">
        <v>794</v>
      </c>
      <c r="G119" s="112">
        <v>40848</v>
      </c>
      <c r="H119" s="93">
        <v>40864</v>
      </c>
      <c r="I119" s="63" t="s">
        <v>798</v>
      </c>
    </row>
    <row r="120" spans="1:9" x14ac:dyDescent="0.25">
      <c r="A120" s="92" t="s">
        <v>1883</v>
      </c>
      <c r="B120" s="150" t="s">
        <v>1877</v>
      </c>
      <c r="C120" s="133" t="s">
        <v>1358</v>
      </c>
      <c r="D120" s="120" t="s">
        <v>182</v>
      </c>
      <c r="E120" s="92" t="s">
        <v>987</v>
      </c>
      <c r="F120" s="92" t="s">
        <v>794</v>
      </c>
      <c r="G120" s="112">
        <v>40848</v>
      </c>
      <c r="H120" s="93">
        <v>40864</v>
      </c>
      <c r="I120" s="63" t="s">
        <v>798</v>
      </c>
    </row>
    <row r="121" spans="1:9" x14ac:dyDescent="0.25">
      <c r="A121" s="92" t="s">
        <v>1884</v>
      </c>
      <c r="B121" s="150" t="s">
        <v>1877</v>
      </c>
      <c r="C121" s="64" t="s">
        <v>1416</v>
      </c>
      <c r="D121" s="120" t="s">
        <v>182</v>
      </c>
      <c r="E121" s="92" t="s">
        <v>987</v>
      </c>
      <c r="F121" s="92" t="s">
        <v>794</v>
      </c>
      <c r="G121" s="112">
        <v>40848</v>
      </c>
      <c r="H121" s="93">
        <v>40855</v>
      </c>
      <c r="I121" s="63" t="s">
        <v>993</v>
      </c>
    </row>
    <row r="122" spans="1:9" x14ac:dyDescent="0.25">
      <c r="A122" s="92" t="s">
        <v>1885</v>
      </c>
      <c r="B122" s="150" t="s">
        <v>1877</v>
      </c>
      <c r="C122" s="64" t="s">
        <v>1886</v>
      </c>
      <c r="D122" s="120" t="s">
        <v>220</v>
      </c>
      <c r="E122" s="92" t="s">
        <v>987</v>
      </c>
      <c r="F122" s="92" t="s">
        <v>794</v>
      </c>
      <c r="G122" s="112">
        <v>40848</v>
      </c>
      <c r="H122" s="93">
        <v>40952</v>
      </c>
      <c r="I122" s="63" t="s">
        <v>993</v>
      </c>
    </row>
    <row r="123" spans="1:9" x14ac:dyDescent="0.25">
      <c r="A123" s="92" t="s">
        <v>1887</v>
      </c>
      <c r="B123" s="150" t="s">
        <v>1877</v>
      </c>
      <c r="C123" s="64" t="s">
        <v>1491</v>
      </c>
      <c r="D123" s="120" t="s">
        <v>1798</v>
      </c>
      <c r="E123" s="92" t="s">
        <v>987</v>
      </c>
      <c r="F123" s="92" t="s">
        <v>794</v>
      </c>
      <c r="G123" s="112">
        <v>40848</v>
      </c>
      <c r="H123" s="93">
        <v>40864</v>
      </c>
      <c r="I123" s="63" t="s">
        <v>798</v>
      </c>
    </row>
    <row r="124" spans="1:9" x14ac:dyDescent="0.25">
      <c r="A124" s="92" t="s">
        <v>1889</v>
      </c>
      <c r="B124" s="150" t="s">
        <v>1877</v>
      </c>
      <c r="C124" s="64" t="s">
        <v>1890</v>
      </c>
      <c r="D124" s="120" t="s">
        <v>220</v>
      </c>
      <c r="E124" s="92" t="s">
        <v>987</v>
      </c>
      <c r="F124" s="92" t="s">
        <v>794</v>
      </c>
      <c r="G124" s="112">
        <v>40848</v>
      </c>
      <c r="H124" s="93">
        <v>40864</v>
      </c>
      <c r="I124" s="63" t="s">
        <v>798</v>
      </c>
    </row>
    <row r="125" spans="1:9" x14ac:dyDescent="0.25">
      <c r="A125" s="92" t="s">
        <v>1892</v>
      </c>
      <c r="B125" s="150" t="s">
        <v>1877</v>
      </c>
      <c r="C125" s="64" t="s">
        <v>1704</v>
      </c>
      <c r="D125" s="120" t="s">
        <v>1798</v>
      </c>
      <c r="E125" s="92" t="s">
        <v>987</v>
      </c>
      <c r="F125" s="92" t="s">
        <v>794</v>
      </c>
      <c r="G125" s="112">
        <v>40848</v>
      </c>
      <c r="H125" s="93">
        <v>40864</v>
      </c>
      <c r="I125" s="63" t="s">
        <v>798</v>
      </c>
    </row>
    <row r="126" spans="1:9" x14ac:dyDescent="0.25">
      <c r="A126" s="92" t="s">
        <v>1893</v>
      </c>
      <c r="B126" s="150" t="s">
        <v>1894</v>
      </c>
      <c r="C126" s="64" t="s">
        <v>1895</v>
      </c>
      <c r="D126" s="120" t="s">
        <v>182</v>
      </c>
      <c r="E126" s="92" t="s">
        <v>987</v>
      </c>
      <c r="F126" s="92" t="s">
        <v>794</v>
      </c>
      <c r="G126" s="112">
        <v>40848</v>
      </c>
      <c r="H126" s="93">
        <v>40879</v>
      </c>
      <c r="I126" s="63" t="s">
        <v>993</v>
      </c>
    </row>
    <row r="127" spans="1:9" x14ac:dyDescent="0.25">
      <c r="A127" s="92" t="s">
        <v>1896</v>
      </c>
      <c r="B127" s="150" t="s">
        <v>1894</v>
      </c>
      <c r="C127" s="64" t="s">
        <v>1897</v>
      </c>
      <c r="D127" s="120" t="s">
        <v>182</v>
      </c>
      <c r="E127" s="92" t="s">
        <v>987</v>
      </c>
      <c r="F127" s="92" t="s">
        <v>794</v>
      </c>
      <c r="G127" s="112">
        <v>40848</v>
      </c>
      <c r="H127" s="93">
        <v>41254</v>
      </c>
      <c r="I127" s="63" t="s">
        <v>798</v>
      </c>
    </row>
    <row r="128" spans="1:9" x14ac:dyDescent="0.25">
      <c r="A128" s="92" t="s">
        <v>1898</v>
      </c>
      <c r="B128" s="150" t="s">
        <v>1899</v>
      </c>
      <c r="C128" s="64" t="s">
        <v>818</v>
      </c>
      <c r="D128" s="120" t="s">
        <v>1670</v>
      </c>
      <c r="E128" s="92" t="s">
        <v>987</v>
      </c>
      <c r="F128" s="92" t="s">
        <v>794</v>
      </c>
      <c r="G128" s="112">
        <v>40848</v>
      </c>
      <c r="H128" s="93">
        <v>40788</v>
      </c>
      <c r="I128" s="63" t="s">
        <v>993</v>
      </c>
    </row>
    <row r="129" spans="1:25" ht="27" x14ac:dyDescent="0.25">
      <c r="A129" s="92" t="s">
        <v>1900</v>
      </c>
      <c r="B129" s="150" t="s">
        <v>1894</v>
      </c>
      <c r="C129" s="64" t="s">
        <v>1353</v>
      </c>
      <c r="D129" s="120" t="s">
        <v>2951</v>
      </c>
      <c r="E129" s="92" t="s">
        <v>987</v>
      </c>
      <c r="F129" s="92" t="s">
        <v>794</v>
      </c>
      <c r="G129" s="112" t="s">
        <v>1901</v>
      </c>
      <c r="H129" s="93">
        <v>41743</v>
      </c>
      <c r="I129" s="63" t="s">
        <v>993</v>
      </c>
    </row>
    <row r="130" spans="1:25" ht="27" x14ac:dyDescent="0.25">
      <c r="A130" s="92" t="s">
        <v>1902</v>
      </c>
      <c r="B130" s="150" t="s">
        <v>1894</v>
      </c>
      <c r="C130" s="64" t="s">
        <v>1903</v>
      </c>
      <c r="D130" s="120" t="s">
        <v>220</v>
      </c>
      <c r="E130" s="92" t="s">
        <v>987</v>
      </c>
      <c r="F130" s="92" t="s">
        <v>794</v>
      </c>
      <c r="G130" s="112">
        <v>40848</v>
      </c>
      <c r="H130" s="63" t="s">
        <v>2088</v>
      </c>
      <c r="I130" s="63" t="s">
        <v>2675</v>
      </c>
    </row>
    <row r="131" spans="1:25" x14ac:dyDescent="0.25">
      <c r="A131" s="92" t="s">
        <v>1904</v>
      </c>
      <c r="B131" s="150" t="s">
        <v>1894</v>
      </c>
      <c r="C131" s="64" t="s">
        <v>1364</v>
      </c>
      <c r="D131" s="120" t="s">
        <v>220</v>
      </c>
      <c r="E131" s="92" t="s">
        <v>987</v>
      </c>
      <c r="F131" s="92" t="s">
        <v>794</v>
      </c>
      <c r="G131" s="112">
        <v>40848</v>
      </c>
      <c r="H131" s="93">
        <v>41655</v>
      </c>
      <c r="I131" s="63" t="s">
        <v>993</v>
      </c>
    </row>
    <row r="132" spans="1:25" x14ac:dyDescent="0.25">
      <c r="A132" s="92" t="s">
        <v>1905</v>
      </c>
      <c r="B132" s="150" t="s">
        <v>1894</v>
      </c>
      <c r="C132" s="64" t="s">
        <v>1906</v>
      </c>
      <c r="D132" s="120" t="s">
        <v>182</v>
      </c>
      <c r="E132" s="92" t="s">
        <v>987</v>
      </c>
      <c r="F132" s="92" t="s">
        <v>794</v>
      </c>
      <c r="G132" s="112">
        <v>40848</v>
      </c>
      <c r="H132" s="93">
        <v>41590</v>
      </c>
      <c r="I132" s="63" t="s">
        <v>993</v>
      </c>
    </row>
    <row r="133" spans="1:25" x14ac:dyDescent="0.25">
      <c r="A133" s="63" t="s">
        <v>1907</v>
      </c>
      <c r="B133" s="111" t="s">
        <v>1894</v>
      </c>
      <c r="C133" s="63" t="s">
        <v>856</v>
      </c>
      <c r="D133" s="111" t="s">
        <v>182</v>
      </c>
      <c r="E133" s="63" t="s">
        <v>987</v>
      </c>
      <c r="F133" s="63" t="s">
        <v>794</v>
      </c>
      <c r="G133" s="93">
        <v>40848</v>
      </c>
      <c r="H133" s="92" t="s">
        <v>2088</v>
      </c>
      <c r="I133" s="92" t="s">
        <v>4397</v>
      </c>
    </row>
    <row r="134" spans="1:25" x14ac:dyDescent="0.25">
      <c r="A134" s="92" t="s">
        <v>1908</v>
      </c>
      <c r="B134" s="150" t="s">
        <v>1894</v>
      </c>
      <c r="C134" s="64" t="s">
        <v>1212</v>
      </c>
      <c r="D134" s="120" t="s">
        <v>182</v>
      </c>
      <c r="E134" s="92" t="s">
        <v>987</v>
      </c>
      <c r="F134" s="92" t="s">
        <v>794</v>
      </c>
      <c r="G134" s="112">
        <v>40848</v>
      </c>
      <c r="H134" s="112">
        <v>42348</v>
      </c>
      <c r="I134" s="92" t="s">
        <v>798</v>
      </c>
    </row>
    <row r="135" spans="1:25" x14ac:dyDescent="0.25">
      <c r="A135" s="92" t="s">
        <v>1910</v>
      </c>
      <c r="B135" s="150" t="s">
        <v>1894</v>
      </c>
      <c r="C135" s="64" t="s">
        <v>1911</v>
      </c>
      <c r="D135" s="120" t="s">
        <v>2414</v>
      </c>
      <c r="E135" s="92" t="s">
        <v>987</v>
      </c>
      <c r="F135" s="92" t="s">
        <v>794</v>
      </c>
      <c r="G135" s="112">
        <v>40848</v>
      </c>
      <c r="H135" s="93">
        <v>41514</v>
      </c>
      <c r="I135" s="63" t="s">
        <v>993</v>
      </c>
    </row>
    <row r="136" spans="1:25" x14ac:dyDescent="0.25">
      <c r="A136" s="92" t="s">
        <v>1914</v>
      </c>
      <c r="B136" s="150" t="s">
        <v>1915</v>
      </c>
      <c r="C136" s="64" t="s">
        <v>1916</v>
      </c>
      <c r="D136" s="120" t="s">
        <v>182</v>
      </c>
      <c r="E136" s="92" t="s">
        <v>987</v>
      </c>
      <c r="F136" s="92" t="s">
        <v>794</v>
      </c>
      <c r="G136" s="112">
        <v>40848</v>
      </c>
      <c r="H136" s="93">
        <v>41585</v>
      </c>
      <c r="I136" s="63" t="s">
        <v>993</v>
      </c>
    </row>
    <row r="137" spans="1:25" x14ac:dyDescent="0.25">
      <c r="A137" s="92" t="s">
        <v>1917</v>
      </c>
      <c r="B137" s="150" t="s">
        <v>1894</v>
      </c>
      <c r="C137" s="64" t="s">
        <v>1442</v>
      </c>
      <c r="D137" s="120" t="s">
        <v>182</v>
      </c>
      <c r="E137" s="92" t="s">
        <v>987</v>
      </c>
      <c r="F137" s="92" t="s">
        <v>794</v>
      </c>
      <c r="G137" s="112">
        <v>40848</v>
      </c>
      <c r="H137" s="93">
        <v>41589</v>
      </c>
      <c r="I137" s="63" t="s">
        <v>993</v>
      </c>
    </row>
    <row r="138" spans="1:25" x14ac:dyDescent="0.25">
      <c r="A138" s="92" t="s">
        <v>1918</v>
      </c>
      <c r="B138" s="150" t="s">
        <v>1894</v>
      </c>
      <c r="C138" s="64" t="s">
        <v>888</v>
      </c>
      <c r="D138" s="120" t="s">
        <v>182</v>
      </c>
      <c r="E138" s="92" t="s">
        <v>987</v>
      </c>
      <c r="F138" s="92" t="s">
        <v>794</v>
      </c>
      <c r="G138" s="112">
        <v>40848</v>
      </c>
      <c r="H138" s="93">
        <v>41585</v>
      </c>
      <c r="I138" s="63" t="s">
        <v>993</v>
      </c>
    </row>
    <row r="139" spans="1:25" x14ac:dyDescent="0.25">
      <c r="A139" s="92" t="s">
        <v>1920</v>
      </c>
      <c r="B139" s="150" t="s">
        <v>1894</v>
      </c>
      <c r="C139" s="64" t="s">
        <v>1921</v>
      </c>
      <c r="D139" s="120" t="s">
        <v>220</v>
      </c>
      <c r="E139" s="92" t="s">
        <v>81</v>
      </c>
      <c r="F139" s="92" t="s">
        <v>794</v>
      </c>
      <c r="G139" s="112">
        <v>40848</v>
      </c>
      <c r="H139" s="93">
        <v>40917</v>
      </c>
      <c r="I139" s="63" t="s">
        <v>993</v>
      </c>
    </row>
    <row r="140" spans="1:25" s="155" customFormat="1" ht="27" x14ac:dyDescent="0.2">
      <c r="A140" s="92" t="s">
        <v>1922</v>
      </c>
      <c r="B140" s="150" t="s">
        <v>1923</v>
      </c>
      <c r="C140" s="64" t="s">
        <v>1924</v>
      </c>
      <c r="D140" s="120" t="s">
        <v>1925</v>
      </c>
      <c r="E140" s="92" t="s">
        <v>486</v>
      </c>
      <c r="F140" s="92" t="s">
        <v>794</v>
      </c>
      <c r="G140" s="112">
        <v>40848</v>
      </c>
      <c r="H140" s="93">
        <v>41353</v>
      </c>
      <c r="I140" s="63" t="s">
        <v>993</v>
      </c>
      <c r="J140" s="134"/>
      <c r="K140" s="134"/>
      <c r="L140" s="154"/>
      <c r="M140" s="154"/>
      <c r="N140" s="154"/>
      <c r="O140" s="154"/>
      <c r="P140" s="154"/>
      <c r="Q140" s="154"/>
      <c r="R140" s="154"/>
      <c r="S140" s="154"/>
      <c r="T140" s="154"/>
      <c r="U140" s="154"/>
      <c r="V140" s="154"/>
      <c r="W140" s="154"/>
      <c r="X140" s="154"/>
      <c r="Y140" s="154"/>
    </row>
    <row r="141" spans="1:25" s="81" customFormat="1" ht="27" x14ac:dyDescent="0.25">
      <c r="A141" s="92" t="s">
        <v>1926</v>
      </c>
      <c r="B141" s="150" t="s">
        <v>1927</v>
      </c>
      <c r="C141" s="64" t="s">
        <v>2023</v>
      </c>
      <c r="D141" s="120" t="s">
        <v>2024</v>
      </c>
      <c r="E141" s="92" t="s">
        <v>987</v>
      </c>
      <c r="F141" s="92" t="s">
        <v>794</v>
      </c>
      <c r="G141" s="112">
        <v>40848</v>
      </c>
      <c r="H141" s="112">
        <v>41150</v>
      </c>
      <c r="I141" s="92" t="s">
        <v>993</v>
      </c>
      <c r="J141" s="80"/>
      <c r="K141" s="80"/>
    </row>
    <row r="142" spans="1:25" ht="27" x14ac:dyDescent="0.25">
      <c r="A142" s="92" t="s">
        <v>1928</v>
      </c>
      <c r="B142" s="150" t="s">
        <v>1927</v>
      </c>
      <c r="C142" s="64" t="s">
        <v>1929</v>
      </c>
      <c r="D142" s="120" t="s">
        <v>182</v>
      </c>
      <c r="E142" s="92" t="s">
        <v>987</v>
      </c>
      <c r="F142" s="92" t="s">
        <v>794</v>
      </c>
      <c r="G142" s="112">
        <v>40848</v>
      </c>
      <c r="H142" s="63" t="s">
        <v>2088</v>
      </c>
      <c r="I142" s="63" t="s">
        <v>2675</v>
      </c>
    </row>
    <row r="143" spans="1:25" x14ac:dyDescent="0.25">
      <c r="A143" s="92" t="s">
        <v>1930</v>
      </c>
      <c r="B143" s="150" t="s">
        <v>1927</v>
      </c>
      <c r="C143" s="64" t="s">
        <v>1931</v>
      </c>
      <c r="D143" s="120" t="s">
        <v>1670</v>
      </c>
      <c r="E143" s="92" t="s">
        <v>987</v>
      </c>
      <c r="F143" s="92" t="s">
        <v>794</v>
      </c>
      <c r="G143" s="112">
        <v>40848</v>
      </c>
      <c r="H143" s="93">
        <v>40788</v>
      </c>
      <c r="I143" s="63" t="s">
        <v>993</v>
      </c>
    </row>
    <row r="144" spans="1:25" ht="27" x14ac:dyDescent="0.25">
      <c r="A144" s="92" t="s">
        <v>1932</v>
      </c>
      <c r="B144" s="150" t="s">
        <v>1927</v>
      </c>
      <c r="C144" s="64" t="s">
        <v>1933</v>
      </c>
      <c r="D144" s="120" t="s">
        <v>1798</v>
      </c>
      <c r="E144" s="92" t="s">
        <v>1461</v>
      </c>
      <c r="F144" s="92" t="s">
        <v>794</v>
      </c>
      <c r="G144" s="112">
        <v>40848</v>
      </c>
      <c r="H144" s="63" t="s">
        <v>2088</v>
      </c>
      <c r="I144" s="63" t="s">
        <v>2377</v>
      </c>
    </row>
    <row r="145" spans="1:9" ht="54" x14ac:dyDescent="0.25">
      <c r="A145" s="92" t="s">
        <v>1939</v>
      </c>
      <c r="B145" s="150" t="s">
        <v>1940</v>
      </c>
      <c r="C145" s="64" t="s">
        <v>1941</v>
      </c>
      <c r="D145" s="120" t="s">
        <v>2390</v>
      </c>
      <c r="E145" s="92" t="s">
        <v>794</v>
      </c>
      <c r="F145" s="92" t="s">
        <v>441</v>
      </c>
      <c r="G145" s="112">
        <v>40848</v>
      </c>
      <c r="H145" s="93">
        <v>41743</v>
      </c>
      <c r="I145" s="63" t="s">
        <v>993</v>
      </c>
    </row>
    <row r="146" spans="1:9" ht="27" x14ac:dyDescent="0.25">
      <c r="A146" s="92" t="s">
        <v>1942</v>
      </c>
      <c r="B146" s="150" t="s">
        <v>1943</v>
      </c>
      <c r="C146" s="64" t="s">
        <v>1944</v>
      </c>
      <c r="D146" s="120" t="s">
        <v>2012</v>
      </c>
      <c r="E146" s="92" t="s">
        <v>794</v>
      </c>
      <c r="F146" s="92" t="s">
        <v>685</v>
      </c>
      <c r="G146" s="112">
        <v>40848</v>
      </c>
      <c r="H146" s="93">
        <v>40865</v>
      </c>
      <c r="I146" s="63" t="s">
        <v>993</v>
      </c>
    </row>
    <row r="147" spans="1:9" ht="27" x14ac:dyDescent="0.25">
      <c r="A147" s="92" t="s">
        <v>1945</v>
      </c>
      <c r="B147" s="150" t="s">
        <v>1946</v>
      </c>
      <c r="C147" s="64" t="s">
        <v>1948</v>
      </c>
      <c r="D147" s="120" t="s">
        <v>1947</v>
      </c>
      <c r="E147" s="92" t="s">
        <v>987</v>
      </c>
      <c r="F147" s="92" t="s">
        <v>229</v>
      </c>
      <c r="G147" s="112">
        <v>40848</v>
      </c>
      <c r="H147" s="93">
        <v>40833</v>
      </c>
      <c r="I147" s="63" t="s">
        <v>798</v>
      </c>
    </row>
    <row r="148" spans="1:9" ht="40.5" x14ac:dyDescent="0.25">
      <c r="A148" s="92" t="s">
        <v>1949</v>
      </c>
      <c r="B148" s="150" t="s">
        <v>1950</v>
      </c>
      <c r="C148" s="64" t="s">
        <v>514</v>
      </c>
      <c r="D148" s="120" t="s">
        <v>1951</v>
      </c>
      <c r="E148" s="92" t="s">
        <v>794</v>
      </c>
      <c r="F148" s="92" t="s">
        <v>794</v>
      </c>
      <c r="G148" s="112">
        <v>40848</v>
      </c>
      <c r="H148" s="93">
        <v>41284</v>
      </c>
      <c r="I148" s="63" t="s">
        <v>798</v>
      </c>
    </row>
    <row r="149" spans="1:9" x14ac:dyDescent="0.25">
      <c r="A149" s="92" t="s">
        <v>1952</v>
      </c>
      <c r="B149" s="150" t="s">
        <v>1955</v>
      </c>
      <c r="C149" s="64" t="s">
        <v>1953</v>
      </c>
      <c r="D149" s="120" t="s">
        <v>1954</v>
      </c>
      <c r="E149" s="92" t="s">
        <v>987</v>
      </c>
      <c r="F149" s="92" t="s">
        <v>229</v>
      </c>
      <c r="G149" s="112">
        <v>40830</v>
      </c>
      <c r="H149" s="93">
        <v>40827</v>
      </c>
      <c r="I149" s="63" t="s">
        <v>993</v>
      </c>
    </row>
    <row r="150" spans="1:9" ht="54" x14ac:dyDescent="0.25">
      <c r="A150" s="92" t="s">
        <v>1956</v>
      </c>
      <c r="B150" s="150" t="s">
        <v>1957</v>
      </c>
      <c r="C150" s="64" t="s">
        <v>793</v>
      </c>
      <c r="D150" s="120" t="s">
        <v>1958</v>
      </c>
      <c r="E150" s="92" t="s">
        <v>794</v>
      </c>
      <c r="F150" s="92" t="s">
        <v>794</v>
      </c>
      <c r="G150" s="112">
        <v>40870</v>
      </c>
      <c r="H150" s="93">
        <v>41304</v>
      </c>
      <c r="I150" s="63" t="s">
        <v>993</v>
      </c>
    </row>
    <row r="151" spans="1:9" ht="55.35" customHeight="1" x14ac:dyDescent="0.25">
      <c r="A151" s="92" t="s">
        <v>1959</v>
      </c>
      <c r="B151" s="150" t="s">
        <v>1960</v>
      </c>
      <c r="C151" s="64" t="s">
        <v>1961</v>
      </c>
      <c r="D151" s="120" t="s">
        <v>1962</v>
      </c>
      <c r="E151" s="92" t="s">
        <v>987</v>
      </c>
      <c r="F151" s="92" t="s">
        <v>229</v>
      </c>
      <c r="G151" s="112">
        <v>40847</v>
      </c>
      <c r="H151" s="93">
        <v>40884</v>
      </c>
      <c r="I151" s="63" t="s">
        <v>2010</v>
      </c>
    </row>
    <row r="152" spans="1:9" ht="54" x14ac:dyDescent="0.25">
      <c r="A152" s="92" t="s">
        <v>1963</v>
      </c>
      <c r="B152" s="150" t="s">
        <v>1964</v>
      </c>
      <c r="C152" s="64" t="s">
        <v>1222</v>
      </c>
      <c r="D152" s="111" t="s">
        <v>2499</v>
      </c>
      <c r="E152" s="92" t="s">
        <v>516</v>
      </c>
      <c r="F152" s="92" t="s">
        <v>794</v>
      </c>
      <c r="G152" s="112">
        <v>40860</v>
      </c>
      <c r="H152" s="93">
        <v>41339</v>
      </c>
      <c r="I152" s="63" t="s">
        <v>993</v>
      </c>
    </row>
    <row r="153" spans="1:9" ht="19.5" customHeight="1" x14ac:dyDescent="0.25">
      <c r="A153" s="92" t="s">
        <v>1965</v>
      </c>
      <c r="B153" s="150" t="s">
        <v>1964</v>
      </c>
      <c r="C153" s="64" t="s">
        <v>1966</v>
      </c>
      <c r="D153" s="120" t="s">
        <v>220</v>
      </c>
      <c r="E153" s="92" t="s">
        <v>516</v>
      </c>
      <c r="F153" s="92" t="s">
        <v>794</v>
      </c>
      <c r="G153" s="112">
        <v>40848</v>
      </c>
      <c r="H153" s="93">
        <v>41297</v>
      </c>
      <c r="I153" s="63" t="s">
        <v>798</v>
      </c>
    </row>
    <row r="154" spans="1:9" x14ac:dyDescent="0.25">
      <c r="A154" s="92" t="s">
        <v>1967</v>
      </c>
      <c r="B154" s="150" t="s">
        <v>1968</v>
      </c>
      <c r="C154" s="64" t="s">
        <v>1969</v>
      </c>
      <c r="D154" s="120" t="s">
        <v>1970</v>
      </c>
      <c r="E154" s="92" t="s">
        <v>987</v>
      </c>
      <c r="F154" s="92" t="s">
        <v>229</v>
      </c>
      <c r="G154" s="112">
        <v>40848</v>
      </c>
      <c r="H154" s="93">
        <v>40830</v>
      </c>
      <c r="I154" s="63" t="s">
        <v>798</v>
      </c>
    </row>
    <row r="155" spans="1:9" ht="27" customHeight="1" x14ac:dyDescent="0.25">
      <c r="A155" s="92" t="s">
        <v>1971</v>
      </c>
      <c r="B155" s="150" t="s">
        <v>1974</v>
      </c>
      <c r="C155" s="64" t="s">
        <v>1972</v>
      </c>
      <c r="D155" s="120" t="s">
        <v>1973</v>
      </c>
      <c r="E155" s="92" t="s">
        <v>987</v>
      </c>
      <c r="F155" s="92" t="s">
        <v>229</v>
      </c>
      <c r="G155" s="112">
        <v>40848</v>
      </c>
      <c r="H155" s="93">
        <v>40837</v>
      </c>
      <c r="I155" s="63" t="s">
        <v>993</v>
      </c>
    </row>
    <row r="156" spans="1:9" ht="45" customHeight="1" x14ac:dyDescent="0.25">
      <c r="A156" s="92" t="s">
        <v>1975</v>
      </c>
      <c r="B156" s="150" t="s">
        <v>1976</v>
      </c>
      <c r="C156" s="64" t="s">
        <v>1977</v>
      </c>
      <c r="D156" s="120" t="s">
        <v>1978</v>
      </c>
      <c r="E156" s="92" t="s">
        <v>987</v>
      </c>
      <c r="F156" s="92" t="s">
        <v>229</v>
      </c>
      <c r="G156" s="112">
        <v>40848</v>
      </c>
      <c r="H156" s="93">
        <v>40885</v>
      </c>
      <c r="I156" s="63" t="s">
        <v>2011</v>
      </c>
    </row>
    <row r="157" spans="1:9" ht="27" x14ac:dyDescent="0.25">
      <c r="A157" s="92" t="s">
        <v>1979</v>
      </c>
      <c r="B157" s="150" t="s">
        <v>1980</v>
      </c>
      <c r="C157" s="64" t="s">
        <v>1993</v>
      </c>
      <c r="D157" s="120" t="s">
        <v>1996</v>
      </c>
      <c r="E157" s="92" t="s">
        <v>685</v>
      </c>
      <c r="F157" s="92" t="s">
        <v>1510</v>
      </c>
      <c r="G157" s="112">
        <v>40884</v>
      </c>
      <c r="H157" s="93">
        <v>40851</v>
      </c>
      <c r="I157" s="63" t="s">
        <v>993</v>
      </c>
    </row>
    <row r="158" spans="1:9" ht="27" x14ac:dyDescent="0.25">
      <c r="A158" s="92" t="s">
        <v>1981</v>
      </c>
      <c r="B158" s="150" t="s">
        <v>1982</v>
      </c>
      <c r="C158" s="64" t="s">
        <v>2026</v>
      </c>
      <c r="D158" s="120" t="s">
        <v>1983</v>
      </c>
      <c r="E158" s="92" t="s">
        <v>481</v>
      </c>
      <c r="F158" s="92" t="s">
        <v>794</v>
      </c>
      <c r="G158" s="112">
        <v>40884</v>
      </c>
      <c r="H158" s="93">
        <v>40914</v>
      </c>
      <c r="I158" s="63" t="s">
        <v>993</v>
      </c>
    </row>
    <row r="159" spans="1:9" ht="27" x14ac:dyDescent="0.25">
      <c r="A159" s="92" t="s">
        <v>1984</v>
      </c>
      <c r="B159" s="150" t="s">
        <v>1982</v>
      </c>
      <c r="C159" s="64" t="s">
        <v>1985</v>
      </c>
      <c r="D159" s="120" t="s">
        <v>1986</v>
      </c>
      <c r="E159" s="92" t="s">
        <v>516</v>
      </c>
      <c r="F159" s="92" t="s">
        <v>794</v>
      </c>
      <c r="G159" s="112">
        <v>40884</v>
      </c>
      <c r="H159" s="93">
        <v>41176</v>
      </c>
      <c r="I159" s="63" t="s">
        <v>993</v>
      </c>
    </row>
    <row r="160" spans="1:9" x14ac:dyDescent="0.25">
      <c r="A160" s="92" t="s">
        <v>1987</v>
      </c>
      <c r="B160" s="150" t="s">
        <v>1982</v>
      </c>
      <c r="C160" s="64" t="s">
        <v>1988</v>
      </c>
      <c r="D160" s="120" t="s">
        <v>1989</v>
      </c>
      <c r="E160" s="92" t="s">
        <v>516</v>
      </c>
      <c r="F160" s="92" t="s">
        <v>794</v>
      </c>
      <c r="G160" s="112">
        <v>40884</v>
      </c>
      <c r="H160" s="93">
        <v>41176</v>
      </c>
      <c r="I160" s="63" t="s">
        <v>993</v>
      </c>
    </row>
    <row r="161" spans="1:10" x14ac:dyDescent="0.25">
      <c r="A161" s="92" t="s">
        <v>1990</v>
      </c>
      <c r="B161" s="150" t="s">
        <v>1991</v>
      </c>
      <c r="C161" s="64" t="s">
        <v>2022</v>
      </c>
      <c r="D161" s="120" t="s">
        <v>1992</v>
      </c>
      <c r="E161" s="92" t="s">
        <v>999</v>
      </c>
      <c r="F161" s="92" t="s">
        <v>794</v>
      </c>
      <c r="G161" s="112">
        <v>40885</v>
      </c>
      <c r="H161" s="93">
        <v>40883</v>
      </c>
      <c r="I161" s="63" t="s">
        <v>798</v>
      </c>
      <c r="J161" s="157"/>
    </row>
    <row r="162" spans="1:10" ht="27" x14ac:dyDescent="0.25">
      <c r="A162" s="92" t="s">
        <v>1994</v>
      </c>
      <c r="B162" s="150" t="s">
        <v>1995</v>
      </c>
      <c r="C162" s="64" t="s">
        <v>1993</v>
      </c>
      <c r="D162" s="120" t="s">
        <v>1997</v>
      </c>
      <c r="E162" s="92" t="s">
        <v>685</v>
      </c>
      <c r="F162" s="92" t="s">
        <v>1510</v>
      </c>
      <c r="G162" s="112">
        <v>40858</v>
      </c>
      <c r="H162" s="93">
        <v>40858</v>
      </c>
      <c r="I162" s="63" t="s">
        <v>993</v>
      </c>
    </row>
    <row r="163" spans="1:10" ht="27" x14ac:dyDescent="0.25">
      <c r="A163" s="92" t="s">
        <v>1999</v>
      </c>
      <c r="B163" s="150" t="s">
        <v>2000</v>
      </c>
      <c r="C163" s="64" t="s">
        <v>2001</v>
      </c>
      <c r="D163" s="120" t="s">
        <v>2002</v>
      </c>
      <c r="E163" s="92" t="s">
        <v>441</v>
      </c>
      <c r="F163" s="92" t="s">
        <v>1510</v>
      </c>
      <c r="G163" s="112">
        <v>40891</v>
      </c>
      <c r="H163" s="93">
        <v>40885</v>
      </c>
      <c r="I163" s="63" t="s">
        <v>993</v>
      </c>
    </row>
    <row r="164" spans="1:10" ht="27" x14ac:dyDescent="0.25">
      <c r="A164" s="92" t="s">
        <v>2003</v>
      </c>
      <c r="B164" s="150" t="s">
        <v>2004</v>
      </c>
      <c r="C164" s="64" t="s">
        <v>2005</v>
      </c>
      <c r="D164" s="120" t="s">
        <v>2006</v>
      </c>
      <c r="E164" s="92" t="s">
        <v>516</v>
      </c>
      <c r="F164" s="92" t="s">
        <v>441</v>
      </c>
      <c r="G164" s="112">
        <v>40861</v>
      </c>
      <c r="H164" s="93">
        <v>41176</v>
      </c>
      <c r="I164" s="63" t="s">
        <v>993</v>
      </c>
    </row>
    <row r="165" spans="1:10" ht="27" x14ac:dyDescent="0.25">
      <c r="A165" s="92" t="s">
        <v>2007</v>
      </c>
      <c r="B165" s="150" t="s">
        <v>2008</v>
      </c>
      <c r="C165" s="64" t="s">
        <v>2009</v>
      </c>
      <c r="D165" s="120" t="s">
        <v>2308</v>
      </c>
      <c r="E165" s="92" t="s">
        <v>987</v>
      </c>
      <c r="F165" s="92" t="s">
        <v>229</v>
      </c>
      <c r="G165" s="112">
        <v>40908</v>
      </c>
      <c r="H165" s="93">
        <v>41179</v>
      </c>
      <c r="I165" s="63" t="s">
        <v>993</v>
      </c>
    </row>
    <row r="166" spans="1:10" ht="27" x14ac:dyDescent="0.25">
      <c r="A166" s="92" t="s">
        <v>2013</v>
      </c>
      <c r="B166" s="150" t="s">
        <v>2014</v>
      </c>
      <c r="C166" s="64" t="s">
        <v>2015</v>
      </c>
      <c r="D166" s="120" t="s">
        <v>2016</v>
      </c>
      <c r="E166" s="92" t="s">
        <v>685</v>
      </c>
      <c r="F166" s="92" t="s">
        <v>794</v>
      </c>
      <c r="G166" s="112">
        <v>40916</v>
      </c>
      <c r="H166" s="93">
        <v>41060</v>
      </c>
      <c r="I166" s="63" t="s">
        <v>993</v>
      </c>
    </row>
    <row r="167" spans="1:10" ht="27" x14ac:dyDescent="0.25">
      <c r="A167" s="92" t="s">
        <v>2017</v>
      </c>
      <c r="B167" s="150" t="s">
        <v>2014</v>
      </c>
      <c r="C167" s="64" t="s">
        <v>2018</v>
      </c>
      <c r="D167" s="120" t="s">
        <v>2019</v>
      </c>
      <c r="E167" s="92" t="s">
        <v>516</v>
      </c>
      <c r="F167" s="92" t="s">
        <v>794</v>
      </c>
      <c r="G167" s="112">
        <v>40905</v>
      </c>
      <c r="H167" s="93">
        <v>41176</v>
      </c>
      <c r="I167" s="63" t="s">
        <v>993</v>
      </c>
    </row>
    <row r="168" spans="1:10" ht="27" x14ac:dyDescent="0.25">
      <c r="A168" s="92" t="s">
        <v>2020</v>
      </c>
      <c r="B168" s="150" t="s">
        <v>2021</v>
      </c>
      <c r="C168" s="64" t="s">
        <v>1320</v>
      </c>
      <c r="D168" s="120" t="s">
        <v>2025</v>
      </c>
      <c r="E168" s="92" t="s">
        <v>481</v>
      </c>
      <c r="F168" s="92" t="s">
        <v>794</v>
      </c>
      <c r="G168" s="112">
        <v>40906</v>
      </c>
      <c r="H168" s="112">
        <v>41617</v>
      </c>
      <c r="I168" s="92" t="s">
        <v>3168</v>
      </c>
    </row>
    <row r="169" spans="1:10" ht="27" x14ac:dyDescent="0.25">
      <c r="A169" s="92" t="s">
        <v>2027</v>
      </c>
      <c r="B169" s="150" t="s">
        <v>2028</v>
      </c>
      <c r="C169" s="64" t="s">
        <v>2029</v>
      </c>
      <c r="D169" s="120" t="s">
        <v>2030</v>
      </c>
      <c r="E169" s="92" t="s">
        <v>441</v>
      </c>
      <c r="F169" s="92" t="s">
        <v>1510</v>
      </c>
      <c r="G169" s="112">
        <v>40907</v>
      </c>
      <c r="H169" s="63" t="s">
        <v>2131</v>
      </c>
      <c r="I169" s="63" t="s">
        <v>993</v>
      </c>
    </row>
    <row r="170" spans="1:10" ht="13.5" customHeight="1" x14ac:dyDescent="0.25">
      <c r="A170" s="539" t="s">
        <v>2035</v>
      </c>
      <c r="B170" s="539"/>
      <c r="C170" s="539"/>
      <c r="D170" s="539"/>
      <c r="E170" s="539"/>
      <c r="F170" s="539"/>
      <c r="G170" s="539"/>
      <c r="H170" s="539"/>
      <c r="I170" s="539"/>
      <c r="J170" s="539"/>
    </row>
    <row r="171" spans="1:10" ht="13.5" customHeight="1" x14ac:dyDescent="0.25">
      <c r="A171" s="539"/>
      <c r="B171" s="539"/>
      <c r="C171" s="539"/>
      <c r="D171" s="539"/>
      <c r="E171" s="539"/>
      <c r="F171" s="539"/>
      <c r="G171" s="539"/>
      <c r="H171" s="539"/>
      <c r="I171" s="539"/>
      <c r="J171" s="539"/>
    </row>
  </sheetData>
  <mergeCells count="2">
    <mergeCell ref="A1:I1"/>
    <mergeCell ref="A170:J171"/>
  </mergeCells>
  <phoneticPr fontId="4"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X170"/>
  <sheetViews>
    <sheetView workbookViewId="0">
      <pane ySplit="2" topLeftCell="A6" activePane="bottomLeft" state="frozen"/>
      <selection pane="bottomLeft" activeCell="C24" sqref="C24"/>
    </sheetView>
  </sheetViews>
  <sheetFormatPr defaultColWidth="24.5703125" defaultRowHeight="13.5" x14ac:dyDescent="0.25"/>
  <cols>
    <col min="1" max="1" width="10.42578125" style="118" bestFit="1" customWidth="1"/>
    <col min="2" max="2" width="13.5703125" style="118" bestFit="1" customWidth="1"/>
    <col min="3" max="3" width="33.5703125" style="118" customWidth="1"/>
    <col min="4" max="4" width="59" style="127" customWidth="1"/>
    <col min="5" max="5" width="10.42578125" style="116" bestFit="1" customWidth="1"/>
    <col min="6" max="6" width="10.5703125" style="118" bestFit="1" customWidth="1"/>
    <col min="7" max="7" width="20" style="116" bestFit="1" customWidth="1"/>
    <col min="8" max="8" width="27.42578125" style="117" customWidth="1"/>
    <col min="9" max="10" width="24.5703125" style="80" customWidth="1"/>
    <col min="11" max="24" width="24.5703125" style="81" customWidth="1"/>
    <col min="25" max="16384" width="24.5703125" style="82"/>
  </cols>
  <sheetData>
    <row r="1" spans="1:24" s="78" customFormat="1" ht="26.25" x14ac:dyDescent="0.35">
      <c r="A1" s="538" t="s">
        <v>184</v>
      </c>
      <c r="B1" s="538"/>
      <c r="C1" s="538"/>
      <c r="D1" s="538"/>
      <c r="E1" s="538"/>
      <c r="F1" s="538"/>
      <c r="G1" s="538"/>
      <c r="H1" s="538"/>
      <c r="I1" s="76"/>
      <c r="J1" s="76"/>
      <c r="K1" s="77"/>
      <c r="L1" s="77"/>
      <c r="M1" s="77"/>
      <c r="N1" s="77"/>
      <c r="O1" s="77"/>
      <c r="P1" s="77"/>
      <c r="Q1" s="77"/>
      <c r="R1" s="77"/>
      <c r="S1" s="77"/>
      <c r="T1" s="77"/>
      <c r="U1" s="77"/>
      <c r="V1" s="77"/>
      <c r="W1" s="77"/>
      <c r="X1" s="77"/>
    </row>
    <row r="2" spans="1:24" ht="25.5" x14ac:dyDescent="0.25">
      <c r="A2" s="109" t="s">
        <v>423</v>
      </c>
      <c r="B2" s="110" t="s">
        <v>1439</v>
      </c>
      <c r="C2" s="110" t="s">
        <v>1440</v>
      </c>
      <c r="D2" s="119" t="s">
        <v>426</v>
      </c>
      <c r="E2" s="109" t="s">
        <v>427</v>
      </c>
      <c r="F2" s="109" t="s">
        <v>428</v>
      </c>
      <c r="G2" s="110" t="s">
        <v>1671</v>
      </c>
      <c r="H2" s="109" t="s">
        <v>452</v>
      </c>
    </row>
    <row r="3" spans="1:24" x14ac:dyDescent="0.25">
      <c r="A3" s="63" t="s">
        <v>186</v>
      </c>
      <c r="B3" s="61" t="s">
        <v>193</v>
      </c>
      <c r="C3" s="61" t="s">
        <v>185</v>
      </c>
      <c r="D3" s="111" t="s">
        <v>1094</v>
      </c>
      <c r="E3" s="63" t="s">
        <v>1275</v>
      </c>
      <c r="F3" s="63" t="s">
        <v>441</v>
      </c>
      <c r="G3" s="93">
        <v>40190</v>
      </c>
      <c r="H3" s="63" t="s">
        <v>798</v>
      </c>
    </row>
    <row r="4" spans="1:24" x14ac:dyDescent="0.25">
      <c r="A4" s="63" t="s">
        <v>187</v>
      </c>
      <c r="B4" s="61" t="s">
        <v>188</v>
      </c>
      <c r="C4" s="61" t="s">
        <v>189</v>
      </c>
      <c r="D4" s="111" t="s">
        <v>933</v>
      </c>
      <c r="E4" s="63" t="s">
        <v>834</v>
      </c>
      <c r="F4" s="63" t="s">
        <v>794</v>
      </c>
      <c r="G4" s="93">
        <v>40268</v>
      </c>
      <c r="H4" s="63" t="s">
        <v>798</v>
      </c>
    </row>
    <row r="5" spans="1:24" x14ac:dyDescent="0.25">
      <c r="A5" s="63" t="s">
        <v>190</v>
      </c>
      <c r="B5" s="61" t="s">
        <v>191</v>
      </c>
      <c r="C5" s="61" t="s">
        <v>192</v>
      </c>
      <c r="D5" s="111" t="s">
        <v>85</v>
      </c>
      <c r="E5" s="63" t="s">
        <v>834</v>
      </c>
      <c r="F5" s="63" t="s">
        <v>441</v>
      </c>
      <c r="G5" s="93">
        <v>40268</v>
      </c>
      <c r="H5" s="63" t="s">
        <v>798</v>
      </c>
    </row>
    <row r="6" spans="1:24" ht="67.5" x14ac:dyDescent="0.25">
      <c r="A6" s="63" t="s">
        <v>199</v>
      </c>
      <c r="B6" s="61" t="s">
        <v>194</v>
      </c>
      <c r="C6" s="64" t="s">
        <v>195</v>
      </c>
      <c r="D6" s="111" t="s">
        <v>198</v>
      </c>
      <c r="E6" s="63" t="s">
        <v>441</v>
      </c>
      <c r="F6" s="63" t="s">
        <v>794</v>
      </c>
      <c r="G6" s="93">
        <v>40211</v>
      </c>
      <c r="H6" s="63" t="s">
        <v>798</v>
      </c>
    </row>
    <row r="7" spans="1:24" ht="27" x14ac:dyDescent="0.25">
      <c r="A7" s="63" t="s">
        <v>200</v>
      </c>
      <c r="B7" s="61" t="s">
        <v>201</v>
      </c>
      <c r="C7" s="61" t="s">
        <v>202</v>
      </c>
      <c r="D7" s="111" t="s">
        <v>203</v>
      </c>
      <c r="E7" s="63" t="s">
        <v>987</v>
      </c>
      <c r="F7" s="63" t="s">
        <v>1552</v>
      </c>
      <c r="G7" s="93">
        <v>40221</v>
      </c>
      <c r="H7" s="63" t="s">
        <v>798</v>
      </c>
    </row>
    <row r="8" spans="1:24" x14ac:dyDescent="0.25">
      <c r="A8" s="63" t="s">
        <v>204</v>
      </c>
      <c r="B8" s="61" t="s">
        <v>205</v>
      </c>
      <c r="C8" s="61" t="s">
        <v>231</v>
      </c>
      <c r="D8" s="111" t="s">
        <v>206</v>
      </c>
      <c r="E8" s="63" t="s">
        <v>1552</v>
      </c>
      <c r="F8" s="63" t="s">
        <v>1552</v>
      </c>
      <c r="G8" s="93">
        <v>40240</v>
      </c>
      <c r="H8" s="63" t="s">
        <v>798</v>
      </c>
    </row>
    <row r="9" spans="1:24" s="108" customFormat="1" x14ac:dyDescent="0.25">
      <c r="A9" s="63" t="s">
        <v>232</v>
      </c>
      <c r="B9" s="61" t="s">
        <v>233</v>
      </c>
      <c r="C9" s="61" t="s">
        <v>244</v>
      </c>
      <c r="D9" s="111" t="s">
        <v>234</v>
      </c>
      <c r="E9" s="63" t="s">
        <v>727</v>
      </c>
      <c r="F9" s="63" t="s">
        <v>794</v>
      </c>
      <c r="G9" s="93">
        <v>40268</v>
      </c>
      <c r="H9" s="63" t="s">
        <v>798</v>
      </c>
      <c r="I9" s="80"/>
      <c r="J9" s="80"/>
      <c r="K9" s="107"/>
      <c r="L9" s="107"/>
      <c r="M9" s="107"/>
      <c r="N9" s="107"/>
      <c r="O9" s="107"/>
      <c r="P9" s="107"/>
      <c r="Q9" s="107"/>
      <c r="R9" s="107"/>
      <c r="S9" s="107"/>
      <c r="T9" s="107"/>
      <c r="U9" s="107"/>
      <c r="V9" s="107"/>
      <c r="W9" s="107"/>
      <c r="X9" s="107"/>
    </row>
    <row r="10" spans="1:24" ht="27" x14ac:dyDescent="0.25">
      <c r="A10" s="63" t="s">
        <v>235</v>
      </c>
      <c r="B10" s="61" t="s">
        <v>236</v>
      </c>
      <c r="C10" s="61" t="s">
        <v>12</v>
      </c>
      <c r="D10" s="111" t="s">
        <v>2219</v>
      </c>
      <c r="E10" s="63" t="s">
        <v>237</v>
      </c>
      <c r="F10" s="63" t="s">
        <v>834</v>
      </c>
      <c r="G10" s="93">
        <v>40283</v>
      </c>
      <c r="H10" s="63" t="s">
        <v>798</v>
      </c>
      <c r="I10" s="87"/>
    </row>
    <row r="11" spans="1:24" ht="27" x14ac:dyDescent="0.25">
      <c r="A11" s="63" t="s">
        <v>238</v>
      </c>
      <c r="B11" s="61" t="s">
        <v>239</v>
      </c>
      <c r="C11" s="61" t="s">
        <v>242</v>
      </c>
      <c r="D11" s="111" t="s">
        <v>243</v>
      </c>
      <c r="E11" s="63" t="s">
        <v>987</v>
      </c>
      <c r="F11" s="63" t="s">
        <v>1552</v>
      </c>
      <c r="G11" s="93">
        <v>40241</v>
      </c>
      <c r="H11" s="63" t="s">
        <v>798</v>
      </c>
    </row>
    <row r="12" spans="1:24" x14ac:dyDescent="0.25">
      <c r="A12" s="63" t="s">
        <v>245</v>
      </c>
      <c r="B12" s="61" t="s">
        <v>246</v>
      </c>
      <c r="C12" s="61" t="s">
        <v>248</v>
      </c>
      <c r="D12" s="111" t="s">
        <v>247</v>
      </c>
      <c r="E12" s="63" t="s">
        <v>987</v>
      </c>
      <c r="F12" s="63" t="s">
        <v>1552</v>
      </c>
      <c r="G12" s="93">
        <v>40242</v>
      </c>
      <c r="H12" s="63" t="s">
        <v>798</v>
      </c>
    </row>
    <row r="13" spans="1:24" x14ac:dyDescent="0.25">
      <c r="A13" s="63" t="s">
        <v>249</v>
      </c>
      <c r="B13" s="61" t="s">
        <v>250</v>
      </c>
      <c r="C13" s="61" t="s">
        <v>251</v>
      </c>
      <c r="D13" s="111" t="s">
        <v>933</v>
      </c>
      <c r="E13" s="63" t="s">
        <v>516</v>
      </c>
      <c r="F13" s="63" t="s">
        <v>834</v>
      </c>
      <c r="G13" s="93">
        <v>40294</v>
      </c>
      <c r="H13" s="63" t="s">
        <v>798</v>
      </c>
    </row>
    <row r="14" spans="1:24" x14ac:dyDescent="0.25">
      <c r="A14" s="63" t="s">
        <v>252</v>
      </c>
      <c r="B14" s="61" t="s">
        <v>253</v>
      </c>
      <c r="C14" s="61" t="s">
        <v>254</v>
      </c>
      <c r="D14" s="111" t="s">
        <v>1165</v>
      </c>
      <c r="E14" s="63" t="s">
        <v>516</v>
      </c>
      <c r="F14" s="63" t="s">
        <v>834</v>
      </c>
      <c r="G14" s="93">
        <v>40256</v>
      </c>
      <c r="H14" s="63" t="s">
        <v>798</v>
      </c>
    </row>
    <row r="15" spans="1:24" x14ac:dyDescent="0.25">
      <c r="A15" s="63" t="s">
        <v>258</v>
      </c>
      <c r="B15" s="61" t="s">
        <v>256</v>
      </c>
      <c r="C15" s="61" t="s">
        <v>257</v>
      </c>
      <c r="D15" s="111" t="s">
        <v>904</v>
      </c>
      <c r="E15" s="63" t="s">
        <v>516</v>
      </c>
      <c r="F15" s="63" t="s">
        <v>834</v>
      </c>
      <c r="G15" s="93">
        <v>40294</v>
      </c>
      <c r="H15" s="63" t="s">
        <v>798</v>
      </c>
    </row>
    <row r="16" spans="1:24" x14ac:dyDescent="0.25">
      <c r="A16" s="63" t="s">
        <v>259</v>
      </c>
      <c r="B16" s="61" t="s">
        <v>260</v>
      </c>
      <c r="C16" s="61" t="s">
        <v>261</v>
      </c>
      <c r="D16" s="111" t="s">
        <v>933</v>
      </c>
      <c r="E16" s="63" t="s">
        <v>834</v>
      </c>
      <c r="F16" s="63" t="s">
        <v>441</v>
      </c>
      <c r="G16" s="93" t="s">
        <v>1173</v>
      </c>
      <c r="H16" s="63" t="s">
        <v>1173</v>
      </c>
    </row>
    <row r="17" spans="1:10" x14ac:dyDescent="0.25">
      <c r="A17" s="63" t="s">
        <v>262</v>
      </c>
      <c r="B17" s="61" t="s">
        <v>260</v>
      </c>
      <c r="C17" s="61" t="s">
        <v>1909</v>
      </c>
      <c r="D17" s="111" t="s">
        <v>263</v>
      </c>
      <c r="E17" s="63" t="s">
        <v>834</v>
      </c>
      <c r="F17" s="63" t="s">
        <v>441</v>
      </c>
      <c r="G17" s="112" t="s">
        <v>1139</v>
      </c>
      <c r="H17" s="92" t="s">
        <v>2472</v>
      </c>
    </row>
    <row r="18" spans="1:10" x14ac:dyDescent="0.25">
      <c r="A18" s="63" t="s">
        <v>265</v>
      </c>
      <c r="B18" s="61" t="s">
        <v>260</v>
      </c>
      <c r="C18" s="61" t="s">
        <v>264</v>
      </c>
      <c r="D18" s="111" t="s">
        <v>904</v>
      </c>
      <c r="E18" s="63" t="s">
        <v>999</v>
      </c>
      <c r="F18" s="63" t="s">
        <v>834</v>
      </c>
      <c r="G18" s="93">
        <v>40280</v>
      </c>
      <c r="H18" s="63" t="s">
        <v>798</v>
      </c>
    </row>
    <row r="19" spans="1:10" x14ac:dyDescent="0.25">
      <c r="A19" s="63" t="s">
        <v>268</v>
      </c>
      <c r="B19" s="61" t="s">
        <v>266</v>
      </c>
      <c r="C19" s="61" t="s">
        <v>267</v>
      </c>
      <c r="D19" s="111" t="s">
        <v>1165</v>
      </c>
      <c r="E19" s="63" t="s">
        <v>834</v>
      </c>
      <c r="F19" s="63" t="s">
        <v>794</v>
      </c>
      <c r="G19" s="93">
        <v>40268</v>
      </c>
      <c r="H19" s="63" t="s">
        <v>798</v>
      </c>
    </row>
    <row r="20" spans="1:10" s="107" customFormat="1" x14ac:dyDescent="0.25">
      <c r="A20" s="92" t="s">
        <v>271</v>
      </c>
      <c r="B20" s="64" t="s">
        <v>275</v>
      </c>
      <c r="C20" s="64" t="s">
        <v>276</v>
      </c>
      <c r="D20" s="120" t="s">
        <v>277</v>
      </c>
      <c r="E20" s="92" t="s">
        <v>999</v>
      </c>
      <c r="F20" s="92" t="s">
        <v>834</v>
      </c>
      <c r="G20" s="112">
        <v>40630</v>
      </c>
      <c r="H20" s="92" t="s">
        <v>798</v>
      </c>
      <c r="I20" s="80"/>
      <c r="J20" s="80"/>
    </row>
    <row r="21" spans="1:10" x14ac:dyDescent="0.25">
      <c r="A21" s="92" t="s">
        <v>278</v>
      </c>
      <c r="B21" s="64" t="s">
        <v>279</v>
      </c>
      <c r="C21" s="61" t="s">
        <v>767</v>
      </c>
      <c r="D21" s="111" t="s">
        <v>1831</v>
      </c>
      <c r="E21" s="63" t="s">
        <v>626</v>
      </c>
      <c r="F21" s="63" t="s">
        <v>794</v>
      </c>
      <c r="G21" s="93">
        <v>40504</v>
      </c>
      <c r="H21" s="143" t="s">
        <v>2324</v>
      </c>
    </row>
    <row r="22" spans="1:10" ht="27" x14ac:dyDescent="0.25">
      <c r="A22" s="92" t="s">
        <v>280</v>
      </c>
      <c r="B22" s="64" t="s">
        <v>279</v>
      </c>
      <c r="C22" s="51" t="s">
        <v>281</v>
      </c>
      <c r="D22" s="111" t="s">
        <v>282</v>
      </c>
      <c r="E22" s="63" t="s">
        <v>685</v>
      </c>
      <c r="F22" s="63" t="s">
        <v>794</v>
      </c>
      <c r="G22" s="93">
        <v>40308</v>
      </c>
      <c r="H22" s="63" t="s">
        <v>798</v>
      </c>
      <c r="I22" s="80" t="s">
        <v>1859</v>
      </c>
    </row>
    <row r="23" spans="1:10" ht="27" x14ac:dyDescent="0.25">
      <c r="A23" s="63" t="s">
        <v>283</v>
      </c>
      <c r="B23" s="61" t="s">
        <v>284</v>
      </c>
      <c r="C23" s="64" t="s">
        <v>285</v>
      </c>
      <c r="D23" s="111" t="s">
        <v>286</v>
      </c>
      <c r="E23" s="63" t="s">
        <v>987</v>
      </c>
      <c r="F23" s="63" t="s">
        <v>1552</v>
      </c>
      <c r="G23" s="93">
        <v>40297</v>
      </c>
      <c r="H23" s="63" t="s">
        <v>798</v>
      </c>
      <c r="I23" s="89"/>
    </row>
    <row r="24" spans="1:10" s="137" customFormat="1" x14ac:dyDescent="0.25">
      <c r="A24" s="114" t="s">
        <v>287</v>
      </c>
      <c r="B24" s="113" t="s">
        <v>288</v>
      </c>
      <c r="C24" s="113" t="s">
        <v>289</v>
      </c>
      <c r="D24" s="125" t="s">
        <v>290</v>
      </c>
      <c r="E24" s="114" t="s">
        <v>1351</v>
      </c>
      <c r="F24" s="114" t="s">
        <v>1552</v>
      </c>
      <c r="G24" s="135"/>
      <c r="H24" s="114"/>
      <c r="I24" s="136"/>
      <c r="J24" s="136"/>
    </row>
    <row r="25" spans="1:10" x14ac:dyDescent="0.25">
      <c r="A25" s="63" t="s">
        <v>291</v>
      </c>
      <c r="B25" s="61" t="s">
        <v>292</v>
      </c>
      <c r="C25" s="61" t="s">
        <v>293</v>
      </c>
      <c r="D25" s="111" t="s">
        <v>294</v>
      </c>
      <c r="E25" s="63" t="s">
        <v>987</v>
      </c>
      <c r="F25" s="63" t="s">
        <v>1552</v>
      </c>
      <c r="G25" s="93">
        <v>40309</v>
      </c>
      <c r="H25" s="63" t="s">
        <v>798</v>
      </c>
    </row>
    <row r="26" spans="1:10" x14ac:dyDescent="0.25">
      <c r="A26" s="92" t="s">
        <v>295</v>
      </c>
      <c r="B26" s="64" t="s">
        <v>296</v>
      </c>
      <c r="C26" s="64" t="s">
        <v>297</v>
      </c>
      <c r="D26" s="120" t="s">
        <v>298</v>
      </c>
      <c r="E26" s="92" t="s">
        <v>1351</v>
      </c>
      <c r="F26" s="92" t="s">
        <v>1552</v>
      </c>
      <c r="G26" s="112">
        <v>40323</v>
      </c>
      <c r="H26" s="63" t="s">
        <v>798</v>
      </c>
    </row>
    <row r="27" spans="1:10" x14ac:dyDescent="0.25">
      <c r="A27" s="63" t="s">
        <v>299</v>
      </c>
      <c r="B27" s="61" t="s">
        <v>300</v>
      </c>
      <c r="C27" s="61" t="s">
        <v>301</v>
      </c>
      <c r="D27" s="111" t="s">
        <v>302</v>
      </c>
      <c r="E27" s="63" t="s">
        <v>1351</v>
      </c>
      <c r="F27" s="63" t="s">
        <v>1552</v>
      </c>
      <c r="G27" s="93">
        <v>40333</v>
      </c>
      <c r="H27" s="63" t="s">
        <v>798</v>
      </c>
    </row>
    <row r="28" spans="1:10" ht="40.5" x14ac:dyDescent="0.25">
      <c r="A28" s="63" t="s">
        <v>303</v>
      </c>
      <c r="B28" s="61" t="s">
        <v>304</v>
      </c>
      <c r="C28" s="61" t="s">
        <v>309</v>
      </c>
      <c r="D28" s="111" t="s">
        <v>305</v>
      </c>
      <c r="E28" s="63" t="s">
        <v>794</v>
      </c>
      <c r="F28" s="63" t="s">
        <v>441</v>
      </c>
      <c r="G28" s="93">
        <v>41011</v>
      </c>
      <c r="H28" s="92" t="s">
        <v>798</v>
      </c>
    </row>
    <row r="29" spans="1:10" x14ac:dyDescent="0.25">
      <c r="A29" s="63" t="s">
        <v>310</v>
      </c>
      <c r="B29" s="61" t="s">
        <v>311</v>
      </c>
      <c r="C29" s="63" t="s">
        <v>312</v>
      </c>
      <c r="D29" s="122" t="s">
        <v>313</v>
      </c>
      <c r="E29" s="63" t="s">
        <v>999</v>
      </c>
      <c r="F29" s="63" t="s">
        <v>1552</v>
      </c>
      <c r="G29" s="93">
        <v>40354</v>
      </c>
      <c r="H29" s="63" t="s">
        <v>798</v>
      </c>
    </row>
    <row r="30" spans="1:10" ht="14.25" x14ac:dyDescent="0.25">
      <c r="A30" s="63" t="s">
        <v>314</v>
      </c>
      <c r="B30" s="61" t="s">
        <v>315</v>
      </c>
      <c r="C30" s="61" t="s">
        <v>3268</v>
      </c>
      <c r="D30" s="123"/>
      <c r="E30" s="63" t="s">
        <v>685</v>
      </c>
      <c r="F30" s="63" t="s">
        <v>794</v>
      </c>
      <c r="G30" s="93">
        <v>40367</v>
      </c>
      <c r="H30" s="63" t="s">
        <v>798</v>
      </c>
    </row>
    <row r="31" spans="1:10" ht="27" x14ac:dyDescent="0.25">
      <c r="A31" s="63" t="s">
        <v>316</v>
      </c>
      <c r="B31" s="61" t="s">
        <v>317</v>
      </c>
      <c r="C31" s="61" t="s">
        <v>318</v>
      </c>
      <c r="D31" s="111" t="s">
        <v>319</v>
      </c>
      <c r="E31" s="63" t="s">
        <v>999</v>
      </c>
      <c r="F31" s="63" t="s">
        <v>1552</v>
      </c>
      <c r="G31" s="93">
        <v>40378</v>
      </c>
      <c r="H31" s="63" t="s">
        <v>798</v>
      </c>
    </row>
    <row r="32" spans="1:10" x14ac:dyDescent="0.25">
      <c r="A32" s="63" t="s">
        <v>320</v>
      </c>
      <c r="B32" s="61" t="s">
        <v>321</v>
      </c>
      <c r="C32" s="63" t="s">
        <v>270</v>
      </c>
      <c r="D32" s="124" t="s">
        <v>324</v>
      </c>
      <c r="E32" s="63" t="s">
        <v>685</v>
      </c>
      <c r="F32" s="63" t="s">
        <v>1275</v>
      </c>
      <c r="G32" s="93">
        <v>40422</v>
      </c>
      <c r="H32" s="63" t="s">
        <v>798</v>
      </c>
    </row>
    <row r="33" spans="1:9" x14ac:dyDescent="0.25">
      <c r="A33" s="92" t="s">
        <v>322</v>
      </c>
      <c r="B33" s="64" t="s">
        <v>321</v>
      </c>
      <c r="C33" s="61" t="s">
        <v>257</v>
      </c>
      <c r="D33" s="111" t="s">
        <v>1569</v>
      </c>
      <c r="E33" s="63" t="s">
        <v>685</v>
      </c>
      <c r="F33" s="63" t="s">
        <v>1275</v>
      </c>
      <c r="G33" s="93">
        <v>41198</v>
      </c>
      <c r="H33" s="92" t="s">
        <v>798</v>
      </c>
    </row>
    <row r="34" spans="1:9" ht="27" x14ac:dyDescent="0.25">
      <c r="A34" s="92" t="s">
        <v>323</v>
      </c>
      <c r="B34" s="64" t="s">
        <v>321</v>
      </c>
      <c r="C34" s="61" t="s">
        <v>269</v>
      </c>
      <c r="D34" s="111" t="s">
        <v>325</v>
      </c>
      <c r="E34" s="63" t="s">
        <v>685</v>
      </c>
      <c r="F34" s="63" t="s">
        <v>1275</v>
      </c>
      <c r="G34" s="93">
        <v>40422</v>
      </c>
      <c r="H34" s="63" t="s">
        <v>798</v>
      </c>
    </row>
    <row r="35" spans="1:9" x14ac:dyDescent="0.25">
      <c r="A35" s="92" t="s">
        <v>326</v>
      </c>
      <c r="B35" s="64" t="s">
        <v>327</v>
      </c>
      <c r="C35" s="61" t="s">
        <v>328</v>
      </c>
      <c r="D35" s="111" t="s">
        <v>329</v>
      </c>
      <c r="E35" s="63" t="s">
        <v>1552</v>
      </c>
      <c r="F35" s="63" t="s">
        <v>441</v>
      </c>
      <c r="G35" s="93">
        <v>41241</v>
      </c>
      <c r="H35" s="92" t="s">
        <v>798</v>
      </c>
    </row>
    <row r="36" spans="1:9" ht="27" x14ac:dyDescent="0.25">
      <c r="A36" s="92" t="s">
        <v>334</v>
      </c>
      <c r="B36" s="64" t="s">
        <v>338</v>
      </c>
      <c r="C36" s="61" t="s">
        <v>339</v>
      </c>
      <c r="D36" s="111" t="s">
        <v>340</v>
      </c>
      <c r="E36" s="63" t="s">
        <v>794</v>
      </c>
      <c r="F36" s="63" t="s">
        <v>441</v>
      </c>
      <c r="G36" s="93">
        <v>40387</v>
      </c>
      <c r="H36" s="63" t="s">
        <v>798</v>
      </c>
    </row>
    <row r="37" spans="1:9" ht="27" x14ac:dyDescent="0.25">
      <c r="A37" s="92" t="s">
        <v>341</v>
      </c>
      <c r="B37" s="64" t="s">
        <v>342</v>
      </c>
      <c r="C37" s="61" t="s">
        <v>343</v>
      </c>
      <c r="D37" s="111" t="s">
        <v>344</v>
      </c>
      <c r="E37" s="63" t="s">
        <v>237</v>
      </c>
      <c r="F37" s="63" t="s">
        <v>794</v>
      </c>
      <c r="G37" s="93">
        <v>40560</v>
      </c>
      <c r="H37" s="63" t="s">
        <v>798</v>
      </c>
    </row>
    <row r="38" spans="1:9" ht="27" x14ac:dyDescent="0.25">
      <c r="A38" s="92" t="s">
        <v>345</v>
      </c>
      <c r="B38" s="64" t="s">
        <v>346</v>
      </c>
      <c r="C38" s="61" t="s">
        <v>2138</v>
      </c>
      <c r="D38" s="111" t="s">
        <v>347</v>
      </c>
      <c r="E38" s="63" t="s">
        <v>348</v>
      </c>
      <c r="F38" s="63" t="s">
        <v>1552</v>
      </c>
      <c r="G38" s="93" t="s">
        <v>3109</v>
      </c>
      <c r="H38" s="92" t="s">
        <v>3110</v>
      </c>
      <c r="I38" s="226"/>
    </row>
    <row r="39" spans="1:9" x14ac:dyDescent="0.25">
      <c r="A39" s="92" t="s">
        <v>349</v>
      </c>
      <c r="B39" s="64" t="s">
        <v>351</v>
      </c>
      <c r="C39" s="61" t="s">
        <v>352</v>
      </c>
      <c r="D39" s="111" t="s">
        <v>350</v>
      </c>
      <c r="E39" s="63" t="s">
        <v>987</v>
      </c>
      <c r="F39" s="63" t="s">
        <v>1552</v>
      </c>
      <c r="G39" s="93">
        <v>40415</v>
      </c>
      <c r="H39" s="63" t="s">
        <v>798</v>
      </c>
    </row>
    <row r="40" spans="1:9" ht="27" x14ac:dyDescent="0.25">
      <c r="A40" s="92" t="s">
        <v>353</v>
      </c>
      <c r="B40" s="64" t="s">
        <v>354</v>
      </c>
      <c r="C40" s="61" t="s">
        <v>355</v>
      </c>
      <c r="D40" s="111" t="s">
        <v>356</v>
      </c>
      <c r="E40" s="63" t="s">
        <v>516</v>
      </c>
      <c r="F40" s="63" t="s">
        <v>794</v>
      </c>
      <c r="G40" s="93">
        <v>41187</v>
      </c>
      <c r="H40" s="92" t="s">
        <v>798</v>
      </c>
    </row>
    <row r="41" spans="1:9" ht="27" x14ac:dyDescent="0.25">
      <c r="A41" s="92" t="s">
        <v>357</v>
      </c>
      <c r="B41" s="64" t="s">
        <v>354</v>
      </c>
      <c r="C41" s="61" t="s">
        <v>358</v>
      </c>
      <c r="D41" s="111" t="s">
        <v>363</v>
      </c>
      <c r="E41" s="63" t="s">
        <v>516</v>
      </c>
      <c r="F41" s="63" t="s">
        <v>794</v>
      </c>
      <c r="G41" s="93">
        <v>40560</v>
      </c>
      <c r="H41" s="63" t="s">
        <v>798</v>
      </c>
    </row>
    <row r="42" spans="1:9" ht="27" x14ac:dyDescent="0.25">
      <c r="A42" s="92" t="s">
        <v>364</v>
      </c>
      <c r="B42" s="64" t="s">
        <v>371</v>
      </c>
      <c r="C42" s="61" t="s">
        <v>365</v>
      </c>
      <c r="D42" s="111" t="s">
        <v>370</v>
      </c>
      <c r="E42" s="63" t="s">
        <v>1552</v>
      </c>
      <c r="F42" s="63" t="s">
        <v>441</v>
      </c>
      <c r="G42" s="93">
        <v>40499</v>
      </c>
      <c r="H42" s="92" t="s">
        <v>798</v>
      </c>
    </row>
    <row r="43" spans="1:9" ht="27" x14ac:dyDescent="0.25">
      <c r="A43" s="92" t="s">
        <v>372</v>
      </c>
      <c r="B43" s="64" t="s">
        <v>373</v>
      </c>
      <c r="C43" s="61" t="s">
        <v>374</v>
      </c>
      <c r="D43" s="111" t="s">
        <v>375</v>
      </c>
      <c r="E43" s="63" t="s">
        <v>441</v>
      </c>
      <c r="F43" s="63" t="s">
        <v>794</v>
      </c>
      <c r="G43" s="93">
        <v>40459</v>
      </c>
      <c r="H43" s="63" t="s">
        <v>798</v>
      </c>
    </row>
    <row r="44" spans="1:9" x14ac:dyDescent="0.25">
      <c r="A44" s="92" t="s">
        <v>380</v>
      </c>
      <c r="B44" s="64" t="s">
        <v>381</v>
      </c>
      <c r="C44" s="61" t="s">
        <v>1538</v>
      </c>
      <c r="D44" s="62" t="s">
        <v>1539</v>
      </c>
      <c r="E44" s="63" t="s">
        <v>685</v>
      </c>
      <c r="F44" s="63" t="s">
        <v>1275</v>
      </c>
      <c r="G44" s="93">
        <v>40463</v>
      </c>
      <c r="H44" s="63" t="s">
        <v>798</v>
      </c>
    </row>
    <row r="45" spans="1:9" ht="27" x14ac:dyDescent="0.25">
      <c r="A45" s="92" t="s">
        <v>382</v>
      </c>
      <c r="B45" s="64" t="s">
        <v>383</v>
      </c>
      <c r="C45" s="113" t="s">
        <v>384</v>
      </c>
      <c r="D45" s="128" t="s">
        <v>422</v>
      </c>
      <c r="E45" s="114" t="s">
        <v>987</v>
      </c>
      <c r="F45" s="114" t="s">
        <v>1552</v>
      </c>
      <c r="G45" s="93">
        <v>40477</v>
      </c>
      <c r="H45" s="63" t="s">
        <v>798</v>
      </c>
    </row>
    <row r="46" spans="1:9" x14ac:dyDescent="0.25">
      <c r="A46" s="92" t="s">
        <v>385</v>
      </c>
      <c r="B46" s="64" t="s">
        <v>402</v>
      </c>
      <c r="C46" s="113" t="s">
        <v>397</v>
      </c>
      <c r="D46" s="125" t="s">
        <v>398</v>
      </c>
      <c r="E46" s="114" t="s">
        <v>685</v>
      </c>
      <c r="F46" s="114" t="s">
        <v>1275</v>
      </c>
      <c r="G46" s="93">
        <v>40484</v>
      </c>
      <c r="H46" s="63" t="s">
        <v>798</v>
      </c>
    </row>
    <row r="47" spans="1:9" ht="27" x14ac:dyDescent="0.25">
      <c r="A47" s="92" t="s">
        <v>393</v>
      </c>
      <c r="B47" s="64" t="s">
        <v>399</v>
      </c>
      <c r="C47" s="113" t="s">
        <v>400</v>
      </c>
      <c r="D47" s="125" t="s">
        <v>401</v>
      </c>
      <c r="E47" s="114" t="s">
        <v>685</v>
      </c>
      <c r="F47" s="114" t="s">
        <v>794</v>
      </c>
      <c r="G47" s="93">
        <v>40578</v>
      </c>
      <c r="H47" s="63" t="s">
        <v>798</v>
      </c>
    </row>
    <row r="48" spans="1:9" x14ac:dyDescent="0.25">
      <c r="A48" s="92" t="s">
        <v>392</v>
      </c>
      <c r="B48" s="64" t="s">
        <v>394</v>
      </c>
      <c r="C48" s="61" t="s">
        <v>395</v>
      </c>
      <c r="D48" s="111" t="s">
        <v>396</v>
      </c>
      <c r="E48" s="92" t="s">
        <v>987</v>
      </c>
      <c r="F48" s="92" t="s">
        <v>1552</v>
      </c>
      <c r="G48" s="93">
        <v>40513</v>
      </c>
      <c r="H48" s="63" t="s">
        <v>798</v>
      </c>
    </row>
    <row r="49" spans="1:24" ht="40.5" x14ac:dyDescent="0.25">
      <c r="A49" s="63" t="s">
        <v>387</v>
      </c>
      <c r="B49" s="61" t="s">
        <v>388</v>
      </c>
      <c r="C49" s="61" t="s">
        <v>1023</v>
      </c>
      <c r="D49" s="111" t="s">
        <v>389</v>
      </c>
      <c r="E49" s="92" t="s">
        <v>685</v>
      </c>
      <c r="F49" s="92" t="s">
        <v>794</v>
      </c>
      <c r="G49" s="93">
        <v>41389</v>
      </c>
      <c r="H49" s="63" t="s">
        <v>798</v>
      </c>
      <c r="I49" s="80" t="s">
        <v>2553</v>
      </c>
    </row>
    <row r="50" spans="1:24" ht="27" x14ac:dyDescent="0.25">
      <c r="A50" s="92" t="s">
        <v>390</v>
      </c>
      <c r="B50" s="64" t="s">
        <v>388</v>
      </c>
      <c r="C50" s="64" t="s">
        <v>529</v>
      </c>
      <c r="D50" s="120" t="s">
        <v>391</v>
      </c>
      <c r="E50" s="92" t="s">
        <v>685</v>
      </c>
      <c r="F50" s="92" t="s">
        <v>794</v>
      </c>
      <c r="G50" s="93">
        <v>41578</v>
      </c>
      <c r="H50" s="63" t="s">
        <v>798</v>
      </c>
    </row>
    <row r="51" spans="1:24" x14ac:dyDescent="0.25">
      <c r="A51" s="92" t="s">
        <v>378</v>
      </c>
      <c r="B51" s="64" t="s">
        <v>379</v>
      </c>
      <c r="C51" s="61" t="s">
        <v>376</v>
      </c>
      <c r="D51" s="111" t="s">
        <v>377</v>
      </c>
      <c r="E51" s="92" t="s">
        <v>999</v>
      </c>
      <c r="F51" s="92" t="s">
        <v>794</v>
      </c>
      <c r="G51" s="93">
        <v>40724</v>
      </c>
      <c r="H51" s="63" t="s">
        <v>798</v>
      </c>
    </row>
    <row r="52" spans="1:24" x14ac:dyDescent="0.25">
      <c r="A52" s="92" t="s">
        <v>366</v>
      </c>
      <c r="B52" s="64" t="s">
        <v>367</v>
      </c>
      <c r="C52" s="61" t="s">
        <v>368</v>
      </c>
      <c r="D52" s="111" t="s">
        <v>369</v>
      </c>
      <c r="E52" s="92" t="s">
        <v>1552</v>
      </c>
      <c r="F52" s="92" t="s">
        <v>1275</v>
      </c>
      <c r="G52" s="93" t="s">
        <v>2088</v>
      </c>
      <c r="H52" s="92" t="s">
        <v>2325</v>
      </c>
    </row>
    <row r="53" spans="1:24" x14ac:dyDescent="0.25">
      <c r="A53" s="92" t="s">
        <v>359</v>
      </c>
      <c r="B53" s="64" t="s">
        <v>360</v>
      </c>
      <c r="C53" s="61" t="s">
        <v>361</v>
      </c>
      <c r="D53" s="111" t="s">
        <v>362</v>
      </c>
      <c r="E53" s="92" t="s">
        <v>834</v>
      </c>
      <c r="F53" s="92" t="s">
        <v>794</v>
      </c>
      <c r="G53" s="93">
        <v>40560</v>
      </c>
      <c r="H53" s="63" t="s">
        <v>798</v>
      </c>
    </row>
    <row r="54" spans="1:24" ht="27" x14ac:dyDescent="0.25">
      <c r="A54" s="92" t="s">
        <v>330</v>
      </c>
      <c r="B54" s="64" t="s">
        <v>331</v>
      </c>
      <c r="C54" s="61" t="s">
        <v>332</v>
      </c>
      <c r="D54" s="111" t="s">
        <v>333</v>
      </c>
      <c r="E54" s="63" t="s">
        <v>987</v>
      </c>
      <c r="F54" s="92" t="s">
        <v>1552</v>
      </c>
      <c r="G54" s="93">
        <v>40546</v>
      </c>
      <c r="H54" s="63" t="s">
        <v>798</v>
      </c>
    </row>
    <row r="55" spans="1:24" ht="40.5" x14ac:dyDescent="0.25">
      <c r="A55" s="92" t="s">
        <v>240</v>
      </c>
      <c r="B55" s="64" t="s">
        <v>241</v>
      </c>
      <c r="C55" s="61" t="s">
        <v>1644</v>
      </c>
      <c r="D55" s="111" t="s">
        <v>2048</v>
      </c>
      <c r="E55" s="63" t="s">
        <v>685</v>
      </c>
      <c r="F55" s="92" t="s">
        <v>794</v>
      </c>
      <c r="G55" s="93">
        <v>40945</v>
      </c>
      <c r="H55" s="92" t="s">
        <v>798</v>
      </c>
    </row>
    <row r="56" spans="1:24" s="144" customFormat="1" ht="33" customHeight="1" x14ac:dyDescent="0.2">
      <c r="A56" s="539" t="s">
        <v>1851</v>
      </c>
      <c r="B56" s="539"/>
      <c r="C56" s="539"/>
      <c r="D56" s="539"/>
      <c r="E56" s="539"/>
      <c r="F56" s="539"/>
      <c r="G56" s="539"/>
      <c r="H56" s="539"/>
      <c r="I56" s="539"/>
      <c r="J56" s="539"/>
    </row>
    <row r="57" spans="1:24" s="144" customFormat="1" ht="12.75" x14ac:dyDescent="0.2">
      <c r="A57" s="539"/>
      <c r="B57" s="539"/>
      <c r="C57" s="539"/>
      <c r="D57" s="539"/>
      <c r="E57" s="539"/>
      <c r="F57" s="539"/>
      <c r="G57" s="539"/>
      <c r="H57" s="539"/>
      <c r="I57" s="539"/>
      <c r="J57" s="539"/>
    </row>
    <row r="58" spans="1:24" x14ac:dyDescent="0.25">
      <c r="A58" s="92"/>
      <c r="B58" s="64"/>
      <c r="C58" s="61"/>
      <c r="D58" s="111"/>
      <c r="E58" s="92"/>
      <c r="F58" s="92"/>
      <c r="G58" s="93"/>
      <c r="H58" s="63"/>
    </row>
    <row r="59" spans="1:24" x14ac:dyDescent="0.25">
      <c r="A59" s="92"/>
      <c r="B59" s="64"/>
      <c r="C59" s="61"/>
      <c r="D59" s="111"/>
      <c r="E59" s="92"/>
      <c r="F59" s="92"/>
      <c r="G59" s="93"/>
      <c r="H59" s="63"/>
    </row>
    <row r="60" spans="1:24" x14ac:dyDescent="0.25">
      <c r="A60" s="92"/>
      <c r="B60" s="64"/>
      <c r="C60" s="61"/>
      <c r="D60" s="111"/>
      <c r="E60" s="92"/>
      <c r="F60" s="92"/>
      <c r="G60" s="93"/>
      <c r="H60" s="63"/>
    </row>
    <row r="61" spans="1:24" s="108" customFormat="1" x14ac:dyDescent="0.25">
      <c r="A61" s="92"/>
      <c r="B61" s="64"/>
      <c r="C61" s="61"/>
      <c r="D61" s="111"/>
      <c r="E61" s="92"/>
      <c r="F61" s="92"/>
      <c r="G61" s="93"/>
      <c r="H61" s="63"/>
      <c r="I61" s="80"/>
      <c r="J61" s="80"/>
      <c r="K61" s="107"/>
      <c r="L61" s="107"/>
      <c r="M61" s="107"/>
      <c r="N61" s="107"/>
      <c r="O61" s="107"/>
      <c r="P61" s="107"/>
      <c r="Q61" s="107"/>
      <c r="R61" s="107"/>
      <c r="S61" s="107"/>
      <c r="T61" s="107"/>
      <c r="U61" s="107"/>
      <c r="V61" s="107"/>
      <c r="W61" s="107"/>
      <c r="X61" s="107"/>
    </row>
    <row r="62" spans="1:24" x14ac:dyDescent="0.25">
      <c r="A62" s="92"/>
      <c r="B62" s="64"/>
      <c r="C62" s="61"/>
      <c r="D62" s="111"/>
      <c r="E62" s="92"/>
      <c r="F62" s="92"/>
      <c r="G62" s="93"/>
      <c r="H62" s="63"/>
    </row>
    <row r="63" spans="1:24" x14ac:dyDescent="0.25">
      <c r="A63" s="92"/>
      <c r="B63" s="64"/>
      <c r="C63" s="61"/>
      <c r="D63" s="111"/>
      <c r="E63" s="92"/>
      <c r="F63" s="92"/>
      <c r="G63" s="93"/>
      <c r="H63" s="63"/>
    </row>
    <row r="64" spans="1:24" x14ac:dyDescent="0.25">
      <c r="A64" s="92"/>
      <c r="B64" s="64"/>
      <c r="C64" s="64"/>
      <c r="D64" s="111"/>
      <c r="E64" s="92"/>
      <c r="F64" s="92"/>
      <c r="G64" s="93"/>
      <c r="H64" s="63"/>
    </row>
    <row r="65" spans="1:8" x14ac:dyDescent="0.25">
      <c r="A65" s="92"/>
      <c r="B65" s="64"/>
      <c r="C65" s="64"/>
      <c r="D65" s="111"/>
      <c r="E65" s="92"/>
      <c r="F65" s="92"/>
      <c r="G65" s="93"/>
      <c r="H65" s="63"/>
    </row>
    <row r="66" spans="1:8" x14ac:dyDescent="0.25">
      <c r="A66" s="92"/>
      <c r="B66" s="64"/>
      <c r="C66" s="64"/>
      <c r="D66" s="111"/>
      <c r="E66" s="92"/>
      <c r="F66" s="92"/>
      <c r="G66" s="93"/>
      <c r="H66" s="63"/>
    </row>
    <row r="67" spans="1:8" x14ac:dyDescent="0.25">
      <c r="A67" s="92"/>
      <c r="B67" s="64"/>
      <c r="C67" s="61"/>
      <c r="D67" s="111"/>
      <c r="E67" s="92"/>
      <c r="F67" s="92"/>
      <c r="G67" s="93"/>
      <c r="H67" s="63"/>
    </row>
    <row r="68" spans="1:8" x14ac:dyDescent="0.25">
      <c r="A68" s="92"/>
      <c r="B68" s="64"/>
      <c r="C68" s="61"/>
      <c r="D68" s="111"/>
      <c r="E68" s="92"/>
      <c r="F68" s="92"/>
      <c r="G68" s="93"/>
      <c r="H68" s="63"/>
    </row>
    <row r="69" spans="1:8" x14ac:dyDescent="0.25">
      <c r="A69" s="92"/>
      <c r="B69" s="64"/>
      <c r="C69" s="61"/>
      <c r="D69" s="111"/>
      <c r="E69" s="92"/>
      <c r="F69" s="92"/>
      <c r="G69" s="93"/>
      <c r="H69" s="63"/>
    </row>
    <row r="70" spans="1:8" x14ac:dyDescent="0.25">
      <c r="A70" s="92"/>
      <c r="B70" s="64"/>
      <c r="C70" s="115"/>
      <c r="D70" s="111"/>
      <c r="E70" s="92"/>
      <c r="F70" s="92"/>
      <c r="G70" s="93"/>
      <c r="H70" s="63"/>
    </row>
    <row r="71" spans="1:8" x14ac:dyDescent="0.25">
      <c r="A71" s="92"/>
      <c r="B71" s="64"/>
      <c r="C71" s="61"/>
      <c r="D71" s="111"/>
      <c r="E71" s="92"/>
      <c r="F71" s="92"/>
      <c r="G71" s="93"/>
      <c r="H71" s="63"/>
    </row>
    <row r="72" spans="1:8" x14ac:dyDescent="0.25">
      <c r="A72" s="92"/>
      <c r="B72" s="64"/>
      <c r="C72" s="61"/>
      <c r="D72" s="124"/>
      <c r="E72" s="92"/>
      <c r="F72" s="92"/>
      <c r="G72" s="93"/>
      <c r="H72" s="63"/>
    </row>
    <row r="73" spans="1:8" x14ac:dyDescent="0.25">
      <c r="A73" s="92"/>
      <c r="B73" s="64"/>
      <c r="C73" s="61"/>
      <c r="D73" s="126"/>
      <c r="E73" s="92"/>
      <c r="F73" s="92"/>
      <c r="G73" s="93"/>
      <c r="H73" s="63"/>
    </row>
    <row r="74" spans="1:8" x14ac:dyDescent="0.25">
      <c r="A74" s="92"/>
      <c r="B74" s="64"/>
      <c r="C74" s="61"/>
      <c r="D74" s="111"/>
      <c r="E74" s="92"/>
      <c r="F74" s="92"/>
      <c r="G74" s="63"/>
      <c r="H74" s="63"/>
    </row>
    <row r="75" spans="1:8" x14ac:dyDescent="0.25">
      <c r="A75" s="92"/>
      <c r="B75" s="64"/>
      <c r="C75" s="61"/>
      <c r="D75" s="111"/>
      <c r="E75" s="92"/>
      <c r="F75" s="92"/>
      <c r="G75" s="63"/>
      <c r="H75" s="63"/>
    </row>
    <row r="76" spans="1:8" x14ac:dyDescent="0.25">
      <c r="A76" s="92"/>
      <c r="B76" s="64"/>
      <c r="C76" s="61"/>
      <c r="D76" s="111"/>
      <c r="E76" s="92"/>
      <c r="F76" s="92"/>
      <c r="G76" s="93"/>
      <c r="H76" s="63"/>
    </row>
    <row r="77" spans="1:8" x14ac:dyDescent="0.25">
      <c r="A77" s="92"/>
      <c r="B77" s="64"/>
      <c r="C77" s="61"/>
      <c r="D77" s="111"/>
      <c r="E77" s="92"/>
      <c r="F77" s="92"/>
      <c r="G77" s="63"/>
      <c r="H77" s="63"/>
    </row>
    <row r="78" spans="1:8" x14ac:dyDescent="0.25">
      <c r="A78" s="92"/>
      <c r="B78" s="64"/>
      <c r="C78" s="61"/>
      <c r="D78" s="111"/>
      <c r="E78" s="92"/>
      <c r="F78" s="92"/>
      <c r="G78" s="93"/>
      <c r="H78" s="63"/>
    </row>
    <row r="79" spans="1:8" x14ac:dyDescent="0.25">
      <c r="A79" s="92"/>
      <c r="B79" s="64"/>
      <c r="C79" s="51"/>
      <c r="D79" s="121"/>
      <c r="E79" s="92"/>
      <c r="F79" s="92"/>
      <c r="G79" s="93"/>
      <c r="H79" s="63"/>
    </row>
    <row r="80" spans="1:8" x14ac:dyDescent="0.25">
      <c r="A80" s="92"/>
      <c r="B80" s="64"/>
      <c r="C80" s="61"/>
      <c r="D80" s="111"/>
      <c r="E80" s="92"/>
      <c r="F80" s="92"/>
      <c r="G80" s="93"/>
      <c r="H80" s="63"/>
    </row>
    <row r="81" spans="1:8" x14ac:dyDescent="0.25">
      <c r="A81" s="92"/>
      <c r="B81" s="64"/>
      <c r="C81" s="64"/>
      <c r="D81" s="120"/>
      <c r="E81" s="92"/>
      <c r="F81" s="92"/>
      <c r="G81" s="63"/>
      <c r="H81" s="63"/>
    </row>
    <row r="82" spans="1:8" x14ac:dyDescent="0.25">
      <c r="A82" s="92"/>
      <c r="B82" s="64"/>
      <c r="C82" s="64"/>
      <c r="D82" s="120"/>
      <c r="E82" s="92"/>
      <c r="F82" s="92"/>
      <c r="G82" s="63"/>
      <c r="H82" s="63"/>
    </row>
    <row r="83" spans="1:8" x14ac:dyDescent="0.25">
      <c r="A83" s="92"/>
      <c r="B83" s="64"/>
      <c r="C83" s="64"/>
      <c r="D83" s="120"/>
      <c r="E83" s="92"/>
      <c r="F83" s="92"/>
      <c r="G83" s="93"/>
      <c r="H83" s="63"/>
    </row>
    <row r="84" spans="1:8" x14ac:dyDescent="0.25">
      <c r="A84" s="92"/>
      <c r="B84" s="64"/>
      <c r="C84" s="64"/>
      <c r="D84" s="120"/>
      <c r="E84" s="92"/>
      <c r="F84" s="92"/>
      <c r="G84" s="93"/>
      <c r="H84" s="63"/>
    </row>
    <row r="85" spans="1:8" x14ac:dyDescent="0.25">
      <c r="A85" s="92"/>
      <c r="B85" s="64"/>
      <c r="C85" s="64"/>
      <c r="D85" s="120"/>
      <c r="E85" s="92"/>
      <c r="F85" s="92"/>
      <c r="G85" s="93"/>
      <c r="H85" s="63"/>
    </row>
    <row r="86" spans="1:8" x14ac:dyDescent="0.25">
      <c r="A86" s="92"/>
      <c r="B86" s="64"/>
      <c r="C86" s="64"/>
      <c r="D86" s="120"/>
      <c r="E86" s="92"/>
      <c r="F86" s="92"/>
      <c r="G86" s="93"/>
      <c r="H86" s="63"/>
    </row>
    <row r="87" spans="1:8" x14ac:dyDescent="0.25">
      <c r="A87" s="92"/>
      <c r="B87" s="64"/>
      <c r="C87" s="64"/>
      <c r="D87" s="120"/>
      <c r="E87" s="92"/>
      <c r="F87" s="92"/>
      <c r="G87" s="63"/>
      <c r="H87" s="63"/>
    </row>
    <row r="88" spans="1:8" x14ac:dyDescent="0.25">
      <c r="A88" s="92"/>
      <c r="B88" s="64"/>
      <c r="C88" s="64"/>
      <c r="D88" s="120"/>
      <c r="E88" s="92"/>
      <c r="F88" s="92"/>
      <c r="G88" s="93"/>
      <c r="H88" s="63"/>
    </row>
    <row r="89" spans="1:8" x14ac:dyDescent="0.25">
      <c r="A89" s="92"/>
      <c r="B89" s="64"/>
      <c r="C89" s="64"/>
      <c r="D89" s="120"/>
      <c r="E89" s="92"/>
      <c r="F89" s="92"/>
      <c r="G89" s="93"/>
      <c r="H89" s="63"/>
    </row>
    <row r="90" spans="1:8" x14ac:dyDescent="0.25">
      <c r="A90" s="92"/>
      <c r="B90" s="64"/>
      <c r="C90" s="64"/>
      <c r="D90" s="120"/>
      <c r="E90" s="92"/>
      <c r="F90" s="92"/>
      <c r="G90" s="93"/>
      <c r="H90" s="63"/>
    </row>
    <row r="91" spans="1:8" x14ac:dyDescent="0.25">
      <c r="A91" s="92"/>
      <c r="B91" s="64"/>
      <c r="C91" s="64"/>
      <c r="D91" s="120"/>
      <c r="E91" s="92"/>
      <c r="F91" s="92"/>
      <c r="G91" s="93"/>
      <c r="H91" s="63"/>
    </row>
    <row r="92" spans="1:8" x14ac:dyDescent="0.25">
      <c r="A92" s="92"/>
      <c r="B92" s="64"/>
      <c r="C92" s="64"/>
      <c r="D92" s="120"/>
      <c r="E92" s="92"/>
      <c r="F92" s="92"/>
      <c r="G92" s="93"/>
      <c r="H92" s="63"/>
    </row>
    <row r="93" spans="1:8" x14ac:dyDescent="0.25">
      <c r="A93" s="92"/>
      <c r="B93" s="64"/>
      <c r="C93" s="64"/>
      <c r="D93" s="120"/>
      <c r="E93" s="92"/>
      <c r="F93" s="92"/>
      <c r="G93" s="93"/>
      <c r="H93" s="63"/>
    </row>
    <row r="94" spans="1:8" x14ac:dyDescent="0.25">
      <c r="A94" s="92"/>
      <c r="B94" s="64"/>
      <c r="C94" s="64"/>
      <c r="D94" s="120"/>
      <c r="E94" s="92"/>
      <c r="F94" s="92"/>
      <c r="G94" s="93"/>
      <c r="H94" s="63"/>
    </row>
    <row r="95" spans="1:8" x14ac:dyDescent="0.25">
      <c r="A95" s="92"/>
      <c r="B95" s="64"/>
      <c r="C95" s="64"/>
      <c r="D95" s="120"/>
      <c r="E95" s="92"/>
      <c r="F95" s="92"/>
      <c r="G95" s="93"/>
      <c r="H95" s="63"/>
    </row>
    <row r="96" spans="1:8" x14ac:dyDescent="0.25">
      <c r="A96" s="92"/>
      <c r="B96" s="64"/>
      <c r="C96" s="64"/>
      <c r="D96" s="120"/>
      <c r="E96" s="92"/>
      <c r="F96" s="92"/>
      <c r="G96" s="93"/>
      <c r="H96" s="63"/>
    </row>
    <row r="97" spans="1:8" x14ac:dyDescent="0.25">
      <c r="A97" s="92"/>
      <c r="B97" s="64"/>
      <c r="C97" s="64"/>
      <c r="D97" s="120"/>
      <c r="E97" s="92"/>
      <c r="F97" s="92"/>
      <c r="G97" s="93"/>
      <c r="H97" s="63"/>
    </row>
    <row r="98" spans="1:8" x14ac:dyDescent="0.25">
      <c r="A98" s="92"/>
      <c r="B98" s="64"/>
      <c r="C98" s="64"/>
      <c r="D98" s="120"/>
      <c r="E98" s="92"/>
      <c r="F98" s="92"/>
      <c r="G98" s="63"/>
      <c r="H98" s="63"/>
    </row>
    <row r="99" spans="1:8" x14ac:dyDescent="0.25">
      <c r="A99" s="92"/>
      <c r="B99" s="64"/>
      <c r="C99" s="64"/>
      <c r="D99" s="120"/>
      <c r="E99" s="92"/>
      <c r="F99" s="92"/>
      <c r="G99" s="92"/>
      <c r="H99" s="92"/>
    </row>
    <row r="100" spans="1:8" x14ac:dyDescent="0.25">
      <c r="A100" s="92"/>
      <c r="B100" s="64"/>
      <c r="C100" s="64"/>
      <c r="D100" s="120"/>
      <c r="E100" s="92"/>
      <c r="F100" s="92"/>
      <c r="G100" s="112"/>
      <c r="H100" s="92"/>
    </row>
    <row r="101" spans="1:8" x14ac:dyDescent="0.25">
      <c r="A101" s="116"/>
      <c r="B101" s="63"/>
      <c r="C101" s="116"/>
      <c r="D101" s="111"/>
      <c r="F101" s="63"/>
    </row>
    <row r="102" spans="1:8" x14ac:dyDescent="0.25">
      <c r="A102" s="92"/>
      <c r="B102" s="64"/>
      <c r="C102" s="64"/>
      <c r="D102" s="120"/>
      <c r="F102" s="63"/>
      <c r="G102" s="93"/>
      <c r="H102" s="63"/>
    </row>
    <row r="103" spans="1:8" x14ac:dyDescent="0.25">
      <c r="A103" s="92"/>
      <c r="B103" s="64"/>
      <c r="C103" s="64"/>
      <c r="D103" s="120"/>
      <c r="E103" s="92"/>
      <c r="F103" s="92"/>
      <c r="G103" s="93"/>
      <c r="H103" s="63"/>
    </row>
    <row r="104" spans="1:8" x14ac:dyDescent="0.25">
      <c r="A104" s="92"/>
      <c r="B104" s="64"/>
      <c r="C104" s="64"/>
      <c r="D104" s="120"/>
      <c r="E104" s="92"/>
      <c r="F104" s="92"/>
      <c r="G104" s="93"/>
      <c r="H104" s="63"/>
    </row>
    <row r="105" spans="1:8" x14ac:dyDescent="0.25">
      <c r="A105" s="92"/>
      <c r="B105" s="64"/>
      <c r="C105" s="64"/>
      <c r="D105" s="120"/>
      <c r="E105" s="92"/>
      <c r="F105" s="92"/>
      <c r="G105" s="93"/>
      <c r="H105" s="63"/>
    </row>
    <row r="106" spans="1:8" x14ac:dyDescent="0.25">
      <c r="A106" s="92"/>
      <c r="B106" s="64"/>
      <c r="C106" s="64"/>
      <c r="D106" s="120"/>
      <c r="E106" s="92"/>
      <c r="F106" s="92"/>
      <c r="G106" s="93"/>
      <c r="H106" s="63"/>
    </row>
    <row r="107" spans="1:8" x14ac:dyDescent="0.25">
      <c r="A107" s="92"/>
      <c r="B107" s="64"/>
      <c r="C107" s="64"/>
      <c r="D107" s="120"/>
      <c r="E107" s="92"/>
      <c r="F107" s="92"/>
      <c r="G107" s="93"/>
      <c r="H107" s="63"/>
    </row>
    <row r="108" spans="1:8" x14ac:dyDescent="0.25">
      <c r="A108" s="92"/>
      <c r="B108" s="64"/>
      <c r="C108" s="64"/>
      <c r="D108" s="120"/>
      <c r="E108" s="92"/>
      <c r="F108" s="92"/>
      <c r="G108" s="93"/>
      <c r="H108" s="63"/>
    </row>
    <row r="109" spans="1:8" x14ac:dyDescent="0.25">
      <c r="A109" s="92"/>
      <c r="B109" s="64"/>
      <c r="C109" s="51"/>
      <c r="D109" s="121"/>
      <c r="E109" s="92"/>
      <c r="F109" s="92"/>
      <c r="G109" s="93"/>
      <c r="H109" s="63"/>
    </row>
    <row r="110" spans="1:8" x14ac:dyDescent="0.25">
      <c r="A110" s="92"/>
      <c r="B110" s="64"/>
      <c r="C110" s="64"/>
      <c r="D110" s="120"/>
      <c r="E110" s="92"/>
      <c r="F110" s="92"/>
      <c r="G110" s="93"/>
      <c r="H110" s="63"/>
    </row>
    <row r="111" spans="1:8" x14ac:dyDescent="0.25">
      <c r="A111" s="92"/>
      <c r="B111" s="64"/>
      <c r="C111" s="64"/>
      <c r="D111" s="120"/>
      <c r="E111" s="92"/>
      <c r="F111" s="92"/>
      <c r="G111" s="93"/>
      <c r="H111" s="63"/>
    </row>
    <row r="112" spans="1:8" x14ac:dyDescent="0.25">
      <c r="A112" s="92"/>
      <c r="B112" s="64"/>
      <c r="C112" s="64"/>
      <c r="D112" s="120"/>
      <c r="E112" s="92"/>
      <c r="F112" s="92"/>
      <c r="G112" s="93"/>
      <c r="H112" s="63"/>
    </row>
    <row r="113" spans="1:8" x14ac:dyDescent="0.25">
      <c r="A113" s="92"/>
      <c r="B113" s="64"/>
      <c r="C113" s="64"/>
      <c r="D113" s="120"/>
      <c r="E113" s="92"/>
      <c r="F113" s="92"/>
      <c r="G113" s="63"/>
      <c r="H113" s="63"/>
    </row>
    <row r="114" spans="1:8" x14ac:dyDescent="0.25">
      <c r="A114" s="92"/>
      <c r="B114" s="64"/>
      <c r="C114" s="64"/>
      <c r="D114" s="120"/>
      <c r="E114" s="92"/>
      <c r="F114" s="92"/>
      <c r="G114" s="93"/>
      <c r="H114" s="63"/>
    </row>
    <row r="115" spans="1:8" x14ac:dyDescent="0.25">
      <c r="A115" s="92"/>
      <c r="B115" s="64"/>
      <c r="C115" s="64"/>
      <c r="D115" s="120"/>
      <c r="E115" s="92"/>
      <c r="F115" s="92"/>
      <c r="G115" s="63"/>
      <c r="H115" s="63"/>
    </row>
    <row r="116" spans="1:8" x14ac:dyDescent="0.25">
      <c r="A116" s="92"/>
      <c r="B116" s="64"/>
      <c r="C116" s="64"/>
      <c r="D116" s="120"/>
      <c r="E116" s="92"/>
      <c r="F116" s="92"/>
      <c r="G116" s="63"/>
      <c r="H116" s="63"/>
    </row>
    <row r="117" spans="1:8" x14ac:dyDescent="0.25">
      <c r="A117" s="92"/>
      <c r="B117" s="64"/>
      <c r="C117" s="64"/>
      <c r="D117" s="120"/>
      <c r="E117" s="92"/>
      <c r="F117" s="92"/>
      <c r="G117" s="63"/>
      <c r="H117" s="63"/>
    </row>
    <row r="118" spans="1:8" x14ac:dyDescent="0.25">
      <c r="A118" s="92"/>
      <c r="B118" s="64"/>
      <c r="C118" s="64"/>
      <c r="D118" s="120"/>
      <c r="E118" s="92"/>
      <c r="F118" s="92"/>
      <c r="G118" s="63"/>
      <c r="H118" s="63"/>
    </row>
    <row r="119" spans="1:8" x14ac:dyDescent="0.25">
      <c r="A119" s="92"/>
      <c r="B119" s="64"/>
      <c r="C119" s="64"/>
      <c r="D119" s="120"/>
      <c r="E119" s="92"/>
      <c r="F119" s="92"/>
      <c r="G119" s="63"/>
      <c r="H119" s="63"/>
    </row>
    <row r="120" spans="1:8" x14ac:dyDescent="0.25">
      <c r="A120" s="92"/>
      <c r="B120" s="64"/>
      <c r="C120" s="64"/>
      <c r="D120" s="120"/>
      <c r="E120" s="92"/>
      <c r="F120" s="92"/>
      <c r="G120" s="93"/>
      <c r="H120" s="63"/>
    </row>
    <row r="121" spans="1:8" x14ac:dyDescent="0.25">
      <c r="A121" s="92"/>
      <c r="B121" s="64"/>
      <c r="C121" s="64"/>
      <c r="D121" s="120"/>
      <c r="E121" s="92"/>
      <c r="F121" s="92"/>
      <c r="G121" s="93"/>
      <c r="H121" s="63"/>
    </row>
    <row r="122" spans="1:8" x14ac:dyDescent="0.25">
      <c r="A122" s="92"/>
      <c r="B122" s="64"/>
      <c r="C122" s="64"/>
      <c r="D122" s="120"/>
      <c r="E122" s="92"/>
      <c r="F122" s="92"/>
      <c r="G122" s="63"/>
      <c r="H122" s="63"/>
    </row>
    <row r="123" spans="1:8" x14ac:dyDescent="0.25">
      <c r="A123" s="92"/>
      <c r="B123" s="64"/>
      <c r="C123" s="64"/>
      <c r="D123" s="120"/>
      <c r="E123" s="92"/>
      <c r="F123" s="92"/>
      <c r="G123" s="63"/>
      <c r="H123" s="63"/>
    </row>
    <row r="124" spans="1:8" x14ac:dyDescent="0.25">
      <c r="A124" s="92"/>
      <c r="B124" s="64"/>
      <c r="C124" s="64"/>
      <c r="D124" s="120"/>
      <c r="E124" s="92"/>
      <c r="F124" s="92"/>
      <c r="G124" s="63"/>
      <c r="H124" s="63"/>
    </row>
    <row r="125" spans="1:8" x14ac:dyDescent="0.25">
      <c r="A125" s="92"/>
      <c r="B125" s="64"/>
      <c r="C125" s="64"/>
      <c r="D125" s="120"/>
      <c r="E125" s="92"/>
      <c r="F125" s="92"/>
      <c r="G125" s="63"/>
      <c r="H125" s="63"/>
    </row>
    <row r="126" spans="1:8" x14ac:dyDescent="0.25">
      <c r="A126" s="92"/>
      <c r="B126" s="64"/>
      <c r="C126" s="64"/>
      <c r="D126" s="120"/>
      <c r="E126" s="92"/>
      <c r="F126" s="92"/>
      <c r="G126" s="63"/>
      <c r="H126" s="63"/>
    </row>
    <row r="127" spans="1:8" x14ac:dyDescent="0.25">
      <c r="A127" s="92"/>
      <c r="B127" s="64"/>
      <c r="C127" s="64"/>
      <c r="D127" s="120"/>
      <c r="E127" s="92"/>
      <c r="F127" s="92"/>
      <c r="G127" s="63"/>
      <c r="H127" s="63"/>
    </row>
    <row r="128" spans="1:8" x14ac:dyDescent="0.25">
      <c r="A128" s="92"/>
      <c r="B128" s="64"/>
      <c r="C128" s="64"/>
      <c r="D128" s="120"/>
      <c r="E128" s="92"/>
      <c r="F128" s="92"/>
      <c r="G128" s="63"/>
      <c r="H128" s="63"/>
    </row>
    <row r="129" spans="1:8" x14ac:dyDescent="0.25">
      <c r="A129" s="92"/>
      <c r="B129" s="64"/>
      <c r="C129" s="64"/>
      <c r="D129" s="120"/>
      <c r="E129" s="92"/>
      <c r="F129" s="92"/>
      <c r="G129" s="63"/>
      <c r="H129" s="63"/>
    </row>
    <row r="130" spans="1:8" x14ac:dyDescent="0.25">
      <c r="A130" s="92"/>
      <c r="B130" s="64"/>
      <c r="C130" s="64"/>
      <c r="D130" s="120"/>
      <c r="E130" s="92"/>
      <c r="F130" s="92"/>
      <c r="G130" s="63"/>
      <c r="H130" s="63"/>
    </row>
    <row r="131" spans="1:8" x14ac:dyDescent="0.25">
      <c r="A131" s="92"/>
      <c r="B131" s="64"/>
      <c r="C131" s="64"/>
      <c r="D131" s="120"/>
      <c r="E131" s="92"/>
      <c r="F131" s="92"/>
      <c r="G131" s="63"/>
      <c r="H131" s="63"/>
    </row>
    <row r="132" spans="1:8" x14ac:dyDescent="0.25">
      <c r="A132" s="92"/>
      <c r="B132" s="64"/>
      <c r="C132" s="61"/>
      <c r="D132" s="111"/>
      <c r="E132" s="92"/>
      <c r="F132" s="92"/>
      <c r="G132" s="93"/>
      <c r="H132" s="63"/>
    </row>
    <row r="133" spans="1:8" x14ac:dyDescent="0.25">
      <c r="A133" s="92"/>
      <c r="B133" s="64"/>
      <c r="C133" s="64"/>
      <c r="D133" s="120"/>
      <c r="E133" s="92"/>
      <c r="F133" s="92"/>
      <c r="G133" s="63"/>
      <c r="H133" s="63"/>
    </row>
    <row r="134" spans="1:8" x14ac:dyDescent="0.25">
      <c r="A134" s="92"/>
      <c r="B134" s="64"/>
      <c r="C134" s="64"/>
      <c r="D134" s="120"/>
      <c r="E134" s="92"/>
      <c r="F134" s="92"/>
      <c r="G134" s="63"/>
      <c r="H134" s="63"/>
    </row>
    <row r="135" spans="1:8" x14ac:dyDescent="0.25">
      <c r="A135" s="92"/>
      <c r="B135" s="64"/>
      <c r="C135" s="64"/>
      <c r="D135" s="120"/>
      <c r="E135" s="92"/>
      <c r="F135" s="92"/>
      <c r="G135" s="63"/>
      <c r="H135" s="63"/>
    </row>
    <row r="136" spans="1:8" x14ac:dyDescent="0.25">
      <c r="A136" s="92"/>
      <c r="B136" s="64"/>
      <c r="C136" s="64"/>
      <c r="D136" s="120"/>
      <c r="E136" s="92"/>
      <c r="F136" s="92"/>
      <c r="G136" s="63"/>
      <c r="H136" s="63"/>
    </row>
    <row r="137" spans="1:8" x14ac:dyDescent="0.25">
      <c r="A137" s="92"/>
      <c r="B137" s="64"/>
      <c r="C137" s="64"/>
      <c r="D137" s="120"/>
      <c r="E137" s="92"/>
      <c r="F137" s="92"/>
      <c r="G137" s="63"/>
      <c r="H137" s="63"/>
    </row>
    <row r="138" spans="1:8" x14ac:dyDescent="0.25">
      <c r="A138" s="92"/>
      <c r="B138" s="64"/>
      <c r="C138" s="64"/>
      <c r="D138" s="120"/>
      <c r="E138" s="92"/>
      <c r="F138" s="92"/>
      <c r="G138" s="63"/>
      <c r="H138" s="63"/>
    </row>
    <row r="139" spans="1:8" x14ac:dyDescent="0.25">
      <c r="A139" s="92"/>
      <c r="B139" s="64"/>
      <c r="C139" s="64"/>
      <c r="D139" s="120"/>
      <c r="E139" s="92"/>
      <c r="F139" s="92"/>
      <c r="G139" s="63"/>
      <c r="H139" s="63"/>
    </row>
    <row r="140" spans="1:8" x14ac:dyDescent="0.25">
      <c r="A140" s="92"/>
      <c r="B140" s="64"/>
      <c r="C140" s="64"/>
      <c r="D140" s="120"/>
      <c r="E140" s="92"/>
      <c r="F140" s="92"/>
      <c r="G140" s="63"/>
      <c r="H140" s="63"/>
    </row>
    <row r="141" spans="1:8" x14ac:dyDescent="0.25">
      <c r="A141" s="92"/>
      <c r="B141" s="64"/>
      <c r="C141" s="64"/>
      <c r="D141" s="120"/>
      <c r="E141" s="92"/>
      <c r="F141" s="92"/>
      <c r="G141" s="63"/>
      <c r="H141" s="63"/>
    </row>
    <row r="142" spans="1:8" x14ac:dyDescent="0.25">
      <c r="A142" s="92"/>
      <c r="B142" s="64"/>
      <c r="C142" s="64"/>
      <c r="D142" s="120"/>
      <c r="E142" s="92"/>
      <c r="F142" s="92"/>
      <c r="G142" s="63"/>
      <c r="H142" s="63"/>
    </row>
    <row r="143" spans="1:8" x14ac:dyDescent="0.25">
      <c r="A143" s="92"/>
      <c r="B143" s="64"/>
      <c r="C143" s="64"/>
      <c r="D143" s="120"/>
      <c r="E143" s="92"/>
      <c r="F143" s="92"/>
      <c r="G143" s="63"/>
      <c r="H143" s="63"/>
    </row>
    <row r="144" spans="1:8" x14ac:dyDescent="0.25">
      <c r="A144" s="92"/>
      <c r="B144" s="64"/>
      <c r="C144" s="64"/>
      <c r="D144" s="120"/>
      <c r="E144" s="92"/>
      <c r="F144" s="92"/>
      <c r="G144" s="63"/>
      <c r="H144" s="63"/>
    </row>
    <row r="145" spans="1:8" x14ac:dyDescent="0.25">
      <c r="A145" s="92"/>
      <c r="B145" s="64"/>
      <c r="C145" s="64"/>
      <c r="D145" s="120"/>
      <c r="E145" s="92"/>
      <c r="F145" s="92"/>
      <c r="G145" s="63"/>
      <c r="H145" s="63"/>
    </row>
    <row r="146" spans="1:8" x14ac:dyDescent="0.25">
      <c r="A146" s="92"/>
      <c r="B146" s="64"/>
      <c r="C146" s="64"/>
      <c r="D146" s="120"/>
      <c r="E146" s="92"/>
      <c r="F146" s="92"/>
      <c r="G146" s="63"/>
      <c r="H146" s="63"/>
    </row>
    <row r="147" spans="1:8" x14ac:dyDescent="0.25">
      <c r="A147" s="92"/>
      <c r="B147" s="64"/>
      <c r="C147" s="64"/>
      <c r="D147" s="120"/>
      <c r="E147" s="92"/>
      <c r="F147" s="92"/>
      <c r="G147" s="63"/>
      <c r="H147" s="63"/>
    </row>
    <row r="148" spans="1:8" x14ac:dyDescent="0.25">
      <c r="A148" s="92"/>
      <c r="B148" s="64"/>
      <c r="C148" s="64"/>
      <c r="D148" s="120"/>
      <c r="E148" s="92"/>
      <c r="F148" s="92"/>
      <c r="G148" s="63"/>
      <c r="H148" s="63"/>
    </row>
    <row r="149" spans="1:8" x14ac:dyDescent="0.25">
      <c r="A149" s="92"/>
      <c r="B149" s="64"/>
      <c r="C149" s="64"/>
      <c r="D149" s="120"/>
      <c r="E149" s="92"/>
      <c r="F149" s="92"/>
      <c r="G149" s="63"/>
      <c r="H149" s="63"/>
    </row>
    <row r="150" spans="1:8" x14ac:dyDescent="0.25">
      <c r="A150" s="92"/>
      <c r="B150" s="64"/>
      <c r="C150" s="64"/>
      <c r="D150" s="120"/>
      <c r="E150" s="92"/>
      <c r="F150" s="92"/>
      <c r="G150" s="63"/>
      <c r="H150" s="63"/>
    </row>
    <row r="151" spans="1:8" x14ac:dyDescent="0.25">
      <c r="A151" s="92"/>
      <c r="B151" s="64"/>
      <c r="C151" s="64"/>
      <c r="D151" s="120"/>
      <c r="E151" s="92"/>
      <c r="F151" s="92"/>
      <c r="G151" s="63"/>
      <c r="H151" s="63"/>
    </row>
    <row r="152" spans="1:8" x14ac:dyDescent="0.25">
      <c r="A152" s="92"/>
      <c r="B152" s="64"/>
      <c r="C152" s="64"/>
      <c r="D152" s="120"/>
      <c r="E152" s="92"/>
      <c r="F152" s="92"/>
      <c r="G152" s="63"/>
      <c r="H152" s="63"/>
    </row>
    <row r="153" spans="1:8" x14ac:dyDescent="0.25">
      <c r="A153" s="92"/>
      <c r="B153" s="64"/>
      <c r="C153" s="64"/>
      <c r="D153" s="120"/>
      <c r="E153" s="92"/>
      <c r="F153" s="92"/>
      <c r="G153" s="63"/>
      <c r="H153" s="63"/>
    </row>
    <row r="154" spans="1:8" x14ac:dyDescent="0.25">
      <c r="A154" s="92"/>
      <c r="B154" s="64"/>
      <c r="C154" s="64"/>
      <c r="D154" s="120"/>
      <c r="E154" s="92"/>
      <c r="F154" s="92"/>
      <c r="G154" s="63"/>
      <c r="H154" s="63"/>
    </row>
    <row r="155" spans="1:8" x14ac:dyDescent="0.25">
      <c r="A155" s="92"/>
      <c r="B155" s="64"/>
      <c r="C155" s="64"/>
      <c r="D155" s="120"/>
      <c r="E155" s="92"/>
      <c r="F155" s="92"/>
      <c r="G155" s="63"/>
      <c r="H155" s="63"/>
    </row>
    <row r="156" spans="1:8" x14ac:dyDescent="0.25">
      <c r="A156" s="92"/>
      <c r="B156" s="64"/>
      <c r="C156" s="64"/>
      <c r="D156" s="120"/>
      <c r="E156" s="92"/>
      <c r="F156" s="92"/>
      <c r="G156" s="63"/>
      <c r="H156" s="63"/>
    </row>
    <row r="157" spans="1:8" x14ac:dyDescent="0.25">
      <c r="A157" s="92"/>
      <c r="B157" s="64"/>
      <c r="C157" s="64"/>
      <c r="D157" s="120"/>
      <c r="E157" s="92"/>
      <c r="F157" s="92"/>
      <c r="G157" s="63"/>
      <c r="H157" s="63"/>
    </row>
    <row r="158" spans="1:8" x14ac:dyDescent="0.25">
      <c r="A158" s="92"/>
      <c r="B158" s="64"/>
      <c r="C158" s="64"/>
      <c r="D158" s="120"/>
      <c r="E158" s="92"/>
      <c r="F158" s="92"/>
      <c r="G158" s="63"/>
      <c r="H158" s="63"/>
    </row>
    <row r="159" spans="1:8" x14ac:dyDescent="0.25">
      <c r="A159" s="92"/>
      <c r="B159" s="64"/>
      <c r="C159" s="64"/>
      <c r="D159" s="120"/>
      <c r="E159" s="92"/>
      <c r="F159" s="92"/>
      <c r="G159" s="63"/>
      <c r="H159" s="63"/>
    </row>
    <row r="160" spans="1:8" x14ac:dyDescent="0.25">
      <c r="A160" s="92"/>
      <c r="B160" s="64"/>
      <c r="C160" s="64"/>
      <c r="D160" s="120"/>
      <c r="E160" s="92"/>
      <c r="F160" s="92"/>
      <c r="G160" s="63"/>
      <c r="H160" s="63"/>
    </row>
    <row r="161" spans="1:8" x14ac:dyDescent="0.25">
      <c r="A161" s="92"/>
      <c r="B161" s="64"/>
      <c r="C161" s="64"/>
      <c r="D161" s="120"/>
      <c r="E161" s="92"/>
      <c r="F161" s="92"/>
      <c r="G161" s="63"/>
      <c r="H161" s="63"/>
    </row>
    <row r="162" spans="1:8" x14ac:dyDescent="0.25">
      <c r="A162" s="92"/>
      <c r="B162" s="64"/>
      <c r="C162" s="64"/>
      <c r="D162" s="120"/>
      <c r="E162" s="92"/>
      <c r="F162" s="92"/>
      <c r="G162" s="63"/>
      <c r="H162" s="63"/>
    </row>
    <row r="163" spans="1:8" x14ac:dyDescent="0.25">
      <c r="A163" s="92"/>
      <c r="B163" s="64"/>
      <c r="C163" s="64"/>
      <c r="D163" s="120"/>
      <c r="E163" s="92"/>
      <c r="F163" s="92"/>
      <c r="G163" s="63"/>
      <c r="H163" s="63"/>
    </row>
    <row r="164" spans="1:8" x14ac:dyDescent="0.25">
      <c r="A164" s="92"/>
      <c r="B164" s="64"/>
      <c r="C164" s="64"/>
      <c r="D164" s="120"/>
      <c r="E164" s="92"/>
      <c r="F164" s="92"/>
      <c r="G164" s="63"/>
      <c r="H164" s="63"/>
    </row>
    <row r="165" spans="1:8" x14ac:dyDescent="0.25">
      <c r="A165" s="92"/>
      <c r="B165" s="64"/>
      <c r="C165" s="64"/>
      <c r="D165" s="120"/>
      <c r="E165" s="92"/>
      <c r="F165" s="92"/>
      <c r="G165" s="63"/>
      <c r="H165" s="63"/>
    </row>
    <row r="166" spans="1:8" x14ac:dyDescent="0.25">
      <c r="A166" s="92"/>
      <c r="B166" s="64"/>
      <c r="C166" s="64"/>
      <c r="D166" s="120"/>
      <c r="E166" s="92"/>
      <c r="F166" s="92"/>
      <c r="G166" s="63"/>
      <c r="H166" s="63"/>
    </row>
    <row r="167" spans="1:8" x14ac:dyDescent="0.25">
      <c r="A167" s="92"/>
      <c r="B167" s="64"/>
      <c r="C167" s="64"/>
      <c r="D167" s="120"/>
      <c r="E167" s="92"/>
      <c r="F167" s="92"/>
      <c r="G167" s="63"/>
      <c r="H167" s="63"/>
    </row>
    <row r="168" spans="1:8" x14ac:dyDescent="0.25">
      <c r="A168" s="92"/>
      <c r="B168" s="64"/>
      <c r="C168" s="64"/>
      <c r="D168" s="120"/>
      <c r="E168" s="92"/>
      <c r="F168" s="92"/>
      <c r="G168" s="63"/>
      <c r="H168" s="63"/>
    </row>
    <row r="169" spans="1:8" x14ac:dyDescent="0.25">
      <c r="A169" s="92"/>
      <c r="B169" s="64"/>
      <c r="C169" s="64"/>
      <c r="D169" s="120"/>
      <c r="E169" s="92"/>
      <c r="F169" s="92"/>
      <c r="G169" s="63"/>
      <c r="H169" s="63"/>
    </row>
    <row r="170" spans="1:8" x14ac:dyDescent="0.25">
      <c r="A170" s="92"/>
      <c r="B170" s="64"/>
      <c r="C170" s="64"/>
      <c r="D170" s="120"/>
      <c r="E170" s="92"/>
      <c r="F170" s="92"/>
      <c r="G170" s="63"/>
      <c r="H170" s="63"/>
    </row>
  </sheetData>
  <mergeCells count="2">
    <mergeCell ref="A1:H1"/>
    <mergeCell ref="A56:J57"/>
  </mergeCells>
  <phoneticPr fontId="4" type="noConversion"/>
  <pageMargins left="0.75" right="0.75" top="1" bottom="1" header="0.5" footer="0.5"/>
  <pageSetup orientation="landscape"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X175"/>
  <sheetViews>
    <sheetView workbookViewId="0">
      <pane ySplit="2" topLeftCell="A69" activePane="bottomLeft" state="frozen"/>
      <selection pane="bottomLeft" activeCell="D81" sqref="D81"/>
    </sheetView>
  </sheetViews>
  <sheetFormatPr defaultColWidth="24.5703125" defaultRowHeight="13.5" x14ac:dyDescent="0.25"/>
  <cols>
    <col min="1" max="1" width="10.42578125" style="98" bestFit="1" customWidth="1"/>
    <col min="2" max="2" width="13.5703125" style="98" bestFit="1" customWidth="1"/>
    <col min="3" max="3" width="29.42578125" style="98" bestFit="1" customWidth="1"/>
    <col min="4" max="4" width="57.42578125" style="95" customWidth="1"/>
    <col min="5" max="5" width="10.42578125" style="98" bestFit="1" customWidth="1"/>
    <col min="6" max="6" width="10.5703125" style="98" bestFit="1" customWidth="1"/>
    <col min="7" max="7" width="20" style="95" bestFit="1" customWidth="1"/>
    <col min="8" max="8" width="15.42578125" style="96" customWidth="1"/>
    <col min="9" max="10" width="24.5703125" style="80" customWidth="1"/>
    <col min="11" max="24" width="24.5703125" style="81" customWidth="1"/>
    <col min="25" max="16384" width="24.5703125" style="82"/>
  </cols>
  <sheetData>
    <row r="1" spans="1:24" s="78" customFormat="1" ht="26.25" x14ac:dyDescent="0.35">
      <c r="A1" s="540" t="s">
        <v>1438</v>
      </c>
      <c r="B1" s="540"/>
      <c r="C1" s="540"/>
      <c r="D1" s="540"/>
      <c r="E1" s="540"/>
      <c r="F1" s="540"/>
      <c r="G1" s="540"/>
      <c r="H1" s="540"/>
      <c r="I1" s="76"/>
      <c r="J1" s="76"/>
      <c r="K1" s="77"/>
      <c r="L1" s="77"/>
      <c r="M1" s="77"/>
      <c r="N1" s="77"/>
      <c r="O1" s="77"/>
      <c r="P1" s="77"/>
      <c r="Q1" s="77"/>
      <c r="R1" s="77"/>
      <c r="S1" s="77"/>
      <c r="T1" s="77"/>
      <c r="U1" s="77"/>
      <c r="V1" s="77"/>
      <c r="W1" s="77"/>
      <c r="X1" s="77"/>
    </row>
    <row r="2" spans="1:24" ht="26.25" x14ac:dyDescent="0.25">
      <c r="A2" s="79" t="s">
        <v>423</v>
      </c>
      <c r="B2" s="59" t="s">
        <v>1439</v>
      </c>
      <c r="C2" s="59" t="s">
        <v>1440</v>
      </c>
      <c r="D2" s="59" t="s">
        <v>426</v>
      </c>
      <c r="E2" s="79" t="s">
        <v>427</v>
      </c>
      <c r="F2" s="79" t="s">
        <v>428</v>
      </c>
      <c r="G2" s="59" t="s">
        <v>1671</v>
      </c>
      <c r="H2" s="79" t="s">
        <v>452</v>
      </c>
    </row>
    <row r="3" spans="1:24" x14ac:dyDescent="0.25">
      <c r="A3" s="62" t="s">
        <v>1457</v>
      </c>
      <c r="B3" s="60" t="s">
        <v>1458</v>
      </c>
      <c r="C3" s="60" t="s">
        <v>1459</v>
      </c>
      <c r="D3" s="62" t="s">
        <v>1460</v>
      </c>
      <c r="E3" s="62" t="s">
        <v>1461</v>
      </c>
      <c r="F3" s="62" t="s">
        <v>834</v>
      </c>
      <c r="G3" s="83">
        <v>39988</v>
      </c>
      <c r="H3" s="62" t="s">
        <v>993</v>
      </c>
    </row>
    <row r="4" spans="1:24" x14ac:dyDescent="0.25">
      <c r="A4" s="62" t="s">
        <v>1462</v>
      </c>
      <c r="B4" s="60" t="s">
        <v>1463</v>
      </c>
      <c r="C4" s="60" t="s">
        <v>1465</v>
      </c>
      <c r="D4" s="62" t="s">
        <v>1480</v>
      </c>
      <c r="E4" s="62" t="s">
        <v>1466</v>
      </c>
      <c r="F4" s="62" t="s">
        <v>961</v>
      </c>
      <c r="G4" s="83">
        <v>39826</v>
      </c>
      <c r="H4" s="62" t="s">
        <v>993</v>
      </c>
    </row>
    <row r="5" spans="1:24" x14ac:dyDescent="0.25">
      <c r="A5" s="62" t="s">
        <v>1467</v>
      </c>
      <c r="B5" s="60" t="s">
        <v>1468</v>
      </c>
      <c r="C5" s="60" t="s">
        <v>1469</v>
      </c>
      <c r="D5" s="62" t="s">
        <v>1470</v>
      </c>
      <c r="E5" s="62" t="s">
        <v>1351</v>
      </c>
      <c r="F5" s="62" t="s">
        <v>834</v>
      </c>
      <c r="G5" s="104" t="s">
        <v>1173</v>
      </c>
      <c r="H5" s="62" t="s">
        <v>1173</v>
      </c>
    </row>
    <row r="6" spans="1:24" x14ac:dyDescent="0.25">
      <c r="A6" s="62" t="s">
        <v>1599</v>
      </c>
      <c r="B6" s="60" t="s">
        <v>1471</v>
      </c>
      <c r="C6" s="60" t="s">
        <v>1600</v>
      </c>
      <c r="D6" s="62" t="s">
        <v>1601</v>
      </c>
      <c r="E6" s="62" t="s">
        <v>987</v>
      </c>
      <c r="F6" s="62" t="s">
        <v>961</v>
      </c>
      <c r="G6" s="83">
        <v>39829</v>
      </c>
      <c r="H6" s="62" t="s">
        <v>993</v>
      </c>
    </row>
    <row r="7" spans="1:24" x14ac:dyDescent="0.25">
      <c r="A7" s="62" t="s">
        <v>1484</v>
      </c>
      <c r="B7" s="60" t="s">
        <v>1485</v>
      </c>
      <c r="C7" s="84" t="s">
        <v>1486</v>
      </c>
      <c r="D7" s="62" t="s">
        <v>1775</v>
      </c>
      <c r="E7" s="62" t="s">
        <v>615</v>
      </c>
      <c r="F7" s="62" t="s">
        <v>441</v>
      </c>
      <c r="G7" s="83">
        <v>39987</v>
      </c>
      <c r="H7" s="62" t="s">
        <v>993</v>
      </c>
    </row>
    <row r="8" spans="1:24" x14ac:dyDescent="0.25">
      <c r="A8" s="62" t="s">
        <v>1487</v>
      </c>
      <c r="B8" s="60" t="s">
        <v>1488</v>
      </c>
      <c r="C8" s="60" t="s">
        <v>1489</v>
      </c>
      <c r="D8" s="62" t="s">
        <v>933</v>
      </c>
      <c r="E8" s="62" t="s">
        <v>987</v>
      </c>
      <c r="F8" s="62" t="s">
        <v>961</v>
      </c>
      <c r="G8" s="83">
        <v>39834</v>
      </c>
      <c r="H8" s="62" t="s">
        <v>993</v>
      </c>
    </row>
    <row r="9" spans="1:24" x14ac:dyDescent="0.25">
      <c r="A9" s="62" t="s">
        <v>1490</v>
      </c>
      <c r="B9" s="60" t="s">
        <v>1488</v>
      </c>
      <c r="C9" s="60" t="s">
        <v>1491</v>
      </c>
      <c r="D9" s="62" t="s">
        <v>933</v>
      </c>
      <c r="E9" s="62" t="s">
        <v>987</v>
      </c>
      <c r="F9" s="62" t="s">
        <v>961</v>
      </c>
      <c r="G9" s="83">
        <v>39834</v>
      </c>
      <c r="H9" s="62" t="s">
        <v>993</v>
      </c>
    </row>
    <row r="10" spans="1:24" s="86" customFormat="1" x14ac:dyDescent="0.25">
      <c r="A10" s="62" t="s">
        <v>1492</v>
      </c>
      <c r="B10" s="60" t="s">
        <v>1493</v>
      </c>
      <c r="C10" s="60" t="s">
        <v>1494</v>
      </c>
      <c r="D10" s="62" t="s">
        <v>1054</v>
      </c>
      <c r="E10" s="62" t="s">
        <v>987</v>
      </c>
      <c r="F10" s="62" t="s">
        <v>1554</v>
      </c>
      <c r="G10" s="83">
        <v>39895</v>
      </c>
      <c r="H10" s="62" t="s">
        <v>993</v>
      </c>
      <c r="I10" s="80"/>
      <c r="J10" s="80"/>
      <c r="K10" s="85"/>
      <c r="L10" s="85"/>
      <c r="M10" s="85"/>
      <c r="N10" s="85"/>
      <c r="O10" s="85"/>
      <c r="P10" s="85"/>
      <c r="Q10" s="85"/>
      <c r="R10" s="85"/>
      <c r="S10" s="85"/>
      <c r="T10" s="85"/>
      <c r="U10" s="85"/>
      <c r="V10" s="85"/>
      <c r="W10" s="85"/>
      <c r="X10" s="85"/>
    </row>
    <row r="11" spans="1:24" x14ac:dyDescent="0.25">
      <c r="A11" s="62" t="s">
        <v>1495</v>
      </c>
      <c r="B11" s="60" t="s">
        <v>1498</v>
      </c>
      <c r="C11" s="60" t="s">
        <v>1501</v>
      </c>
      <c r="D11" s="62" t="s">
        <v>1502</v>
      </c>
      <c r="E11" s="62" t="s">
        <v>685</v>
      </c>
      <c r="F11" s="62" t="s">
        <v>834</v>
      </c>
      <c r="G11" s="83">
        <v>39946</v>
      </c>
      <c r="H11" s="62" t="s">
        <v>993</v>
      </c>
      <c r="I11" s="87" t="s">
        <v>1681</v>
      </c>
    </row>
    <row r="12" spans="1:24" x14ac:dyDescent="0.25">
      <c r="A12" s="62" t="s">
        <v>1496</v>
      </c>
      <c r="B12" s="60" t="s">
        <v>1498</v>
      </c>
      <c r="C12" s="60" t="s">
        <v>1499</v>
      </c>
      <c r="D12" s="62" t="s">
        <v>904</v>
      </c>
      <c r="E12" s="62" t="s">
        <v>685</v>
      </c>
      <c r="F12" s="62" t="s">
        <v>834</v>
      </c>
      <c r="G12" s="83">
        <v>39987</v>
      </c>
      <c r="H12" s="62" t="s">
        <v>993</v>
      </c>
      <c r="I12" s="80" t="s">
        <v>1681</v>
      </c>
    </row>
    <row r="13" spans="1:24" x14ac:dyDescent="0.25">
      <c r="A13" s="62" t="s">
        <v>1497</v>
      </c>
      <c r="B13" s="60" t="s">
        <v>1498</v>
      </c>
      <c r="C13" s="60" t="s">
        <v>1500</v>
      </c>
      <c r="D13" s="62" t="s">
        <v>904</v>
      </c>
      <c r="E13" s="62" t="s">
        <v>685</v>
      </c>
      <c r="F13" s="62" t="s">
        <v>834</v>
      </c>
      <c r="G13" s="83">
        <v>39946</v>
      </c>
      <c r="H13" s="62" t="s">
        <v>993</v>
      </c>
      <c r="I13" s="80" t="s">
        <v>1681</v>
      </c>
    </row>
    <row r="14" spans="1:24" x14ac:dyDescent="0.25">
      <c r="A14" s="62" t="s">
        <v>1505</v>
      </c>
      <c r="B14" s="60" t="s">
        <v>1506</v>
      </c>
      <c r="C14" s="60" t="s">
        <v>1507</v>
      </c>
      <c r="D14" s="62" t="s">
        <v>904</v>
      </c>
      <c r="E14" s="62" t="s">
        <v>516</v>
      </c>
      <c r="F14" s="62" t="s">
        <v>834</v>
      </c>
      <c r="G14" s="83">
        <v>39881</v>
      </c>
      <c r="H14" s="62" t="s">
        <v>993</v>
      </c>
    </row>
    <row r="15" spans="1:24" x14ac:dyDescent="0.25">
      <c r="A15" s="62" t="s">
        <v>1511</v>
      </c>
      <c r="B15" s="60" t="s">
        <v>1513</v>
      </c>
      <c r="C15" s="60" t="s">
        <v>1512</v>
      </c>
      <c r="D15" s="62" t="s">
        <v>933</v>
      </c>
      <c r="E15" s="62" t="s">
        <v>685</v>
      </c>
      <c r="F15" s="62" t="s">
        <v>615</v>
      </c>
      <c r="G15" s="83">
        <v>39947</v>
      </c>
      <c r="H15" s="62" t="s">
        <v>993</v>
      </c>
    </row>
    <row r="16" spans="1:24" x14ac:dyDescent="0.25">
      <c r="A16" s="62" t="s">
        <v>1516</v>
      </c>
      <c r="B16" s="60" t="s">
        <v>1518</v>
      </c>
      <c r="C16" s="60" t="s">
        <v>1517</v>
      </c>
      <c r="D16" s="62" t="s">
        <v>1526</v>
      </c>
      <c r="E16" s="62" t="s">
        <v>794</v>
      </c>
      <c r="F16" s="62" t="s">
        <v>1275</v>
      </c>
      <c r="G16" s="83">
        <v>39959</v>
      </c>
      <c r="H16" s="62" t="s">
        <v>993</v>
      </c>
    </row>
    <row r="17" spans="1:10" x14ac:dyDescent="0.25">
      <c r="A17" s="62" t="s">
        <v>1519</v>
      </c>
      <c r="B17" s="60" t="s">
        <v>1520</v>
      </c>
      <c r="C17" s="60" t="s">
        <v>1521</v>
      </c>
      <c r="D17" s="62" t="s">
        <v>1527</v>
      </c>
      <c r="E17" s="62" t="s">
        <v>659</v>
      </c>
      <c r="F17" s="62" t="s">
        <v>834</v>
      </c>
      <c r="G17" s="83">
        <v>39965</v>
      </c>
      <c r="H17" s="62" t="s">
        <v>993</v>
      </c>
    </row>
    <row r="18" spans="1:10" x14ac:dyDescent="0.25">
      <c r="A18" s="62" t="s">
        <v>1522</v>
      </c>
      <c r="B18" s="60" t="s">
        <v>1520</v>
      </c>
      <c r="C18" s="60" t="s">
        <v>1523</v>
      </c>
      <c r="D18" s="62" t="s">
        <v>1527</v>
      </c>
      <c r="E18" s="62" t="s">
        <v>659</v>
      </c>
      <c r="F18" s="62" t="s">
        <v>834</v>
      </c>
      <c r="G18" s="83">
        <v>39987</v>
      </c>
      <c r="H18" s="62" t="s">
        <v>993</v>
      </c>
    </row>
    <row r="19" spans="1:10" x14ac:dyDescent="0.25">
      <c r="A19" s="62" t="s">
        <v>1524</v>
      </c>
      <c r="B19" s="60" t="s">
        <v>1520</v>
      </c>
      <c r="C19" s="60" t="s">
        <v>1525</v>
      </c>
      <c r="D19" s="62" t="s">
        <v>933</v>
      </c>
      <c r="E19" s="62" t="s">
        <v>834</v>
      </c>
      <c r="F19" s="62" t="s">
        <v>441</v>
      </c>
      <c r="G19" s="83">
        <v>39934</v>
      </c>
      <c r="H19" s="62" t="s">
        <v>993</v>
      </c>
    </row>
    <row r="20" spans="1:10" ht="27" x14ac:dyDescent="0.25">
      <c r="A20" s="62" t="s">
        <v>1528</v>
      </c>
      <c r="B20" s="60" t="s">
        <v>1529</v>
      </c>
      <c r="C20" s="60" t="s">
        <v>741</v>
      </c>
      <c r="D20" s="62" t="s">
        <v>1530</v>
      </c>
      <c r="E20" s="62" t="s">
        <v>615</v>
      </c>
      <c r="F20" s="62" t="s">
        <v>441</v>
      </c>
      <c r="G20" s="83">
        <v>39925</v>
      </c>
      <c r="H20" s="62" t="s">
        <v>1622</v>
      </c>
    </row>
    <row r="21" spans="1:10" x14ac:dyDescent="0.25">
      <c r="A21" s="62" t="s">
        <v>1531</v>
      </c>
      <c r="B21" s="60" t="s">
        <v>1532</v>
      </c>
      <c r="C21" s="60" t="s">
        <v>1176</v>
      </c>
      <c r="D21" s="62" t="s">
        <v>933</v>
      </c>
      <c r="E21" s="62" t="s">
        <v>834</v>
      </c>
      <c r="F21" s="62" t="s">
        <v>441</v>
      </c>
      <c r="G21" s="83">
        <v>39987</v>
      </c>
      <c r="H21" s="62" t="s">
        <v>993</v>
      </c>
    </row>
    <row r="22" spans="1:10" s="85" customFormat="1" x14ac:dyDescent="0.25">
      <c r="A22" s="88" t="s">
        <v>1533</v>
      </c>
      <c r="B22" s="84" t="s">
        <v>1532</v>
      </c>
      <c r="C22" s="84" t="s">
        <v>1240</v>
      </c>
      <c r="D22" s="88" t="s">
        <v>1672</v>
      </c>
      <c r="E22" s="88" t="s">
        <v>834</v>
      </c>
      <c r="F22" s="88" t="s">
        <v>794</v>
      </c>
      <c r="G22" s="88" t="s">
        <v>1056</v>
      </c>
      <c r="H22" s="88" t="s">
        <v>1056</v>
      </c>
      <c r="I22" s="80"/>
      <c r="J22" s="80"/>
    </row>
    <row r="23" spans="1:10" x14ac:dyDescent="0.25">
      <c r="A23" s="88" t="s">
        <v>1534</v>
      </c>
      <c r="B23" s="84" t="s">
        <v>1535</v>
      </c>
      <c r="C23" s="60" t="s">
        <v>614</v>
      </c>
      <c r="D23" s="62" t="s">
        <v>904</v>
      </c>
      <c r="E23" s="62" t="s">
        <v>834</v>
      </c>
      <c r="F23" s="62" t="s">
        <v>441</v>
      </c>
      <c r="G23" s="83">
        <v>39934</v>
      </c>
      <c r="H23" s="62" t="s">
        <v>993</v>
      </c>
    </row>
    <row r="24" spans="1:10" x14ac:dyDescent="0.25">
      <c r="A24" s="88" t="s">
        <v>1536</v>
      </c>
      <c r="B24" s="84" t="s">
        <v>1537</v>
      </c>
      <c r="C24" s="51" t="s">
        <v>1538</v>
      </c>
      <c r="D24" s="39" t="s">
        <v>1539</v>
      </c>
      <c r="E24" s="62" t="s">
        <v>615</v>
      </c>
      <c r="F24" s="62" t="s">
        <v>441</v>
      </c>
      <c r="G24" s="83">
        <v>39882</v>
      </c>
      <c r="H24" s="62" t="s">
        <v>993</v>
      </c>
    </row>
    <row r="25" spans="1:10" x14ac:dyDescent="0.25">
      <c r="A25" s="62" t="s">
        <v>1540</v>
      </c>
      <c r="B25" s="60" t="s">
        <v>1541</v>
      </c>
      <c r="C25" s="84" t="s">
        <v>1542</v>
      </c>
      <c r="D25" s="62" t="s">
        <v>1165</v>
      </c>
      <c r="E25" s="62" t="s">
        <v>834</v>
      </c>
      <c r="F25" s="62" t="s">
        <v>441</v>
      </c>
      <c r="G25" s="83">
        <v>39882</v>
      </c>
      <c r="H25" s="62" t="s">
        <v>993</v>
      </c>
      <c r="I25" s="179"/>
    </row>
    <row r="26" spans="1:10" x14ac:dyDescent="0.25">
      <c r="A26" s="62" t="s">
        <v>1543</v>
      </c>
      <c r="B26" s="60" t="s">
        <v>1544</v>
      </c>
      <c r="C26" s="60" t="s">
        <v>1545</v>
      </c>
      <c r="D26" s="62" t="s">
        <v>1546</v>
      </c>
      <c r="E26" s="62" t="s">
        <v>834</v>
      </c>
      <c r="F26" s="62" t="s">
        <v>1203</v>
      </c>
      <c r="G26" s="83">
        <v>39944</v>
      </c>
      <c r="H26" s="62" t="s">
        <v>993</v>
      </c>
    </row>
    <row r="27" spans="1:10" x14ac:dyDescent="0.25">
      <c r="A27" s="62" t="s">
        <v>1547</v>
      </c>
      <c r="B27" s="60" t="s">
        <v>1548</v>
      </c>
      <c r="C27" s="60" t="s">
        <v>1549</v>
      </c>
      <c r="D27" s="62" t="s">
        <v>515</v>
      </c>
      <c r="E27" s="62" t="s">
        <v>615</v>
      </c>
      <c r="F27" s="62" t="s">
        <v>441</v>
      </c>
      <c r="G27" s="83">
        <v>39947</v>
      </c>
      <c r="H27" s="62" t="s">
        <v>993</v>
      </c>
    </row>
    <row r="28" spans="1:10" ht="27" x14ac:dyDescent="0.25">
      <c r="A28" s="88" t="s">
        <v>1550</v>
      </c>
      <c r="B28" s="84" t="s">
        <v>1551</v>
      </c>
      <c r="C28" s="84" t="s">
        <v>1568</v>
      </c>
      <c r="D28" s="88" t="s">
        <v>1553</v>
      </c>
      <c r="E28" s="88" t="s">
        <v>999</v>
      </c>
      <c r="F28" s="88" t="s">
        <v>1552</v>
      </c>
      <c r="G28" s="104">
        <v>39947</v>
      </c>
      <c r="H28" s="62" t="s">
        <v>993</v>
      </c>
    </row>
    <row r="29" spans="1:10" x14ac:dyDescent="0.25">
      <c r="A29" s="62" t="s">
        <v>1556</v>
      </c>
      <c r="B29" s="60" t="s">
        <v>1571</v>
      </c>
      <c r="C29" s="60" t="s">
        <v>1557</v>
      </c>
      <c r="D29" s="62" t="s">
        <v>1558</v>
      </c>
      <c r="E29" s="62" t="s">
        <v>987</v>
      </c>
      <c r="F29" s="62" t="s">
        <v>1552</v>
      </c>
      <c r="G29" s="83">
        <v>39898</v>
      </c>
      <c r="H29" s="62" t="s">
        <v>993</v>
      </c>
    </row>
    <row r="30" spans="1:10" x14ac:dyDescent="0.25">
      <c r="A30" s="62" t="s">
        <v>1556</v>
      </c>
      <c r="B30" s="60" t="s">
        <v>1559</v>
      </c>
      <c r="C30" s="60" t="s">
        <v>1560</v>
      </c>
      <c r="D30" s="62" t="s">
        <v>515</v>
      </c>
      <c r="E30" s="62" t="s">
        <v>659</v>
      </c>
      <c r="F30" s="62" t="s">
        <v>834</v>
      </c>
      <c r="G30" s="83">
        <v>40000</v>
      </c>
      <c r="H30" s="62" t="s">
        <v>795</v>
      </c>
    </row>
    <row r="31" spans="1:10" ht="27" x14ac:dyDescent="0.25">
      <c r="A31" s="62" t="s">
        <v>1561</v>
      </c>
      <c r="B31" s="60" t="s">
        <v>1562</v>
      </c>
      <c r="C31" s="60" t="s">
        <v>1563</v>
      </c>
      <c r="D31" s="62" t="s">
        <v>1564</v>
      </c>
      <c r="E31" s="62" t="s">
        <v>1565</v>
      </c>
      <c r="F31" s="62" t="s">
        <v>615</v>
      </c>
      <c r="G31" s="83">
        <v>39925</v>
      </c>
      <c r="H31" s="62" t="s">
        <v>993</v>
      </c>
    </row>
    <row r="32" spans="1:10" ht="14.25" x14ac:dyDescent="0.3">
      <c r="A32" s="62" t="s">
        <v>1566</v>
      </c>
      <c r="B32" s="60" t="s">
        <v>1567</v>
      </c>
      <c r="C32" s="60" t="s">
        <v>1416</v>
      </c>
      <c r="D32" s="99" t="s">
        <v>1570</v>
      </c>
      <c r="E32" s="62" t="s">
        <v>999</v>
      </c>
      <c r="F32" s="62" t="s">
        <v>1552</v>
      </c>
      <c r="G32" s="83">
        <v>39960</v>
      </c>
      <c r="H32" s="62" t="s">
        <v>798</v>
      </c>
    </row>
    <row r="33" spans="1:8" x14ac:dyDescent="0.25">
      <c r="A33" s="62" t="s">
        <v>1574</v>
      </c>
      <c r="B33" s="60" t="s">
        <v>1572</v>
      </c>
      <c r="C33" s="60" t="s">
        <v>1573</v>
      </c>
      <c r="D33" s="62" t="s">
        <v>904</v>
      </c>
      <c r="E33" s="62" t="s">
        <v>779</v>
      </c>
      <c r="F33" s="62" t="s">
        <v>834</v>
      </c>
      <c r="G33" s="83">
        <v>40000</v>
      </c>
      <c r="H33" s="62" t="s">
        <v>798</v>
      </c>
    </row>
    <row r="34" spans="1:8" x14ac:dyDescent="0.25">
      <c r="A34" s="62" t="s">
        <v>1575</v>
      </c>
      <c r="B34" s="60" t="s">
        <v>1567</v>
      </c>
      <c r="C34" s="60" t="s">
        <v>1578</v>
      </c>
      <c r="D34" s="62" t="s">
        <v>1576</v>
      </c>
      <c r="E34" s="62" t="s">
        <v>999</v>
      </c>
      <c r="F34" s="62" t="s">
        <v>1552</v>
      </c>
      <c r="G34" s="83">
        <v>39924</v>
      </c>
      <c r="H34" s="62" t="s">
        <v>993</v>
      </c>
    </row>
    <row r="35" spans="1:8" x14ac:dyDescent="0.25">
      <c r="A35" s="88" t="s">
        <v>1577</v>
      </c>
      <c r="B35" s="84" t="s">
        <v>1567</v>
      </c>
      <c r="C35" s="60" t="s">
        <v>1579</v>
      </c>
      <c r="D35" s="62" t="s">
        <v>1580</v>
      </c>
      <c r="E35" s="62" t="s">
        <v>999</v>
      </c>
      <c r="F35" s="62" t="s">
        <v>1552</v>
      </c>
      <c r="G35" s="83">
        <v>39924</v>
      </c>
      <c r="H35" s="62" t="s">
        <v>993</v>
      </c>
    </row>
    <row r="36" spans="1:8" x14ac:dyDescent="0.25">
      <c r="A36" s="88" t="s">
        <v>1581</v>
      </c>
      <c r="B36" s="84" t="s">
        <v>1567</v>
      </c>
      <c r="C36" s="60" t="s">
        <v>1582</v>
      </c>
      <c r="D36" s="62" t="s">
        <v>1583</v>
      </c>
      <c r="E36" s="62" t="s">
        <v>999</v>
      </c>
      <c r="F36" s="62" t="s">
        <v>1552</v>
      </c>
      <c r="G36" s="83">
        <v>39924</v>
      </c>
      <c r="H36" s="62" t="s">
        <v>993</v>
      </c>
    </row>
    <row r="37" spans="1:8" x14ac:dyDescent="0.25">
      <c r="A37" s="88" t="s">
        <v>1584</v>
      </c>
      <c r="B37" s="84" t="s">
        <v>1567</v>
      </c>
      <c r="C37" s="60" t="s">
        <v>1104</v>
      </c>
      <c r="D37" s="62" t="s">
        <v>1585</v>
      </c>
      <c r="E37" s="62" t="s">
        <v>999</v>
      </c>
      <c r="F37" s="62" t="s">
        <v>1552</v>
      </c>
      <c r="G37" s="83">
        <v>39924</v>
      </c>
      <c r="H37" s="62" t="s">
        <v>993</v>
      </c>
    </row>
    <row r="38" spans="1:8" ht="27" x14ac:dyDescent="0.25">
      <c r="A38" s="88" t="s">
        <v>1586</v>
      </c>
      <c r="B38" s="84" t="s">
        <v>1567</v>
      </c>
      <c r="C38" s="60" t="s">
        <v>1588</v>
      </c>
      <c r="D38" s="62" t="s">
        <v>1587</v>
      </c>
      <c r="E38" s="62" t="s">
        <v>999</v>
      </c>
      <c r="F38" s="62" t="s">
        <v>1552</v>
      </c>
      <c r="G38" s="83">
        <v>39924</v>
      </c>
      <c r="H38" s="62" t="s">
        <v>993</v>
      </c>
    </row>
    <row r="39" spans="1:8" ht="27" x14ac:dyDescent="0.25">
      <c r="A39" s="88" t="s">
        <v>1589</v>
      </c>
      <c r="B39" s="84" t="s">
        <v>1567</v>
      </c>
      <c r="C39" s="60" t="s">
        <v>1590</v>
      </c>
      <c r="D39" s="62" t="s">
        <v>1587</v>
      </c>
      <c r="E39" s="62" t="s">
        <v>999</v>
      </c>
      <c r="F39" s="62" t="s">
        <v>1552</v>
      </c>
      <c r="G39" s="83">
        <v>39924</v>
      </c>
      <c r="H39" s="62" t="s">
        <v>993</v>
      </c>
    </row>
    <row r="40" spans="1:8" ht="27" x14ac:dyDescent="0.25">
      <c r="A40" s="88" t="s">
        <v>1591</v>
      </c>
      <c r="B40" s="84" t="s">
        <v>1567</v>
      </c>
      <c r="C40" s="60" t="s">
        <v>1592</v>
      </c>
      <c r="D40" s="62" t="s">
        <v>1587</v>
      </c>
      <c r="E40" s="62" t="s">
        <v>999</v>
      </c>
      <c r="F40" s="62" t="s">
        <v>1552</v>
      </c>
      <c r="G40" s="83">
        <v>39924</v>
      </c>
      <c r="H40" s="62" t="s">
        <v>993</v>
      </c>
    </row>
    <row r="41" spans="1:8" ht="27" x14ac:dyDescent="0.25">
      <c r="A41" s="88" t="s">
        <v>1593</v>
      </c>
      <c r="B41" s="84" t="s">
        <v>1567</v>
      </c>
      <c r="C41" s="60" t="s">
        <v>1594</v>
      </c>
      <c r="D41" s="62" t="s">
        <v>1587</v>
      </c>
      <c r="E41" s="62" t="s">
        <v>999</v>
      </c>
      <c r="F41" s="62" t="s">
        <v>1552</v>
      </c>
      <c r="G41" s="83">
        <v>39924</v>
      </c>
      <c r="H41" s="62" t="s">
        <v>993</v>
      </c>
    </row>
    <row r="42" spans="1:8" x14ac:dyDescent="0.25">
      <c r="A42" s="88" t="s">
        <v>1595</v>
      </c>
      <c r="B42" s="84" t="s">
        <v>1567</v>
      </c>
      <c r="C42" s="60" t="s">
        <v>1596</v>
      </c>
      <c r="D42" s="62" t="s">
        <v>1597</v>
      </c>
      <c r="E42" s="62" t="s">
        <v>999</v>
      </c>
      <c r="F42" s="62" t="s">
        <v>1552</v>
      </c>
      <c r="G42" s="83">
        <v>39924</v>
      </c>
      <c r="H42" s="62" t="s">
        <v>993</v>
      </c>
    </row>
    <row r="43" spans="1:8" ht="40.5" x14ac:dyDescent="0.25">
      <c r="A43" s="90" t="s">
        <v>1602</v>
      </c>
      <c r="B43" s="84" t="s">
        <v>1598</v>
      </c>
      <c r="C43" s="60" t="s">
        <v>1608</v>
      </c>
      <c r="D43" s="62" t="s">
        <v>1607</v>
      </c>
      <c r="E43" s="62" t="s">
        <v>999</v>
      </c>
      <c r="F43" s="62" t="s">
        <v>1552</v>
      </c>
      <c r="G43" s="83">
        <v>39960</v>
      </c>
      <c r="H43" s="62" t="s">
        <v>993</v>
      </c>
    </row>
    <row r="44" spans="1:8" ht="27" x14ac:dyDescent="0.25">
      <c r="A44" s="90" t="s">
        <v>1603</v>
      </c>
      <c r="B44" s="84" t="s">
        <v>1598</v>
      </c>
      <c r="C44" s="60" t="s">
        <v>1604</v>
      </c>
      <c r="D44" s="62" t="s">
        <v>1611</v>
      </c>
      <c r="E44" s="62" t="s">
        <v>999</v>
      </c>
      <c r="F44" s="62" t="s">
        <v>1552</v>
      </c>
      <c r="G44" s="83">
        <v>39960</v>
      </c>
      <c r="H44" s="62" t="s">
        <v>993</v>
      </c>
    </row>
    <row r="45" spans="1:8" ht="40.5" x14ac:dyDescent="0.25">
      <c r="A45" s="90" t="s">
        <v>1605</v>
      </c>
      <c r="B45" s="84" t="s">
        <v>1598</v>
      </c>
      <c r="C45" s="60" t="s">
        <v>1606</v>
      </c>
      <c r="D45" s="62" t="s">
        <v>1615</v>
      </c>
      <c r="E45" s="62" t="s">
        <v>999</v>
      </c>
      <c r="F45" s="62" t="s">
        <v>1552</v>
      </c>
      <c r="G45" s="83">
        <v>39965</v>
      </c>
      <c r="H45" s="62" t="s">
        <v>798</v>
      </c>
    </row>
    <row r="46" spans="1:8" ht="40.5" x14ac:dyDescent="0.25">
      <c r="A46" s="90" t="s">
        <v>1613</v>
      </c>
      <c r="B46" s="84" t="s">
        <v>1598</v>
      </c>
      <c r="C46" s="60" t="s">
        <v>1614</v>
      </c>
      <c r="D46" s="62" t="s">
        <v>1616</v>
      </c>
      <c r="E46" s="62" t="s">
        <v>999</v>
      </c>
      <c r="F46" s="62" t="s">
        <v>1552</v>
      </c>
      <c r="G46" s="83">
        <v>39960</v>
      </c>
      <c r="H46" s="62" t="s">
        <v>993</v>
      </c>
    </row>
    <row r="47" spans="1:8" x14ac:dyDescent="0.25">
      <c r="A47" s="90" t="s">
        <v>1617</v>
      </c>
      <c r="B47" s="84" t="s">
        <v>1598</v>
      </c>
      <c r="C47" s="60" t="s">
        <v>1618</v>
      </c>
      <c r="D47" s="62" t="s">
        <v>1612</v>
      </c>
      <c r="E47" s="62" t="s">
        <v>999</v>
      </c>
      <c r="F47" s="62" t="s">
        <v>1552</v>
      </c>
      <c r="G47" s="83">
        <v>39960</v>
      </c>
      <c r="H47" s="62" t="s">
        <v>993</v>
      </c>
    </row>
    <row r="48" spans="1:8" x14ac:dyDescent="0.25">
      <c r="A48" s="88" t="s">
        <v>1619</v>
      </c>
      <c r="B48" s="84" t="s">
        <v>1620</v>
      </c>
      <c r="C48" s="100" t="s">
        <v>1621</v>
      </c>
      <c r="D48" s="102" t="s">
        <v>1320</v>
      </c>
      <c r="E48" s="101" t="s">
        <v>615</v>
      </c>
      <c r="F48" s="101" t="s">
        <v>834</v>
      </c>
      <c r="G48" s="91" t="s">
        <v>1173</v>
      </c>
      <c r="H48" s="91" t="s">
        <v>1173</v>
      </c>
    </row>
    <row r="49" spans="1:8" x14ac:dyDescent="0.25">
      <c r="A49" s="88" t="s">
        <v>1623</v>
      </c>
      <c r="B49" s="84" t="s">
        <v>1624</v>
      </c>
      <c r="C49" s="100" t="s">
        <v>1625</v>
      </c>
      <c r="D49" s="101" t="s">
        <v>1626</v>
      </c>
      <c r="E49" s="101" t="s">
        <v>1351</v>
      </c>
      <c r="F49" s="101" t="s">
        <v>441</v>
      </c>
      <c r="G49" s="83">
        <v>39931</v>
      </c>
      <c r="H49" s="62" t="s">
        <v>993</v>
      </c>
    </row>
    <row r="50" spans="1:8" x14ac:dyDescent="0.25">
      <c r="A50" s="88" t="s">
        <v>1627</v>
      </c>
      <c r="B50" s="84" t="s">
        <v>1628</v>
      </c>
      <c r="C50" s="100" t="s">
        <v>1629</v>
      </c>
      <c r="D50" s="101" t="s">
        <v>1632</v>
      </c>
      <c r="E50" s="101" t="s">
        <v>999</v>
      </c>
      <c r="F50" s="101" t="s">
        <v>1552</v>
      </c>
      <c r="G50" s="83">
        <v>40010</v>
      </c>
      <c r="H50" s="62" t="s">
        <v>993</v>
      </c>
    </row>
    <row r="51" spans="1:8" x14ac:dyDescent="0.25">
      <c r="A51" s="88" t="s">
        <v>1631</v>
      </c>
      <c r="B51" s="84" t="s">
        <v>1633</v>
      </c>
      <c r="C51" s="60" t="s">
        <v>1630</v>
      </c>
      <c r="D51" s="62" t="s">
        <v>904</v>
      </c>
      <c r="E51" s="88" t="s">
        <v>727</v>
      </c>
      <c r="F51" s="88" t="s">
        <v>834</v>
      </c>
      <c r="G51" s="104">
        <v>39959</v>
      </c>
      <c r="H51" s="62" t="s">
        <v>993</v>
      </c>
    </row>
    <row r="52" spans="1:8" ht="40.5" x14ac:dyDescent="0.25">
      <c r="A52" s="88" t="s">
        <v>1638</v>
      </c>
      <c r="B52" s="84" t="s">
        <v>1640</v>
      </c>
      <c r="C52" s="61" t="s">
        <v>1639</v>
      </c>
      <c r="D52" s="62" t="s">
        <v>230</v>
      </c>
      <c r="E52" s="88" t="s">
        <v>794</v>
      </c>
      <c r="F52" s="88" t="s">
        <v>834</v>
      </c>
      <c r="G52" s="83">
        <v>39861</v>
      </c>
      <c r="H52" s="62" t="s">
        <v>993</v>
      </c>
    </row>
    <row r="53" spans="1:8" ht="27" x14ac:dyDescent="0.25">
      <c r="A53" s="62" t="s">
        <v>1641</v>
      </c>
      <c r="B53" s="60" t="s">
        <v>1642</v>
      </c>
      <c r="C53" s="60" t="s">
        <v>1643</v>
      </c>
      <c r="D53" s="62" t="s">
        <v>1645</v>
      </c>
      <c r="E53" s="88" t="s">
        <v>615</v>
      </c>
      <c r="F53" s="88" t="s">
        <v>834</v>
      </c>
      <c r="G53" s="83">
        <v>39944</v>
      </c>
      <c r="H53" s="62" t="s">
        <v>993</v>
      </c>
    </row>
    <row r="54" spans="1:8" x14ac:dyDescent="0.25">
      <c r="A54" s="88" t="s">
        <v>1646</v>
      </c>
      <c r="B54" s="84" t="s">
        <v>1642</v>
      </c>
      <c r="C54" s="84" t="s">
        <v>1647</v>
      </c>
      <c r="D54" s="88" t="s">
        <v>1648</v>
      </c>
      <c r="E54" s="88" t="s">
        <v>685</v>
      </c>
      <c r="F54" s="88" t="s">
        <v>615</v>
      </c>
      <c r="G54" s="83">
        <v>39962</v>
      </c>
      <c r="H54" s="62" t="s">
        <v>993</v>
      </c>
    </row>
    <row r="55" spans="1:8" x14ac:dyDescent="0.25">
      <c r="A55" s="88" t="s">
        <v>1660</v>
      </c>
      <c r="B55" s="84" t="s">
        <v>1661</v>
      </c>
      <c r="C55" s="60" t="s">
        <v>1662</v>
      </c>
      <c r="D55" s="62" t="s">
        <v>1320</v>
      </c>
      <c r="E55" s="88" t="s">
        <v>834</v>
      </c>
      <c r="F55" s="88" t="s">
        <v>441</v>
      </c>
      <c r="G55" s="83">
        <v>39955</v>
      </c>
      <c r="H55" s="62" t="s">
        <v>993</v>
      </c>
    </row>
    <row r="56" spans="1:8" x14ac:dyDescent="0.25">
      <c r="A56" s="88" t="s">
        <v>1663</v>
      </c>
      <c r="B56" s="84" t="s">
        <v>1661</v>
      </c>
      <c r="C56" s="60" t="s">
        <v>1664</v>
      </c>
      <c r="D56" s="62" t="s">
        <v>1665</v>
      </c>
      <c r="E56" s="88" t="s">
        <v>834</v>
      </c>
      <c r="F56" s="88" t="s">
        <v>441</v>
      </c>
      <c r="G56" s="83">
        <v>40226</v>
      </c>
      <c r="H56" s="62" t="s">
        <v>993</v>
      </c>
    </row>
    <row r="57" spans="1:8" x14ac:dyDescent="0.25">
      <c r="A57" s="88" t="s">
        <v>1666</v>
      </c>
      <c r="B57" s="84" t="s">
        <v>1661</v>
      </c>
      <c r="C57" s="60" t="s">
        <v>1667</v>
      </c>
      <c r="D57" s="62" t="s">
        <v>933</v>
      </c>
      <c r="E57" s="88" t="s">
        <v>834</v>
      </c>
      <c r="F57" s="88" t="s">
        <v>441</v>
      </c>
      <c r="G57" s="83">
        <v>39987</v>
      </c>
      <c r="H57" s="62" t="s">
        <v>993</v>
      </c>
    </row>
    <row r="58" spans="1:8" x14ac:dyDescent="0.25">
      <c r="A58" s="88" t="s">
        <v>1668</v>
      </c>
      <c r="B58" s="84" t="s">
        <v>1661</v>
      </c>
      <c r="C58" s="60" t="s">
        <v>1669</v>
      </c>
      <c r="D58" s="62" t="s">
        <v>904</v>
      </c>
      <c r="E58" s="62" t="s">
        <v>834</v>
      </c>
      <c r="F58" s="88" t="s">
        <v>441</v>
      </c>
      <c r="G58" s="83">
        <v>40095</v>
      </c>
      <c r="H58" s="62" t="s">
        <v>798</v>
      </c>
    </row>
    <row r="59" spans="1:8" x14ac:dyDescent="0.25">
      <c r="A59" s="88" t="s">
        <v>1673</v>
      </c>
      <c r="B59" s="84" t="s">
        <v>1674</v>
      </c>
      <c r="C59" s="60" t="s">
        <v>1675</v>
      </c>
      <c r="D59" s="62" t="s">
        <v>1320</v>
      </c>
      <c r="E59" s="62" t="s">
        <v>834</v>
      </c>
      <c r="F59" s="88" t="s">
        <v>441</v>
      </c>
      <c r="G59" s="83">
        <v>40095</v>
      </c>
      <c r="H59" s="62" t="s">
        <v>798</v>
      </c>
    </row>
    <row r="60" spans="1:8" x14ac:dyDescent="0.25">
      <c r="A60" s="88" t="s">
        <v>1676</v>
      </c>
      <c r="B60" s="84" t="s">
        <v>1677</v>
      </c>
      <c r="C60" s="60" t="s">
        <v>1678</v>
      </c>
      <c r="D60" s="62" t="s">
        <v>904</v>
      </c>
      <c r="E60" s="62" t="s">
        <v>516</v>
      </c>
      <c r="F60" s="88" t="s">
        <v>834</v>
      </c>
      <c r="G60" s="83">
        <v>39988</v>
      </c>
      <c r="H60" s="62" t="s">
        <v>993</v>
      </c>
    </row>
    <row r="61" spans="1:8" x14ac:dyDescent="0.25">
      <c r="A61" s="88" t="s">
        <v>1679</v>
      </c>
      <c r="B61" s="84" t="s">
        <v>1677</v>
      </c>
      <c r="C61" s="60" t="s">
        <v>1680</v>
      </c>
      <c r="D61" s="62" t="s">
        <v>1320</v>
      </c>
      <c r="E61" s="88" t="s">
        <v>516</v>
      </c>
      <c r="F61" s="88" t="s">
        <v>834</v>
      </c>
      <c r="G61" s="83">
        <v>40289</v>
      </c>
      <c r="H61" s="62" t="s">
        <v>798</v>
      </c>
    </row>
    <row r="62" spans="1:8" x14ac:dyDescent="0.25">
      <c r="A62" s="88" t="s">
        <v>1682</v>
      </c>
      <c r="B62" s="84" t="s">
        <v>1685</v>
      </c>
      <c r="C62" s="60" t="s">
        <v>1686</v>
      </c>
      <c r="D62" s="62" t="s">
        <v>1687</v>
      </c>
      <c r="E62" s="88" t="s">
        <v>999</v>
      </c>
      <c r="F62" s="88" t="s">
        <v>1552</v>
      </c>
      <c r="G62" s="83">
        <v>40010</v>
      </c>
      <c r="H62" s="62" t="s">
        <v>993</v>
      </c>
    </row>
    <row r="63" spans="1:8" x14ac:dyDescent="0.25">
      <c r="A63" s="88" t="s">
        <v>1688</v>
      </c>
      <c r="B63" s="84" t="s">
        <v>1689</v>
      </c>
      <c r="C63" s="60" t="s">
        <v>1690</v>
      </c>
      <c r="D63" s="62" t="s">
        <v>1691</v>
      </c>
      <c r="E63" s="88" t="s">
        <v>999</v>
      </c>
      <c r="F63" s="88" t="s">
        <v>1552</v>
      </c>
      <c r="G63" s="83">
        <v>39965</v>
      </c>
      <c r="H63" s="62" t="s">
        <v>798</v>
      </c>
    </row>
    <row r="64" spans="1:8" ht="27" x14ac:dyDescent="0.25">
      <c r="A64" s="88" t="s">
        <v>1692</v>
      </c>
      <c r="B64" s="84" t="s">
        <v>1693</v>
      </c>
      <c r="C64" s="60" t="s">
        <v>1694</v>
      </c>
      <c r="D64" s="62" t="s">
        <v>1695</v>
      </c>
      <c r="E64" s="88" t="s">
        <v>516</v>
      </c>
      <c r="F64" s="88" t="s">
        <v>615</v>
      </c>
      <c r="G64" s="83">
        <v>39960</v>
      </c>
      <c r="H64" s="62" t="s">
        <v>993</v>
      </c>
    </row>
    <row r="65" spans="1:24" x14ac:dyDescent="0.25">
      <c r="A65" s="88" t="s">
        <v>1696</v>
      </c>
      <c r="B65" s="84" t="s">
        <v>1697</v>
      </c>
      <c r="C65" s="60" t="s">
        <v>1698</v>
      </c>
      <c r="D65" s="62" t="s">
        <v>933</v>
      </c>
      <c r="E65" s="88" t="s">
        <v>486</v>
      </c>
      <c r="F65" s="88" t="s">
        <v>834</v>
      </c>
      <c r="G65" s="83">
        <v>40056</v>
      </c>
      <c r="H65" s="62" t="s">
        <v>798</v>
      </c>
    </row>
    <row r="66" spans="1:24" s="86" customFormat="1" ht="27" x14ac:dyDescent="0.25">
      <c r="A66" s="88" t="s">
        <v>1699</v>
      </c>
      <c r="B66" s="84" t="s">
        <v>1700</v>
      </c>
      <c r="C66" s="60" t="s">
        <v>1703</v>
      </c>
      <c r="D66" s="62" t="s">
        <v>1701</v>
      </c>
      <c r="E66" s="88" t="s">
        <v>999</v>
      </c>
      <c r="F66" s="88" t="s">
        <v>1552</v>
      </c>
      <c r="G66" s="83">
        <v>39965</v>
      </c>
      <c r="H66" s="62" t="s">
        <v>798</v>
      </c>
      <c r="I66" s="80"/>
      <c r="J66" s="80"/>
      <c r="K66" s="85"/>
      <c r="L66" s="85"/>
      <c r="M66" s="85"/>
      <c r="N66" s="85"/>
      <c r="O66" s="85"/>
      <c r="P66" s="85"/>
      <c r="Q66" s="85"/>
      <c r="R66" s="85"/>
      <c r="S66" s="85"/>
      <c r="T66" s="85"/>
      <c r="U66" s="85"/>
      <c r="V66" s="85"/>
      <c r="W66" s="85"/>
      <c r="X66" s="85"/>
    </row>
    <row r="67" spans="1:24" x14ac:dyDescent="0.25">
      <c r="A67" s="88" t="s">
        <v>1702</v>
      </c>
      <c r="B67" s="84" t="s">
        <v>1700</v>
      </c>
      <c r="C67" s="60" t="s">
        <v>1704</v>
      </c>
      <c r="D67" s="62" t="s">
        <v>1891</v>
      </c>
      <c r="E67" s="88" t="s">
        <v>999</v>
      </c>
      <c r="F67" s="88" t="s">
        <v>1552</v>
      </c>
      <c r="G67" s="83">
        <v>40010</v>
      </c>
      <c r="H67" s="62" t="s">
        <v>993</v>
      </c>
    </row>
    <row r="68" spans="1:24" ht="40.5" x14ac:dyDescent="0.25">
      <c r="A68" s="88" t="s">
        <v>1705</v>
      </c>
      <c r="B68" s="84" t="s">
        <v>1700</v>
      </c>
      <c r="C68" s="60" t="s">
        <v>1706</v>
      </c>
      <c r="D68" s="62" t="s">
        <v>1707</v>
      </c>
      <c r="E68" s="88" t="s">
        <v>999</v>
      </c>
      <c r="F68" s="88" t="s">
        <v>1552</v>
      </c>
      <c r="G68" s="83"/>
      <c r="H68" s="62" t="s">
        <v>2413</v>
      </c>
    </row>
    <row r="69" spans="1:24" x14ac:dyDescent="0.25">
      <c r="A69" s="88" t="s">
        <v>1708</v>
      </c>
      <c r="B69" s="84" t="s">
        <v>1700</v>
      </c>
      <c r="C69" s="84" t="s">
        <v>1709</v>
      </c>
      <c r="D69" s="62" t="s">
        <v>1724</v>
      </c>
      <c r="E69" s="88" t="s">
        <v>999</v>
      </c>
      <c r="F69" s="88" t="s">
        <v>1552</v>
      </c>
      <c r="G69" s="83">
        <v>39967</v>
      </c>
      <c r="H69" s="62" t="s">
        <v>798</v>
      </c>
    </row>
    <row r="70" spans="1:24" x14ac:dyDescent="0.25">
      <c r="A70" s="88" t="s">
        <v>1710</v>
      </c>
      <c r="B70" s="84" t="s">
        <v>1700</v>
      </c>
      <c r="C70" s="84" t="s">
        <v>1711</v>
      </c>
      <c r="D70" s="62" t="s">
        <v>1724</v>
      </c>
      <c r="E70" s="88" t="s">
        <v>999</v>
      </c>
      <c r="F70" s="88" t="s">
        <v>1552</v>
      </c>
      <c r="G70" s="83">
        <v>39969</v>
      </c>
      <c r="H70" s="62" t="s">
        <v>798</v>
      </c>
    </row>
    <row r="71" spans="1:24" x14ac:dyDescent="0.25">
      <c r="A71" s="88" t="s">
        <v>1712</v>
      </c>
      <c r="B71" s="84" t="s">
        <v>1700</v>
      </c>
      <c r="C71" s="84" t="s">
        <v>1713</v>
      </c>
      <c r="D71" s="62" t="s">
        <v>1725</v>
      </c>
      <c r="E71" s="88" t="s">
        <v>999</v>
      </c>
      <c r="F71" s="88" t="s">
        <v>1552</v>
      </c>
      <c r="G71" s="83">
        <v>39969</v>
      </c>
      <c r="H71" s="62" t="s">
        <v>798</v>
      </c>
    </row>
    <row r="72" spans="1:24" x14ac:dyDescent="0.25">
      <c r="A72" s="88" t="s">
        <v>1714</v>
      </c>
      <c r="B72" s="84" t="s">
        <v>1715</v>
      </c>
      <c r="C72" s="60" t="s">
        <v>1716</v>
      </c>
      <c r="D72" s="62" t="s">
        <v>1320</v>
      </c>
      <c r="E72" s="88" t="s">
        <v>516</v>
      </c>
      <c r="F72" s="88" t="s">
        <v>834</v>
      </c>
      <c r="G72" s="83">
        <v>39993</v>
      </c>
      <c r="H72" s="62" t="s">
        <v>993</v>
      </c>
    </row>
    <row r="73" spans="1:24" ht="40.5" x14ac:dyDescent="0.25">
      <c r="A73" s="88" t="s">
        <v>1717</v>
      </c>
      <c r="B73" s="84" t="s">
        <v>1718</v>
      </c>
      <c r="C73" s="60" t="s">
        <v>1719</v>
      </c>
      <c r="D73" s="62" t="s">
        <v>1720</v>
      </c>
      <c r="E73" s="88" t="s">
        <v>685</v>
      </c>
      <c r="F73" s="88" t="s">
        <v>615</v>
      </c>
      <c r="G73" s="83">
        <v>40057</v>
      </c>
      <c r="H73" s="62" t="s">
        <v>993</v>
      </c>
    </row>
    <row r="74" spans="1:24" x14ac:dyDescent="0.25">
      <c r="A74" s="92" t="s">
        <v>1721</v>
      </c>
      <c r="B74" s="64" t="s">
        <v>1722</v>
      </c>
      <c r="C74" s="60" t="s">
        <v>1723</v>
      </c>
      <c r="D74" s="63" t="s">
        <v>1320</v>
      </c>
      <c r="E74" s="92" t="s">
        <v>516</v>
      </c>
      <c r="F74" s="92" t="s">
        <v>834</v>
      </c>
      <c r="G74" s="93">
        <v>39993</v>
      </c>
      <c r="H74" s="63" t="s">
        <v>993</v>
      </c>
    </row>
    <row r="75" spans="1:24" x14ac:dyDescent="0.25">
      <c r="A75" s="88" t="s">
        <v>1731</v>
      </c>
      <c r="B75" s="84" t="s">
        <v>1722</v>
      </c>
      <c r="C75" s="94" t="s">
        <v>1732</v>
      </c>
      <c r="D75" s="62" t="s">
        <v>1320</v>
      </c>
      <c r="E75" s="88" t="s">
        <v>516</v>
      </c>
      <c r="F75" s="88" t="s">
        <v>834</v>
      </c>
      <c r="G75" s="83" t="s">
        <v>1173</v>
      </c>
      <c r="H75" s="62" t="s">
        <v>1056</v>
      </c>
    </row>
    <row r="76" spans="1:24" ht="27" x14ac:dyDescent="0.25">
      <c r="A76" s="88" t="s">
        <v>1733</v>
      </c>
      <c r="B76" s="84" t="s">
        <v>1736</v>
      </c>
      <c r="C76" s="60" t="s">
        <v>1734</v>
      </c>
      <c r="D76" s="62" t="s">
        <v>1735</v>
      </c>
      <c r="E76" s="88" t="s">
        <v>794</v>
      </c>
      <c r="F76" s="88" t="s">
        <v>834</v>
      </c>
      <c r="G76" s="83">
        <v>40043</v>
      </c>
      <c r="H76" s="62" t="s">
        <v>798</v>
      </c>
    </row>
    <row r="77" spans="1:24" x14ac:dyDescent="0.25">
      <c r="A77" s="88" t="s">
        <v>1738</v>
      </c>
      <c r="B77" s="84" t="s">
        <v>1739</v>
      </c>
      <c r="C77" s="60" t="s">
        <v>1740</v>
      </c>
      <c r="D77" s="60" t="s">
        <v>1320</v>
      </c>
      <c r="E77" s="88" t="s">
        <v>526</v>
      </c>
      <c r="F77" s="88" t="s">
        <v>834</v>
      </c>
      <c r="G77" s="83">
        <v>40109</v>
      </c>
      <c r="H77" s="62" t="s">
        <v>798</v>
      </c>
    </row>
    <row r="78" spans="1:24" x14ac:dyDescent="0.25">
      <c r="A78" s="88" t="s">
        <v>1743</v>
      </c>
      <c r="B78" s="84" t="s">
        <v>1741</v>
      </c>
      <c r="C78" s="60" t="s">
        <v>1742</v>
      </c>
      <c r="D78" s="97" t="s">
        <v>17</v>
      </c>
      <c r="E78" s="88" t="s">
        <v>999</v>
      </c>
      <c r="F78" s="88" t="s">
        <v>794</v>
      </c>
      <c r="G78" s="83">
        <v>40059</v>
      </c>
      <c r="H78" s="62" t="s">
        <v>798</v>
      </c>
    </row>
    <row r="79" spans="1:24" s="81" customFormat="1" x14ac:dyDescent="0.25">
      <c r="A79" s="88" t="s">
        <v>1744</v>
      </c>
      <c r="B79" s="84" t="s">
        <v>1745</v>
      </c>
      <c r="C79" s="84" t="s">
        <v>1746</v>
      </c>
      <c r="D79" s="88" t="s">
        <v>1747</v>
      </c>
      <c r="E79" s="88" t="s">
        <v>999</v>
      </c>
      <c r="F79" s="88" t="s">
        <v>1552</v>
      </c>
      <c r="G79" s="104">
        <v>40828</v>
      </c>
      <c r="H79" s="88" t="s">
        <v>798</v>
      </c>
      <c r="I79" s="80"/>
      <c r="J79" s="80"/>
    </row>
    <row r="80" spans="1:24" ht="27" x14ac:dyDescent="0.25">
      <c r="A80" s="88" t="s">
        <v>1748</v>
      </c>
      <c r="B80" s="84" t="s">
        <v>1745</v>
      </c>
      <c r="C80" s="60" t="s">
        <v>1749</v>
      </c>
      <c r="D80" s="62" t="s">
        <v>1750</v>
      </c>
      <c r="E80" s="88" t="s">
        <v>999</v>
      </c>
      <c r="F80" s="88" t="s">
        <v>1552</v>
      </c>
      <c r="G80" s="62"/>
      <c r="H80" s="176" t="s">
        <v>2430</v>
      </c>
    </row>
    <row r="81" spans="1:8" x14ac:dyDescent="0.25">
      <c r="A81" s="88" t="s">
        <v>1751</v>
      </c>
      <c r="B81" s="84" t="s">
        <v>1745</v>
      </c>
      <c r="C81" s="60" t="s">
        <v>2950</v>
      </c>
      <c r="D81" s="62" t="s">
        <v>67</v>
      </c>
      <c r="E81" s="88" t="s">
        <v>999</v>
      </c>
      <c r="F81" s="88" t="s">
        <v>1552</v>
      </c>
      <c r="G81" s="83">
        <v>41743</v>
      </c>
      <c r="H81" s="62" t="s">
        <v>798</v>
      </c>
    </row>
    <row r="82" spans="1:8" x14ac:dyDescent="0.25">
      <c r="A82" s="88" t="s">
        <v>1752</v>
      </c>
      <c r="B82" s="84" t="s">
        <v>1745</v>
      </c>
      <c r="C82" s="60" t="s">
        <v>1753</v>
      </c>
      <c r="D82" s="62" t="s">
        <v>1754</v>
      </c>
      <c r="E82" s="88" t="s">
        <v>999</v>
      </c>
      <c r="F82" s="88" t="s">
        <v>1552</v>
      </c>
      <c r="G82" s="83">
        <v>40211</v>
      </c>
      <c r="H82" s="62" t="s">
        <v>798</v>
      </c>
    </row>
    <row r="83" spans="1:8" x14ac:dyDescent="0.25">
      <c r="A83" s="88" t="s">
        <v>1755</v>
      </c>
      <c r="B83" s="84" t="s">
        <v>1756</v>
      </c>
      <c r="C83" s="60" t="s">
        <v>1757</v>
      </c>
      <c r="D83" s="62" t="s">
        <v>933</v>
      </c>
      <c r="E83" s="88" t="s">
        <v>834</v>
      </c>
      <c r="F83" s="88" t="s">
        <v>794</v>
      </c>
      <c r="G83" s="83">
        <v>40009</v>
      </c>
      <c r="H83" s="62" t="s">
        <v>798</v>
      </c>
    </row>
    <row r="84" spans="1:8" x14ac:dyDescent="0.25">
      <c r="A84" s="88" t="s">
        <v>1758</v>
      </c>
      <c r="B84" s="84" t="s">
        <v>1759</v>
      </c>
      <c r="C84" s="51" t="s">
        <v>1538</v>
      </c>
      <c r="D84" s="39" t="s">
        <v>1539</v>
      </c>
      <c r="E84" s="88" t="s">
        <v>615</v>
      </c>
      <c r="F84" s="88" t="s">
        <v>441</v>
      </c>
      <c r="G84" s="83">
        <v>39980</v>
      </c>
      <c r="H84" s="62" t="s">
        <v>798</v>
      </c>
    </row>
    <row r="85" spans="1:8" x14ac:dyDescent="0.25">
      <c r="A85" s="88" t="s">
        <v>1760</v>
      </c>
      <c r="B85" s="84" t="s">
        <v>1759</v>
      </c>
      <c r="C85" s="60" t="s">
        <v>1761</v>
      </c>
      <c r="D85" s="62" t="s">
        <v>1762</v>
      </c>
      <c r="E85" s="88" t="s">
        <v>615</v>
      </c>
      <c r="F85" s="88" t="s">
        <v>441</v>
      </c>
      <c r="G85" s="83">
        <v>40004</v>
      </c>
      <c r="H85" s="62" t="s">
        <v>798</v>
      </c>
    </row>
    <row r="86" spans="1:8" ht="27" x14ac:dyDescent="0.25">
      <c r="A86" s="88" t="s">
        <v>1763</v>
      </c>
      <c r="B86" s="84" t="s">
        <v>1764</v>
      </c>
      <c r="C86" s="84" t="s">
        <v>1765</v>
      </c>
      <c r="D86" s="88" t="s">
        <v>2582</v>
      </c>
      <c r="E86" s="88" t="s">
        <v>999</v>
      </c>
      <c r="F86" s="88" t="s">
        <v>1552</v>
      </c>
      <c r="G86" s="83">
        <v>41402</v>
      </c>
      <c r="H86" s="88" t="s">
        <v>798</v>
      </c>
    </row>
    <row r="87" spans="1:8" x14ac:dyDescent="0.25">
      <c r="A87" s="88" t="s">
        <v>1766</v>
      </c>
      <c r="B87" s="84" t="s">
        <v>1764</v>
      </c>
      <c r="C87" s="84" t="s">
        <v>1768</v>
      </c>
      <c r="D87" s="88" t="s">
        <v>1769</v>
      </c>
      <c r="E87" s="88" t="s">
        <v>999</v>
      </c>
      <c r="F87" s="88" t="s">
        <v>1552</v>
      </c>
      <c r="G87" s="83">
        <v>40459</v>
      </c>
      <c r="H87" s="62" t="s">
        <v>798</v>
      </c>
    </row>
    <row r="88" spans="1:8" ht="27" x14ac:dyDescent="0.25">
      <c r="A88" s="88" t="s">
        <v>1770</v>
      </c>
      <c r="B88" s="84" t="s">
        <v>1771</v>
      </c>
      <c r="C88" s="84" t="s">
        <v>1779</v>
      </c>
      <c r="D88" s="88" t="s">
        <v>1772</v>
      </c>
      <c r="E88" s="88" t="s">
        <v>615</v>
      </c>
      <c r="F88" s="88" t="s">
        <v>441</v>
      </c>
      <c r="G88" s="83">
        <v>39994</v>
      </c>
      <c r="H88" s="62" t="s">
        <v>993</v>
      </c>
    </row>
    <row r="89" spans="1:8" ht="27" x14ac:dyDescent="0.25">
      <c r="A89" s="88" t="s">
        <v>1773</v>
      </c>
      <c r="B89" s="84" t="s">
        <v>1771</v>
      </c>
      <c r="C89" s="84" t="s">
        <v>1780</v>
      </c>
      <c r="D89" s="88" t="s">
        <v>1774</v>
      </c>
      <c r="E89" s="88" t="s">
        <v>615</v>
      </c>
      <c r="F89" s="88" t="s">
        <v>441</v>
      </c>
      <c r="G89" s="83">
        <v>40057</v>
      </c>
      <c r="H89" s="62" t="s">
        <v>993</v>
      </c>
    </row>
    <row r="90" spans="1:8" x14ac:dyDescent="0.25">
      <c r="A90" s="88" t="s">
        <v>1776</v>
      </c>
      <c r="B90" s="84" t="s">
        <v>1777</v>
      </c>
      <c r="C90" s="84" t="s">
        <v>1778</v>
      </c>
      <c r="D90" s="88" t="s">
        <v>933</v>
      </c>
      <c r="E90" s="88" t="s">
        <v>834</v>
      </c>
      <c r="F90" s="88" t="s">
        <v>441</v>
      </c>
      <c r="G90" s="83">
        <v>40056</v>
      </c>
      <c r="H90" s="62" t="s">
        <v>798</v>
      </c>
    </row>
    <row r="91" spans="1:8" ht="27" x14ac:dyDescent="0.25">
      <c r="A91" s="88" t="s">
        <v>1781</v>
      </c>
      <c r="B91" s="84" t="s">
        <v>1782</v>
      </c>
      <c r="C91" s="84" t="s">
        <v>0</v>
      </c>
      <c r="D91" s="88" t="s">
        <v>1</v>
      </c>
      <c r="E91" s="88" t="s">
        <v>516</v>
      </c>
      <c r="F91" s="88" t="s">
        <v>615</v>
      </c>
      <c r="G91" s="83">
        <v>40059</v>
      </c>
      <c r="H91" s="62" t="s">
        <v>993</v>
      </c>
    </row>
    <row r="92" spans="1:8" x14ac:dyDescent="0.25">
      <c r="A92" s="88" t="s">
        <v>2</v>
      </c>
      <c r="B92" s="84" t="s">
        <v>3</v>
      </c>
      <c r="C92" s="84" t="s">
        <v>4</v>
      </c>
      <c r="D92" s="88" t="s">
        <v>904</v>
      </c>
      <c r="E92" s="88" t="s">
        <v>5</v>
      </c>
      <c r="F92" s="88" t="s">
        <v>834</v>
      </c>
      <c r="G92" s="62" t="s">
        <v>1056</v>
      </c>
      <c r="H92" s="62" t="s">
        <v>1056</v>
      </c>
    </row>
    <row r="93" spans="1:8" x14ac:dyDescent="0.25">
      <c r="A93" s="88" t="s">
        <v>6</v>
      </c>
      <c r="B93" s="84" t="s">
        <v>7</v>
      </c>
      <c r="C93" s="84" t="s">
        <v>8</v>
      </c>
      <c r="D93" s="88" t="s">
        <v>9</v>
      </c>
      <c r="E93" s="88" t="s">
        <v>987</v>
      </c>
      <c r="F93" s="88" t="s">
        <v>1552</v>
      </c>
      <c r="G93" s="83">
        <v>40052</v>
      </c>
      <c r="H93" s="62" t="s">
        <v>798</v>
      </c>
    </row>
    <row r="94" spans="1:8" ht="54" x14ac:dyDescent="0.25">
      <c r="A94" s="88" t="s">
        <v>10</v>
      </c>
      <c r="B94" s="84" t="s">
        <v>11</v>
      </c>
      <c r="C94" s="84" t="s">
        <v>12</v>
      </c>
      <c r="D94" s="88" t="s">
        <v>1912</v>
      </c>
      <c r="E94" s="88" t="s">
        <v>626</v>
      </c>
      <c r="F94" s="88" t="s">
        <v>794</v>
      </c>
      <c r="G94" s="83">
        <v>40122</v>
      </c>
      <c r="H94" s="62" t="s">
        <v>993</v>
      </c>
    </row>
    <row r="95" spans="1:8" x14ac:dyDescent="0.25">
      <c r="A95" s="88" t="s">
        <v>13</v>
      </c>
      <c r="B95" s="84" t="s">
        <v>14</v>
      </c>
      <c r="C95" s="84" t="s">
        <v>15</v>
      </c>
      <c r="D95" s="88" t="s">
        <v>16</v>
      </c>
      <c r="E95" s="88" t="s">
        <v>615</v>
      </c>
      <c r="F95" s="88" t="s">
        <v>794</v>
      </c>
      <c r="G95" s="83">
        <v>40095</v>
      </c>
      <c r="H95" s="62" t="s">
        <v>798</v>
      </c>
    </row>
    <row r="96" spans="1:8" x14ac:dyDescent="0.25">
      <c r="A96" s="88" t="s">
        <v>18</v>
      </c>
      <c r="B96" s="84" t="s">
        <v>19</v>
      </c>
      <c r="C96" s="84" t="s">
        <v>20</v>
      </c>
      <c r="D96" s="88" t="s">
        <v>27</v>
      </c>
      <c r="E96" s="88" t="s">
        <v>516</v>
      </c>
      <c r="F96" s="88" t="s">
        <v>615</v>
      </c>
      <c r="G96" s="83">
        <v>40029</v>
      </c>
      <c r="H96" s="62" t="s">
        <v>993</v>
      </c>
    </row>
    <row r="97" spans="1:8" x14ac:dyDescent="0.25">
      <c r="A97" s="88" t="s">
        <v>23</v>
      </c>
      <c r="B97" s="84" t="s">
        <v>24</v>
      </c>
      <c r="C97" s="84" t="s">
        <v>25</v>
      </c>
      <c r="D97" s="88" t="s">
        <v>26</v>
      </c>
      <c r="E97" s="88" t="s">
        <v>685</v>
      </c>
      <c r="F97" s="88" t="s">
        <v>615</v>
      </c>
      <c r="G97" s="83">
        <v>40057</v>
      </c>
      <c r="H97" s="62" t="s">
        <v>993</v>
      </c>
    </row>
    <row r="98" spans="1:8" x14ac:dyDescent="0.25">
      <c r="A98" s="88" t="s">
        <v>28</v>
      </c>
      <c r="B98" s="84" t="s">
        <v>29</v>
      </c>
      <c r="C98" s="84" t="s">
        <v>30</v>
      </c>
      <c r="D98" s="88" t="s">
        <v>31</v>
      </c>
      <c r="E98" s="88" t="s">
        <v>516</v>
      </c>
      <c r="F98" s="88" t="s">
        <v>615</v>
      </c>
      <c r="G98" s="83">
        <v>40045</v>
      </c>
      <c r="H98" s="62" t="s">
        <v>993</v>
      </c>
    </row>
    <row r="99" spans="1:8" x14ac:dyDescent="0.25">
      <c r="A99" s="88" t="s">
        <v>32</v>
      </c>
      <c r="B99" s="84" t="s">
        <v>33</v>
      </c>
      <c r="C99" s="84" t="s">
        <v>30</v>
      </c>
      <c r="D99" s="88" t="s">
        <v>34</v>
      </c>
      <c r="E99" s="88" t="s">
        <v>685</v>
      </c>
      <c r="F99" s="88" t="s">
        <v>615</v>
      </c>
      <c r="G99" s="83">
        <v>40045</v>
      </c>
      <c r="H99" s="62" t="s">
        <v>993</v>
      </c>
    </row>
    <row r="100" spans="1:8" ht="27" x14ac:dyDescent="0.25">
      <c r="A100" s="88" t="s">
        <v>35</v>
      </c>
      <c r="B100" s="84" t="s">
        <v>36</v>
      </c>
      <c r="C100" s="84" t="s">
        <v>37</v>
      </c>
      <c r="D100" s="88" t="s">
        <v>38</v>
      </c>
      <c r="E100" s="88" t="s">
        <v>987</v>
      </c>
      <c r="F100" s="88" t="s">
        <v>1552</v>
      </c>
      <c r="G100" s="83">
        <v>40052</v>
      </c>
      <c r="H100" s="62" t="s">
        <v>798</v>
      </c>
    </row>
    <row r="101" spans="1:8" ht="40.5" x14ac:dyDescent="0.25">
      <c r="A101" s="88" t="s">
        <v>39</v>
      </c>
      <c r="B101" s="84" t="s">
        <v>40</v>
      </c>
      <c r="C101" s="84" t="s">
        <v>41</v>
      </c>
      <c r="D101" s="88" t="s">
        <v>42</v>
      </c>
      <c r="E101" s="88" t="s">
        <v>615</v>
      </c>
      <c r="F101" s="88" t="s">
        <v>441</v>
      </c>
      <c r="G101" s="83">
        <v>40064</v>
      </c>
      <c r="H101" s="62" t="s">
        <v>798</v>
      </c>
    </row>
    <row r="102" spans="1:8" ht="27" x14ac:dyDescent="0.25">
      <c r="A102" s="88" t="s">
        <v>43</v>
      </c>
      <c r="B102" s="84" t="s">
        <v>44</v>
      </c>
      <c r="C102" s="84" t="s">
        <v>45</v>
      </c>
      <c r="D102" s="88" t="s">
        <v>46</v>
      </c>
      <c r="E102" s="88" t="s">
        <v>615</v>
      </c>
      <c r="F102" s="88" t="s">
        <v>441</v>
      </c>
      <c r="G102" s="83">
        <v>40095</v>
      </c>
      <c r="H102" s="62" t="s">
        <v>798</v>
      </c>
    </row>
    <row r="103" spans="1:8" x14ac:dyDescent="0.25">
      <c r="A103" s="88" t="s">
        <v>47</v>
      </c>
      <c r="B103" s="84" t="s">
        <v>48</v>
      </c>
      <c r="C103" s="84" t="s">
        <v>49</v>
      </c>
      <c r="D103" s="88" t="s">
        <v>50</v>
      </c>
      <c r="E103" s="88" t="s">
        <v>615</v>
      </c>
      <c r="F103" s="88" t="s">
        <v>441</v>
      </c>
      <c r="G103" s="83">
        <v>40226</v>
      </c>
      <c r="H103" s="62" t="s">
        <v>798</v>
      </c>
    </row>
    <row r="104" spans="1:8" x14ac:dyDescent="0.25">
      <c r="A104" s="88" t="s">
        <v>54</v>
      </c>
      <c r="B104" s="84" t="s">
        <v>55</v>
      </c>
      <c r="C104" s="84" t="s">
        <v>56</v>
      </c>
      <c r="D104" s="88" t="s">
        <v>57</v>
      </c>
      <c r="E104" s="88" t="s">
        <v>987</v>
      </c>
      <c r="F104" s="88" t="s">
        <v>1552</v>
      </c>
      <c r="G104" s="88"/>
      <c r="H104" s="88"/>
    </row>
    <row r="105" spans="1:8" x14ac:dyDescent="0.25">
      <c r="A105" s="88" t="s">
        <v>58</v>
      </c>
      <c r="B105" s="84" t="s">
        <v>51</v>
      </c>
      <c r="C105" s="84" t="s">
        <v>52</v>
      </c>
      <c r="D105" s="88" t="s">
        <v>53</v>
      </c>
      <c r="E105" s="88" t="s">
        <v>615</v>
      </c>
      <c r="F105" s="88" t="s">
        <v>441</v>
      </c>
      <c r="G105" s="104">
        <v>40112</v>
      </c>
      <c r="H105" s="88" t="s">
        <v>798</v>
      </c>
    </row>
    <row r="106" spans="1:8" x14ac:dyDescent="0.25">
      <c r="A106" s="95" t="s">
        <v>59</v>
      </c>
      <c r="B106" s="62" t="s">
        <v>60</v>
      </c>
      <c r="C106" s="95" t="s">
        <v>61</v>
      </c>
      <c r="D106" s="62" t="s">
        <v>62</v>
      </c>
      <c r="E106" s="62" t="s">
        <v>987</v>
      </c>
      <c r="F106" s="62" t="s">
        <v>1552</v>
      </c>
      <c r="G106" s="177">
        <v>40073</v>
      </c>
      <c r="H106" s="178" t="s">
        <v>798</v>
      </c>
    </row>
    <row r="107" spans="1:8" ht="27" x14ac:dyDescent="0.25">
      <c r="A107" s="88" t="s">
        <v>63</v>
      </c>
      <c r="B107" s="84" t="s">
        <v>64</v>
      </c>
      <c r="C107" s="84" t="s">
        <v>66</v>
      </c>
      <c r="D107" s="88" t="s">
        <v>65</v>
      </c>
      <c r="E107" s="95" t="s">
        <v>987</v>
      </c>
      <c r="F107" s="62" t="s">
        <v>1552</v>
      </c>
      <c r="G107" s="83">
        <v>40093</v>
      </c>
      <c r="H107" s="62" t="s">
        <v>798</v>
      </c>
    </row>
    <row r="108" spans="1:8" x14ac:dyDescent="0.25">
      <c r="A108" s="88" t="s">
        <v>68</v>
      </c>
      <c r="B108" s="84" t="s">
        <v>69</v>
      </c>
      <c r="C108" s="84" t="s">
        <v>4</v>
      </c>
      <c r="D108" s="88" t="s">
        <v>904</v>
      </c>
      <c r="E108" s="88" t="s">
        <v>834</v>
      </c>
      <c r="F108" s="88" t="s">
        <v>441</v>
      </c>
      <c r="G108" s="83">
        <v>40119</v>
      </c>
      <c r="H108" s="62" t="s">
        <v>798</v>
      </c>
    </row>
    <row r="109" spans="1:8" x14ac:dyDescent="0.25">
      <c r="A109" s="88" t="s">
        <v>70</v>
      </c>
      <c r="B109" s="84" t="s">
        <v>71</v>
      </c>
      <c r="C109" s="84" t="s">
        <v>72</v>
      </c>
      <c r="D109" s="88" t="s">
        <v>904</v>
      </c>
      <c r="E109" s="88" t="s">
        <v>526</v>
      </c>
      <c r="F109" s="88" t="s">
        <v>834</v>
      </c>
      <c r="G109" s="83">
        <v>40116</v>
      </c>
      <c r="H109" s="62" t="s">
        <v>798</v>
      </c>
    </row>
    <row r="110" spans="1:8" x14ac:dyDescent="0.25">
      <c r="A110" s="88" t="s">
        <v>73</v>
      </c>
      <c r="B110" s="84" t="s">
        <v>74</v>
      </c>
      <c r="C110" s="84" t="s">
        <v>75</v>
      </c>
      <c r="D110" s="88" t="s">
        <v>76</v>
      </c>
      <c r="E110" s="88" t="s">
        <v>1351</v>
      </c>
      <c r="F110" s="88" t="s">
        <v>1552</v>
      </c>
      <c r="G110" s="83">
        <v>40100</v>
      </c>
      <c r="H110" s="62" t="s">
        <v>798</v>
      </c>
    </row>
    <row r="111" spans="1:8" x14ac:dyDescent="0.25">
      <c r="A111" s="88" t="s">
        <v>77</v>
      </c>
      <c r="B111" s="84" t="s">
        <v>71</v>
      </c>
      <c r="C111" s="84" t="s">
        <v>78</v>
      </c>
      <c r="D111" s="88" t="s">
        <v>904</v>
      </c>
      <c r="E111" s="88" t="s">
        <v>526</v>
      </c>
      <c r="F111" s="88" t="s">
        <v>834</v>
      </c>
      <c r="G111" s="83">
        <v>40116</v>
      </c>
      <c r="H111" s="62" t="s">
        <v>798</v>
      </c>
    </row>
    <row r="112" spans="1:8" x14ac:dyDescent="0.25">
      <c r="A112" s="88" t="s">
        <v>79</v>
      </c>
      <c r="B112" s="84" t="s">
        <v>80</v>
      </c>
      <c r="C112" s="84" t="s">
        <v>701</v>
      </c>
      <c r="D112" s="88" t="s">
        <v>1165</v>
      </c>
      <c r="E112" s="88" t="s">
        <v>81</v>
      </c>
      <c r="F112" s="88" t="s">
        <v>834</v>
      </c>
      <c r="G112" s="83">
        <v>40106</v>
      </c>
      <c r="H112" s="62" t="s">
        <v>798</v>
      </c>
    </row>
    <row r="113" spans="1:8" x14ac:dyDescent="0.25">
      <c r="A113" s="88" t="s">
        <v>82</v>
      </c>
      <c r="B113" s="84" t="s">
        <v>83</v>
      </c>
      <c r="C113" s="84" t="s">
        <v>84</v>
      </c>
      <c r="D113" s="88" t="s">
        <v>85</v>
      </c>
      <c r="E113" s="88" t="s">
        <v>834</v>
      </c>
      <c r="F113" s="88" t="s">
        <v>441</v>
      </c>
      <c r="G113" s="83">
        <v>40141</v>
      </c>
      <c r="H113" s="62" t="s">
        <v>798</v>
      </c>
    </row>
    <row r="114" spans="1:8" x14ac:dyDescent="0.25">
      <c r="A114" s="88" t="s">
        <v>89</v>
      </c>
      <c r="B114" s="84" t="s">
        <v>90</v>
      </c>
      <c r="C114" s="51" t="s">
        <v>1538</v>
      </c>
      <c r="D114" s="39" t="s">
        <v>1539</v>
      </c>
      <c r="E114" s="88" t="s">
        <v>615</v>
      </c>
      <c r="F114" s="88" t="s">
        <v>441</v>
      </c>
      <c r="G114" s="83">
        <v>40122</v>
      </c>
      <c r="H114" s="62" t="s">
        <v>993</v>
      </c>
    </row>
    <row r="115" spans="1:8" x14ac:dyDescent="0.25">
      <c r="A115" s="88" t="s">
        <v>92</v>
      </c>
      <c r="B115" s="84" t="s">
        <v>93</v>
      </c>
      <c r="C115" s="84" t="s">
        <v>94</v>
      </c>
      <c r="D115" s="88" t="s">
        <v>904</v>
      </c>
      <c r="E115" s="88" t="s">
        <v>526</v>
      </c>
      <c r="F115" s="88" t="s">
        <v>834</v>
      </c>
      <c r="G115" s="83">
        <v>40294</v>
      </c>
      <c r="H115" s="62" t="s">
        <v>798</v>
      </c>
    </row>
    <row r="116" spans="1:8" x14ac:dyDescent="0.25">
      <c r="A116" s="88" t="s">
        <v>97</v>
      </c>
      <c r="B116" s="84" t="s">
        <v>95</v>
      </c>
      <c r="C116" s="84" t="s">
        <v>96</v>
      </c>
      <c r="D116" s="88" t="s">
        <v>1913</v>
      </c>
      <c r="E116" s="88" t="s">
        <v>834</v>
      </c>
      <c r="F116" s="88" t="s">
        <v>441</v>
      </c>
      <c r="G116" s="83">
        <v>40130</v>
      </c>
      <c r="H116" s="62" t="s">
        <v>798</v>
      </c>
    </row>
    <row r="117" spans="1:8" ht="27" x14ac:dyDescent="0.25">
      <c r="A117" s="88" t="s">
        <v>99</v>
      </c>
      <c r="B117" s="84" t="s">
        <v>98</v>
      </c>
      <c r="C117" s="84" t="s">
        <v>100</v>
      </c>
      <c r="D117" s="88" t="s">
        <v>104</v>
      </c>
      <c r="E117" s="88" t="s">
        <v>794</v>
      </c>
      <c r="F117" s="88" t="s">
        <v>441</v>
      </c>
      <c r="G117" s="83">
        <v>40141</v>
      </c>
      <c r="H117" s="62" t="s">
        <v>798</v>
      </c>
    </row>
    <row r="118" spans="1:8" ht="40.5" x14ac:dyDescent="0.25">
      <c r="A118" s="88" t="s">
        <v>101</v>
      </c>
      <c r="B118" s="84" t="s">
        <v>102</v>
      </c>
      <c r="C118" s="84" t="s">
        <v>103</v>
      </c>
      <c r="D118" s="88" t="s">
        <v>107</v>
      </c>
      <c r="E118" s="88" t="s">
        <v>794</v>
      </c>
      <c r="F118" s="88" t="s">
        <v>441</v>
      </c>
      <c r="G118" s="83">
        <v>40226</v>
      </c>
      <c r="H118" s="62" t="s">
        <v>798</v>
      </c>
    </row>
    <row r="119" spans="1:8" ht="27" x14ac:dyDescent="0.25">
      <c r="A119" s="88" t="s">
        <v>108</v>
      </c>
      <c r="B119" s="84" t="s">
        <v>109</v>
      </c>
      <c r="C119" s="84" t="s">
        <v>111</v>
      </c>
      <c r="D119" s="88" t="s">
        <v>110</v>
      </c>
      <c r="E119" s="88" t="s">
        <v>987</v>
      </c>
      <c r="F119" s="88" t="s">
        <v>1552</v>
      </c>
      <c r="G119" s="83">
        <v>40149</v>
      </c>
      <c r="H119" s="62" t="s">
        <v>798</v>
      </c>
    </row>
    <row r="120" spans="1:8" x14ac:dyDescent="0.25">
      <c r="A120" s="88" t="s">
        <v>112</v>
      </c>
      <c r="B120" s="84" t="s">
        <v>113</v>
      </c>
      <c r="C120" s="84" t="s">
        <v>114</v>
      </c>
      <c r="D120" s="88" t="s">
        <v>933</v>
      </c>
      <c r="E120" s="88" t="s">
        <v>834</v>
      </c>
      <c r="F120" s="88" t="s">
        <v>115</v>
      </c>
      <c r="G120" s="62" t="s">
        <v>1173</v>
      </c>
      <c r="H120" s="62" t="s">
        <v>1173</v>
      </c>
    </row>
    <row r="121" spans="1:8" ht="27" x14ac:dyDescent="0.25">
      <c r="A121" s="88" t="s">
        <v>116</v>
      </c>
      <c r="B121" s="84" t="s">
        <v>117</v>
      </c>
      <c r="C121" s="84" t="s">
        <v>118</v>
      </c>
      <c r="D121" s="88" t="s">
        <v>119</v>
      </c>
      <c r="E121" s="88" t="s">
        <v>81</v>
      </c>
      <c r="F121" s="88" t="s">
        <v>615</v>
      </c>
      <c r="G121" s="62"/>
      <c r="H121" s="142"/>
    </row>
    <row r="122" spans="1:8" x14ac:dyDescent="0.25">
      <c r="A122" s="88" t="s">
        <v>120</v>
      </c>
      <c r="B122" s="84" t="s">
        <v>121</v>
      </c>
      <c r="C122" s="84" t="s">
        <v>122</v>
      </c>
      <c r="D122" s="88" t="s">
        <v>933</v>
      </c>
      <c r="E122" s="88" t="s">
        <v>1163</v>
      </c>
      <c r="F122" s="88" t="s">
        <v>441</v>
      </c>
      <c r="G122" s="62" t="s">
        <v>1173</v>
      </c>
      <c r="H122" s="62" t="s">
        <v>1056</v>
      </c>
    </row>
    <row r="123" spans="1:8" x14ac:dyDescent="0.25">
      <c r="A123" s="88" t="s">
        <v>123</v>
      </c>
      <c r="B123" s="84" t="s">
        <v>121</v>
      </c>
      <c r="C123" s="84" t="s">
        <v>124</v>
      </c>
      <c r="D123" s="88" t="s">
        <v>1320</v>
      </c>
      <c r="E123" s="88" t="s">
        <v>834</v>
      </c>
      <c r="F123" s="88" t="s">
        <v>441</v>
      </c>
      <c r="G123" s="83">
        <v>40256</v>
      </c>
      <c r="H123" s="62" t="s">
        <v>993</v>
      </c>
    </row>
    <row r="124" spans="1:8" x14ac:dyDescent="0.25">
      <c r="A124" s="88" t="s">
        <v>125</v>
      </c>
      <c r="B124" s="84" t="s">
        <v>126</v>
      </c>
      <c r="C124" s="84" t="s">
        <v>127</v>
      </c>
      <c r="D124" s="88" t="s">
        <v>128</v>
      </c>
      <c r="E124" s="88" t="s">
        <v>987</v>
      </c>
      <c r="F124" s="88" t="s">
        <v>1552</v>
      </c>
      <c r="G124" s="83">
        <v>40203</v>
      </c>
      <c r="H124" s="62" t="s">
        <v>993</v>
      </c>
    </row>
    <row r="125" spans="1:8" x14ac:dyDescent="0.25">
      <c r="A125" s="88" t="s">
        <v>129</v>
      </c>
      <c r="B125" s="84" t="s">
        <v>130</v>
      </c>
      <c r="C125" s="84" t="s">
        <v>131</v>
      </c>
      <c r="D125" s="88" t="s">
        <v>904</v>
      </c>
      <c r="E125" s="88" t="s">
        <v>834</v>
      </c>
      <c r="F125" s="88" t="s">
        <v>441</v>
      </c>
      <c r="G125" s="83">
        <v>40164</v>
      </c>
      <c r="H125" s="62" t="s">
        <v>993</v>
      </c>
    </row>
    <row r="126" spans="1:8" x14ac:dyDescent="0.25">
      <c r="A126" s="88" t="s">
        <v>132</v>
      </c>
      <c r="B126" s="84" t="s">
        <v>133</v>
      </c>
      <c r="C126" s="84" t="s">
        <v>134</v>
      </c>
      <c r="D126" s="88" t="s">
        <v>85</v>
      </c>
      <c r="E126" s="88" t="s">
        <v>999</v>
      </c>
      <c r="F126" s="88" t="s">
        <v>834</v>
      </c>
      <c r="G126" s="83">
        <v>40165</v>
      </c>
      <c r="H126" s="62" t="s">
        <v>798</v>
      </c>
    </row>
    <row r="127" spans="1:8" x14ac:dyDescent="0.25">
      <c r="A127" s="88" t="s">
        <v>135</v>
      </c>
      <c r="B127" s="84" t="s">
        <v>138</v>
      </c>
      <c r="C127" s="84" t="s">
        <v>137</v>
      </c>
      <c r="D127" s="88" t="s">
        <v>136</v>
      </c>
      <c r="E127" s="88" t="s">
        <v>727</v>
      </c>
      <c r="F127" s="88" t="s">
        <v>794</v>
      </c>
      <c r="G127" s="83">
        <v>40151</v>
      </c>
      <c r="H127" s="88" t="s">
        <v>798</v>
      </c>
    </row>
    <row r="128" spans="1:8" ht="27" x14ac:dyDescent="0.25">
      <c r="A128" s="88" t="s">
        <v>139</v>
      </c>
      <c r="B128" s="84" t="s">
        <v>140</v>
      </c>
      <c r="C128" s="84" t="s">
        <v>111</v>
      </c>
      <c r="D128" s="88" t="s">
        <v>141</v>
      </c>
      <c r="E128" s="88" t="s">
        <v>1351</v>
      </c>
      <c r="F128" s="88" t="s">
        <v>1552</v>
      </c>
      <c r="G128" s="83">
        <v>40203</v>
      </c>
      <c r="H128" s="62" t="s">
        <v>993</v>
      </c>
    </row>
    <row r="129" spans="1:10" ht="27" x14ac:dyDescent="0.25">
      <c r="A129" s="88" t="s">
        <v>142</v>
      </c>
      <c r="B129" s="84" t="s">
        <v>143</v>
      </c>
      <c r="C129" s="84" t="s">
        <v>111</v>
      </c>
      <c r="D129" s="88" t="s">
        <v>144</v>
      </c>
      <c r="E129" s="88" t="s">
        <v>987</v>
      </c>
      <c r="F129" s="88" t="s">
        <v>1552</v>
      </c>
      <c r="G129" s="83">
        <v>40203</v>
      </c>
      <c r="H129" s="62" t="s">
        <v>993</v>
      </c>
    </row>
    <row r="130" spans="1:10" ht="27" x14ac:dyDescent="0.25">
      <c r="A130" s="88" t="s">
        <v>145</v>
      </c>
      <c r="B130" s="84" t="s">
        <v>143</v>
      </c>
      <c r="C130" s="84" t="s">
        <v>111</v>
      </c>
      <c r="D130" s="88" t="s">
        <v>150</v>
      </c>
      <c r="E130" s="88" t="s">
        <v>987</v>
      </c>
      <c r="F130" s="88" t="s">
        <v>1552</v>
      </c>
      <c r="G130" s="83">
        <v>40203</v>
      </c>
      <c r="H130" s="62" t="s">
        <v>993</v>
      </c>
    </row>
    <row r="131" spans="1:10" x14ac:dyDescent="0.25">
      <c r="A131" s="88" t="s">
        <v>151</v>
      </c>
      <c r="B131" s="84" t="s">
        <v>153</v>
      </c>
      <c r="C131" s="84" t="s">
        <v>154</v>
      </c>
      <c r="D131" s="88" t="s">
        <v>515</v>
      </c>
      <c r="E131" s="88" t="s">
        <v>615</v>
      </c>
      <c r="F131" s="88" t="s">
        <v>156</v>
      </c>
      <c r="G131" s="62" t="s">
        <v>1139</v>
      </c>
      <c r="H131" s="88" t="s">
        <v>2571</v>
      </c>
    </row>
    <row r="132" spans="1:10" x14ac:dyDescent="0.25">
      <c r="A132" s="88" t="s">
        <v>152</v>
      </c>
      <c r="B132" s="84" t="s">
        <v>153</v>
      </c>
      <c r="C132" s="84" t="s">
        <v>155</v>
      </c>
      <c r="D132" s="88" t="s">
        <v>515</v>
      </c>
      <c r="E132" s="88" t="s">
        <v>615</v>
      </c>
      <c r="F132" s="88" t="s">
        <v>794</v>
      </c>
      <c r="G132" s="62" t="s">
        <v>1139</v>
      </c>
      <c r="H132" s="88" t="s">
        <v>2572</v>
      </c>
    </row>
    <row r="133" spans="1:10" x14ac:dyDescent="0.25">
      <c r="A133" s="88" t="s">
        <v>157</v>
      </c>
      <c r="B133" s="84" t="s">
        <v>161</v>
      </c>
      <c r="C133" s="84" t="s">
        <v>162</v>
      </c>
      <c r="D133" s="88" t="s">
        <v>904</v>
      </c>
      <c r="E133" s="88" t="s">
        <v>486</v>
      </c>
      <c r="F133" s="88" t="s">
        <v>834</v>
      </c>
      <c r="G133" s="83">
        <v>40260</v>
      </c>
      <c r="H133" s="62" t="s">
        <v>993</v>
      </c>
    </row>
    <row r="134" spans="1:10" x14ac:dyDescent="0.25">
      <c r="A134" s="88" t="s">
        <v>163</v>
      </c>
      <c r="B134" s="84" t="s">
        <v>164</v>
      </c>
      <c r="C134" s="84" t="s">
        <v>165</v>
      </c>
      <c r="D134" s="88" t="s">
        <v>181</v>
      </c>
      <c r="E134" s="88" t="s">
        <v>626</v>
      </c>
      <c r="F134" s="88" t="s">
        <v>794</v>
      </c>
      <c r="G134" s="83">
        <v>40568</v>
      </c>
      <c r="H134" s="62" t="s">
        <v>993</v>
      </c>
    </row>
    <row r="135" spans="1:10" x14ac:dyDescent="0.25">
      <c r="A135" s="88" t="s">
        <v>166</v>
      </c>
      <c r="B135" s="84" t="s">
        <v>167</v>
      </c>
      <c r="C135" s="84" t="s">
        <v>168</v>
      </c>
      <c r="D135" s="88" t="s">
        <v>904</v>
      </c>
      <c r="E135" s="88" t="s">
        <v>1339</v>
      </c>
      <c r="F135" s="88" t="s">
        <v>834</v>
      </c>
      <c r="G135" s="83">
        <v>40568</v>
      </c>
      <c r="H135" s="62" t="s">
        <v>993</v>
      </c>
    </row>
    <row r="136" spans="1:10" x14ac:dyDescent="0.25">
      <c r="A136" s="88" t="s">
        <v>169</v>
      </c>
      <c r="B136" s="84" t="s">
        <v>167</v>
      </c>
      <c r="C136" s="84" t="s">
        <v>170</v>
      </c>
      <c r="D136" s="88" t="s">
        <v>933</v>
      </c>
      <c r="E136" s="88" t="s">
        <v>486</v>
      </c>
      <c r="F136" s="88" t="s">
        <v>834</v>
      </c>
      <c r="G136" s="83">
        <v>40287</v>
      </c>
      <c r="H136" s="62" t="s">
        <v>798</v>
      </c>
    </row>
    <row r="137" spans="1:10" x14ac:dyDescent="0.25">
      <c r="A137" s="88" t="s">
        <v>171</v>
      </c>
      <c r="B137" s="84" t="s">
        <v>172</v>
      </c>
      <c r="C137" s="61" t="s">
        <v>1538</v>
      </c>
      <c r="D137" s="62" t="s">
        <v>1539</v>
      </c>
      <c r="E137" s="88" t="s">
        <v>615</v>
      </c>
      <c r="F137" s="88" t="s">
        <v>441</v>
      </c>
      <c r="G137" s="83">
        <v>39818</v>
      </c>
      <c r="H137" s="62" t="s">
        <v>798</v>
      </c>
    </row>
    <row r="138" spans="1:10" x14ac:dyDescent="0.25">
      <c r="A138" s="88" t="s">
        <v>173</v>
      </c>
      <c r="B138" s="84" t="s">
        <v>174</v>
      </c>
      <c r="C138" s="84" t="s">
        <v>175</v>
      </c>
      <c r="D138" s="88" t="s">
        <v>1403</v>
      </c>
      <c r="E138" s="88" t="s">
        <v>1466</v>
      </c>
      <c r="F138" s="88" t="s">
        <v>834</v>
      </c>
      <c r="G138" s="62" t="s">
        <v>1481</v>
      </c>
      <c r="H138" s="62" t="s">
        <v>1173</v>
      </c>
    </row>
    <row r="139" spans="1:10" x14ac:dyDescent="0.25">
      <c r="A139" s="88" t="s">
        <v>176</v>
      </c>
      <c r="B139" s="84" t="s">
        <v>177</v>
      </c>
      <c r="C139" s="84" t="s">
        <v>178</v>
      </c>
      <c r="D139" s="88" t="s">
        <v>183</v>
      </c>
      <c r="E139" s="88" t="s">
        <v>727</v>
      </c>
      <c r="F139" s="88" t="s">
        <v>794</v>
      </c>
      <c r="G139" s="83">
        <v>40471</v>
      </c>
      <c r="H139" s="62" t="s">
        <v>798</v>
      </c>
    </row>
    <row r="140" spans="1:10" x14ac:dyDescent="0.25">
      <c r="A140" s="88" t="s">
        <v>180</v>
      </c>
      <c r="B140" s="84" t="s">
        <v>177</v>
      </c>
      <c r="C140" s="84" t="s">
        <v>179</v>
      </c>
      <c r="D140" s="88" t="s">
        <v>182</v>
      </c>
      <c r="E140" s="88" t="s">
        <v>727</v>
      </c>
      <c r="F140" s="88" t="s">
        <v>794</v>
      </c>
      <c r="G140" s="83">
        <v>40477</v>
      </c>
      <c r="H140" s="62" t="s">
        <v>798</v>
      </c>
    </row>
    <row r="141" spans="1:10" s="144" customFormat="1" ht="12.75" x14ac:dyDescent="0.2">
      <c r="A141" s="539" t="s">
        <v>1830</v>
      </c>
      <c r="B141" s="539"/>
      <c r="C141" s="539"/>
      <c r="D141" s="539"/>
      <c r="E141" s="539"/>
      <c r="F141" s="539"/>
      <c r="G141" s="539"/>
      <c r="H141" s="539"/>
      <c r="I141" s="539"/>
      <c r="J141" s="539"/>
    </row>
    <row r="142" spans="1:10" s="144" customFormat="1" ht="12.75" x14ac:dyDescent="0.2">
      <c r="A142" s="539"/>
      <c r="B142" s="539"/>
      <c r="C142" s="539"/>
      <c r="D142" s="539"/>
      <c r="E142" s="539"/>
      <c r="F142" s="539"/>
      <c r="G142" s="539"/>
      <c r="H142" s="539"/>
      <c r="I142" s="539"/>
      <c r="J142" s="539"/>
    </row>
    <row r="143" spans="1:10" x14ac:dyDescent="0.25">
      <c r="A143" s="88"/>
      <c r="B143" s="84"/>
      <c r="C143" s="84"/>
      <c r="D143" s="88"/>
      <c r="E143" s="88"/>
      <c r="F143" s="88"/>
      <c r="G143" s="62"/>
      <c r="H143" s="62"/>
    </row>
    <row r="144" spans="1:10" x14ac:dyDescent="0.25">
      <c r="A144" s="88"/>
      <c r="B144" s="84"/>
      <c r="C144" s="84"/>
      <c r="D144" s="88"/>
      <c r="E144" s="88"/>
      <c r="F144" s="88"/>
      <c r="G144" s="62"/>
      <c r="H144" s="62"/>
    </row>
    <row r="145" spans="1:8" x14ac:dyDescent="0.25">
      <c r="A145" s="88"/>
      <c r="B145" s="84"/>
      <c r="C145" s="84"/>
      <c r="D145" s="88"/>
      <c r="E145" s="88"/>
      <c r="F145" s="88"/>
      <c r="G145" s="62"/>
      <c r="H145" s="62"/>
    </row>
    <row r="146" spans="1:8" x14ac:dyDescent="0.25">
      <c r="A146" s="88"/>
      <c r="B146" s="84"/>
      <c r="C146" s="84"/>
      <c r="D146" s="88"/>
      <c r="E146" s="88"/>
      <c r="F146" s="88"/>
      <c r="G146" s="62"/>
      <c r="H146" s="62"/>
    </row>
    <row r="147" spans="1:8" x14ac:dyDescent="0.25">
      <c r="A147" s="88"/>
      <c r="B147" s="84"/>
      <c r="C147" s="84"/>
      <c r="D147" s="88"/>
      <c r="E147" s="88"/>
      <c r="F147" s="88"/>
      <c r="G147" s="62"/>
      <c r="H147" s="62"/>
    </row>
    <row r="148" spans="1:8" x14ac:dyDescent="0.25">
      <c r="A148" s="88"/>
      <c r="B148" s="84"/>
      <c r="C148" s="84"/>
      <c r="D148" s="88"/>
      <c r="E148" s="88"/>
      <c r="F148" s="88"/>
      <c r="G148" s="62"/>
      <c r="H148" s="62"/>
    </row>
    <row r="149" spans="1:8" x14ac:dyDescent="0.25">
      <c r="A149" s="88"/>
      <c r="B149" s="84"/>
      <c r="C149" s="84"/>
      <c r="D149" s="88"/>
      <c r="E149" s="88"/>
      <c r="F149" s="88"/>
      <c r="G149" s="62"/>
      <c r="H149" s="62"/>
    </row>
    <row r="150" spans="1:8" x14ac:dyDescent="0.25">
      <c r="A150" s="88"/>
      <c r="B150" s="84"/>
      <c r="C150" s="84"/>
      <c r="D150" s="88"/>
      <c r="E150" s="88"/>
      <c r="F150" s="88"/>
      <c r="G150" s="62"/>
      <c r="H150" s="62"/>
    </row>
    <row r="151" spans="1:8" x14ac:dyDescent="0.25">
      <c r="A151" s="88"/>
      <c r="B151" s="84"/>
      <c r="C151" s="84"/>
      <c r="D151" s="88"/>
      <c r="E151" s="88"/>
      <c r="F151" s="88"/>
      <c r="G151" s="62"/>
      <c r="H151" s="62"/>
    </row>
    <row r="152" spans="1:8" x14ac:dyDescent="0.25">
      <c r="A152" s="88"/>
      <c r="B152" s="84"/>
      <c r="C152" s="84"/>
      <c r="D152" s="88"/>
      <c r="E152" s="88"/>
      <c r="F152" s="88"/>
      <c r="G152" s="62"/>
      <c r="H152" s="62"/>
    </row>
    <row r="153" spans="1:8" x14ac:dyDescent="0.25">
      <c r="A153" s="88"/>
      <c r="B153" s="84"/>
      <c r="C153" s="84"/>
      <c r="D153" s="88"/>
      <c r="E153" s="88"/>
      <c r="F153" s="88"/>
      <c r="G153" s="62"/>
      <c r="H153" s="62"/>
    </row>
    <row r="154" spans="1:8" x14ac:dyDescent="0.25">
      <c r="A154" s="88"/>
      <c r="B154" s="84"/>
      <c r="C154" s="84"/>
      <c r="D154" s="88"/>
      <c r="E154" s="88"/>
      <c r="F154" s="88"/>
      <c r="G154" s="62"/>
      <c r="H154" s="62"/>
    </row>
    <row r="155" spans="1:8" x14ac:dyDescent="0.25">
      <c r="A155" s="88"/>
      <c r="B155" s="84"/>
      <c r="C155" s="84"/>
      <c r="D155" s="88"/>
      <c r="E155" s="88"/>
      <c r="F155" s="88"/>
      <c r="G155" s="62"/>
      <c r="H155" s="62"/>
    </row>
    <row r="156" spans="1:8" x14ac:dyDescent="0.25">
      <c r="A156" s="88"/>
      <c r="B156" s="84"/>
      <c r="C156" s="84"/>
      <c r="D156" s="88"/>
      <c r="E156" s="88"/>
      <c r="F156" s="88"/>
      <c r="G156" s="62"/>
      <c r="H156" s="62"/>
    </row>
    <row r="157" spans="1:8" x14ac:dyDescent="0.25">
      <c r="A157" s="88"/>
      <c r="B157" s="84"/>
      <c r="C157" s="84"/>
      <c r="D157" s="88"/>
      <c r="E157" s="88"/>
      <c r="F157" s="88"/>
      <c r="G157" s="62"/>
      <c r="H157" s="62"/>
    </row>
    <row r="158" spans="1:8" x14ac:dyDescent="0.25">
      <c r="A158" s="88"/>
      <c r="B158" s="84"/>
      <c r="C158" s="84"/>
      <c r="D158" s="88"/>
      <c r="E158" s="88"/>
      <c r="F158" s="88"/>
      <c r="G158" s="62"/>
      <c r="H158" s="62"/>
    </row>
    <row r="159" spans="1:8" x14ac:dyDescent="0.25">
      <c r="A159" s="88"/>
      <c r="B159" s="84"/>
      <c r="C159" s="84"/>
      <c r="D159" s="88"/>
      <c r="E159" s="88"/>
      <c r="F159" s="88"/>
      <c r="G159" s="62"/>
      <c r="H159" s="62"/>
    </row>
    <row r="160" spans="1:8" x14ac:dyDescent="0.25">
      <c r="A160" s="88"/>
      <c r="B160" s="84"/>
      <c r="C160" s="84"/>
      <c r="D160" s="88"/>
      <c r="E160" s="88"/>
      <c r="F160" s="88"/>
      <c r="G160" s="62"/>
      <c r="H160" s="62"/>
    </row>
    <row r="161" spans="1:8" x14ac:dyDescent="0.25">
      <c r="A161" s="88"/>
      <c r="B161" s="84"/>
      <c r="C161" s="84"/>
      <c r="D161" s="88"/>
      <c r="E161" s="88"/>
      <c r="F161" s="88"/>
      <c r="G161" s="62"/>
      <c r="H161" s="62"/>
    </row>
    <row r="162" spans="1:8" x14ac:dyDescent="0.25">
      <c r="A162" s="88"/>
      <c r="B162" s="84"/>
      <c r="C162" s="84"/>
      <c r="D162" s="88"/>
      <c r="E162" s="88"/>
      <c r="F162" s="88"/>
      <c r="G162" s="62"/>
      <c r="H162" s="62"/>
    </row>
    <row r="163" spans="1:8" x14ac:dyDescent="0.25">
      <c r="A163" s="88"/>
      <c r="B163" s="84"/>
      <c r="C163" s="84"/>
      <c r="D163" s="88"/>
      <c r="E163" s="88"/>
      <c r="F163" s="88"/>
      <c r="G163" s="62"/>
      <c r="H163" s="62"/>
    </row>
    <row r="164" spans="1:8" x14ac:dyDescent="0.25">
      <c r="A164" s="88"/>
      <c r="B164" s="84"/>
      <c r="C164" s="84"/>
      <c r="D164" s="88"/>
      <c r="E164" s="88"/>
      <c r="F164" s="88"/>
      <c r="G164" s="62"/>
      <c r="H164" s="62"/>
    </row>
    <row r="165" spans="1:8" x14ac:dyDescent="0.25">
      <c r="A165" s="88"/>
      <c r="B165" s="84"/>
      <c r="C165" s="84"/>
      <c r="D165" s="88"/>
      <c r="E165" s="88"/>
      <c r="F165" s="88"/>
      <c r="G165" s="62"/>
      <c r="H165" s="62"/>
    </row>
    <row r="166" spans="1:8" x14ac:dyDescent="0.25">
      <c r="A166" s="88"/>
      <c r="B166" s="84"/>
      <c r="C166" s="84"/>
      <c r="D166" s="88"/>
      <c r="E166" s="88"/>
      <c r="F166" s="88"/>
      <c r="G166" s="62"/>
      <c r="H166" s="62"/>
    </row>
    <row r="167" spans="1:8" x14ac:dyDescent="0.25">
      <c r="A167" s="88"/>
      <c r="B167" s="84"/>
      <c r="C167" s="84"/>
      <c r="D167" s="88"/>
      <c r="E167" s="88"/>
      <c r="F167" s="88"/>
      <c r="G167" s="62"/>
      <c r="H167" s="62"/>
    </row>
    <row r="168" spans="1:8" x14ac:dyDescent="0.25">
      <c r="A168" s="88"/>
      <c r="B168" s="84"/>
      <c r="C168" s="84"/>
      <c r="D168" s="88"/>
      <c r="E168" s="88"/>
      <c r="F168" s="88"/>
      <c r="G168" s="62"/>
      <c r="H168" s="62"/>
    </row>
    <row r="169" spans="1:8" x14ac:dyDescent="0.25">
      <c r="A169" s="88"/>
      <c r="B169" s="84"/>
      <c r="C169" s="84"/>
      <c r="D169" s="88"/>
      <c r="E169" s="88"/>
      <c r="F169" s="88"/>
      <c r="G169" s="62"/>
      <c r="H169" s="62"/>
    </row>
    <row r="170" spans="1:8" x14ac:dyDescent="0.25">
      <c r="A170" s="88"/>
      <c r="B170" s="84"/>
      <c r="C170" s="84"/>
      <c r="D170" s="88"/>
      <c r="E170" s="88"/>
      <c r="F170" s="88"/>
      <c r="G170" s="62"/>
      <c r="H170" s="62"/>
    </row>
    <row r="171" spans="1:8" x14ac:dyDescent="0.25">
      <c r="A171" s="88"/>
      <c r="B171" s="84"/>
      <c r="C171" s="84"/>
      <c r="D171" s="88"/>
      <c r="E171" s="88"/>
      <c r="F171" s="88"/>
      <c r="G171" s="62"/>
      <c r="H171" s="62"/>
    </row>
    <row r="172" spans="1:8" x14ac:dyDescent="0.25">
      <c r="A172" s="88"/>
      <c r="B172" s="84"/>
      <c r="C172" s="84"/>
      <c r="D172" s="88"/>
      <c r="E172" s="88"/>
      <c r="F172" s="88"/>
      <c r="G172" s="62"/>
      <c r="H172" s="62"/>
    </row>
    <row r="173" spans="1:8" x14ac:dyDescent="0.25">
      <c r="A173" s="88"/>
      <c r="B173" s="84"/>
      <c r="C173" s="84"/>
      <c r="D173" s="88"/>
      <c r="E173" s="88"/>
      <c r="F173" s="88"/>
      <c r="G173" s="62"/>
      <c r="H173" s="62"/>
    </row>
    <row r="174" spans="1:8" x14ac:dyDescent="0.25">
      <c r="A174" s="88"/>
      <c r="B174" s="84"/>
      <c r="C174" s="84"/>
      <c r="D174" s="88"/>
      <c r="E174" s="88"/>
      <c r="F174" s="88"/>
      <c r="G174" s="62"/>
      <c r="H174" s="62"/>
    </row>
    <row r="175" spans="1:8" x14ac:dyDescent="0.25">
      <c r="A175" s="88"/>
      <c r="B175" s="84"/>
      <c r="C175" s="84"/>
      <c r="D175" s="88"/>
      <c r="E175" s="88"/>
      <c r="F175" s="88"/>
      <c r="G175" s="62"/>
      <c r="H175" s="62"/>
    </row>
  </sheetData>
  <mergeCells count="2">
    <mergeCell ref="A1:H1"/>
    <mergeCell ref="A141:J142"/>
  </mergeCells>
  <phoneticPr fontId="4" type="noConversion"/>
  <pageMargins left="0.75" right="0.75" top="1" bottom="1" header="0.5" footer="0.5"/>
  <pageSetup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M250"/>
  <sheetViews>
    <sheetView workbookViewId="0">
      <pane ySplit="2" topLeftCell="A142" activePane="bottomLeft" state="frozen"/>
      <selection pane="bottomLeft" activeCell="C169" sqref="C169"/>
    </sheetView>
  </sheetViews>
  <sheetFormatPr defaultRowHeight="12.75" x14ac:dyDescent="0.2"/>
  <cols>
    <col min="1" max="1" width="14.5703125" customWidth="1"/>
    <col min="2" max="2" width="31.5703125" customWidth="1"/>
    <col min="3" max="3" width="48" customWidth="1"/>
    <col min="4" max="4" width="11.42578125" customWidth="1"/>
    <col min="5" max="5" width="11" customWidth="1"/>
    <col min="6" max="6" width="15.42578125" style="13" customWidth="1"/>
    <col min="7" max="7" width="15.5703125" style="7" customWidth="1"/>
    <col min="8" max="8" width="10.42578125" style="1" customWidth="1"/>
  </cols>
  <sheetData>
    <row r="1" spans="1:11" ht="45" x14ac:dyDescent="0.6">
      <c r="A1" s="541" t="s">
        <v>889</v>
      </c>
      <c r="B1" s="541"/>
      <c r="C1" s="541"/>
      <c r="D1" s="541"/>
      <c r="E1" s="541"/>
      <c r="F1" s="541"/>
      <c r="G1" s="541"/>
      <c r="H1" s="541"/>
    </row>
    <row r="2" spans="1:11" ht="38.25" x14ac:dyDescent="0.2">
      <c r="A2" s="5" t="s">
        <v>423</v>
      </c>
      <c r="B2" s="20" t="s">
        <v>432</v>
      </c>
      <c r="C2" s="37" t="s">
        <v>426</v>
      </c>
      <c r="D2" s="5" t="s">
        <v>427</v>
      </c>
      <c r="E2" s="5" t="s">
        <v>428</v>
      </c>
      <c r="F2" s="58" t="s">
        <v>429</v>
      </c>
      <c r="G2" s="20" t="s">
        <v>1437</v>
      </c>
      <c r="H2" s="5" t="s">
        <v>452</v>
      </c>
    </row>
    <row r="3" spans="1:11" x14ac:dyDescent="0.2">
      <c r="A3" s="23" t="s">
        <v>891</v>
      </c>
      <c r="B3" s="46" t="s">
        <v>895</v>
      </c>
      <c r="C3" s="23" t="s">
        <v>893</v>
      </c>
      <c r="D3" s="23" t="s">
        <v>661</v>
      </c>
      <c r="E3" s="23" t="s">
        <v>436</v>
      </c>
      <c r="F3" s="24">
        <v>39454</v>
      </c>
      <c r="G3" s="24" t="s">
        <v>1139</v>
      </c>
      <c r="H3" s="23" t="s">
        <v>1056</v>
      </c>
      <c r="I3" s="12" t="s">
        <v>2570</v>
      </c>
    </row>
    <row r="4" spans="1:11" x14ac:dyDescent="0.2">
      <c r="A4" s="23" t="s">
        <v>894</v>
      </c>
      <c r="B4" s="49" t="s">
        <v>892</v>
      </c>
      <c r="C4" s="23" t="s">
        <v>893</v>
      </c>
      <c r="D4" s="23" t="s">
        <v>661</v>
      </c>
      <c r="E4" s="23" t="s">
        <v>436</v>
      </c>
      <c r="F4" s="24">
        <v>39454</v>
      </c>
      <c r="G4" s="24" t="s">
        <v>1139</v>
      </c>
      <c r="H4" s="23" t="s">
        <v>1056</v>
      </c>
      <c r="I4" s="12" t="s">
        <v>2570</v>
      </c>
    </row>
    <row r="5" spans="1:11" x14ac:dyDescent="0.2">
      <c r="A5" s="23" t="s">
        <v>896</v>
      </c>
      <c r="B5" s="46" t="s">
        <v>897</v>
      </c>
      <c r="C5" s="23" t="s">
        <v>898</v>
      </c>
      <c r="D5" s="23" t="s">
        <v>615</v>
      </c>
      <c r="E5" s="23" t="s">
        <v>441</v>
      </c>
      <c r="F5" s="24">
        <v>39455</v>
      </c>
      <c r="G5" s="24">
        <v>39455</v>
      </c>
      <c r="H5" s="23" t="s">
        <v>798</v>
      </c>
    </row>
    <row r="6" spans="1:11" x14ac:dyDescent="0.2">
      <c r="A6" s="23" t="s">
        <v>899</v>
      </c>
      <c r="B6" s="46" t="s">
        <v>910</v>
      </c>
      <c r="C6" s="23" t="s">
        <v>558</v>
      </c>
      <c r="D6" s="23" t="s">
        <v>851</v>
      </c>
      <c r="E6" s="23" t="s">
        <v>436</v>
      </c>
      <c r="F6" s="24">
        <v>39455</v>
      </c>
      <c r="G6" s="5"/>
      <c r="H6" s="23" t="s">
        <v>798</v>
      </c>
    </row>
    <row r="7" spans="1:11" x14ac:dyDescent="0.2">
      <c r="A7" s="23" t="s">
        <v>900</v>
      </c>
      <c r="B7" s="53" t="s">
        <v>911</v>
      </c>
      <c r="C7" s="23" t="s">
        <v>558</v>
      </c>
      <c r="D7" s="23" t="s">
        <v>851</v>
      </c>
      <c r="E7" s="23" t="s">
        <v>436</v>
      </c>
      <c r="F7" s="24">
        <v>39455</v>
      </c>
      <c r="G7" s="5"/>
      <c r="H7" s="23" t="s">
        <v>798</v>
      </c>
    </row>
    <row r="8" spans="1:11" x14ac:dyDescent="0.2">
      <c r="A8" s="23" t="s">
        <v>902</v>
      </c>
      <c r="B8" s="46" t="s">
        <v>907</v>
      </c>
      <c r="C8" s="23" t="s">
        <v>587</v>
      </c>
      <c r="D8" s="23" t="s">
        <v>750</v>
      </c>
      <c r="E8" s="23" t="s">
        <v>436</v>
      </c>
      <c r="F8" s="24">
        <v>39456</v>
      </c>
      <c r="G8" s="24"/>
      <c r="H8" s="23" t="s">
        <v>798</v>
      </c>
      <c r="I8" s="21" t="s">
        <v>979</v>
      </c>
      <c r="J8" s="21"/>
      <c r="K8" s="21"/>
    </row>
    <row r="9" spans="1:11" s="70" customFormat="1" x14ac:dyDescent="0.2">
      <c r="A9" s="41" t="s">
        <v>903</v>
      </c>
      <c r="B9" s="52" t="s">
        <v>870</v>
      </c>
      <c r="C9" s="41" t="s">
        <v>1555</v>
      </c>
      <c r="D9" s="41" t="s">
        <v>495</v>
      </c>
      <c r="E9" s="41" t="s">
        <v>436</v>
      </c>
      <c r="F9" s="33">
        <v>39456</v>
      </c>
      <c r="G9" s="33"/>
      <c r="H9" s="41" t="s">
        <v>798</v>
      </c>
    </row>
    <row r="10" spans="1:11" x14ac:dyDescent="0.2">
      <c r="A10" s="23" t="s">
        <v>905</v>
      </c>
      <c r="B10" s="46" t="s">
        <v>906</v>
      </c>
      <c r="C10" s="23" t="s">
        <v>558</v>
      </c>
      <c r="D10" s="23" t="s">
        <v>495</v>
      </c>
      <c r="E10" s="23" t="s">
        <v>436</v>
      </c>
      <c r="F10" s="24">
        <v>39456</v>
      </c>
      <c r="G10" s="23"/>
      <c r="H10" s="23" t="s">
        <v>798</v>
      </c>
    </row>
    <row r="11" spans="1:11" x14ac:dyDescent="0.2">
      <c r="A11" s="23" t="s">
        <v>909</v>
      </c>
      <c r="B11" s="46" t="s">
        <v>908</v>
      </c>
      <c r="C11" s="23" t="s">
        <v>515</v>
      </c>
      <c r="D11" s="23" t="s">
        <v>834</v>
      </c>
      <c r="E11" s="23" t="s">
        <v>627</v>
      </c>
      <c r="F11" s="24">
        <v>39463</v>
      </c>
      <c r="G11" s="24">
        <v>39598</v>
      </c>
      <c r="H11" s="23" t="s">
        <v>798</v>
      </c>
      <c r="I11" s="57" t="s">
        <v>1317</v>
      </c>
    </row>
    <row r="12" spans="1:11" x14ac:dyDescent="0.2">
      <c r="A12" s="23" t="s">
        <v>912</v>
      </c>
      <c r="B12" s="46" t="s">
        <v>913</v>
      </c>
      <c r="C12" s="23" t="s">
        <v>904</v>
      </c>
      <c r="D12" s="23" t="s">
        <v>512</v>
      </c>
      <c r="E12" s="23" t="s">
        <v>436</v>
      </c>
      <c r="F12" s="24">
        <v>39463</v>
      </c>
      <c r="G12" s="23"/>
      <c r="H12" s="23" t="s">
        <v>798</v>
      </c>
    </row>
    <row r="13" spans="1:11" x14ac:dyDescent="0.2">
      <c r="A13" s="23" t="s">
        <v>914</v>
      </c>
      <c r="B13" s="46" t="s">
        <v>915</v>
      </c>
      <c r="C13" s="23" t="s">
        <v>916</v>
      </c>
      <c r="D13" s="23" t="s">
        <v>512</v>
      </c>
      <c r="E13" s="23" t="s">
        <v>436</v>
      </c>
      <c r="F13" s="24">
        <v>39464</v>
      </c>
      <c r="G13" s="24">
        <v>39598</v>
      </c>
      <c r="H13" s="23" t="s">
        <v>798</v>
      </c>
    </row>
    <row r="14" spans="1:11" x14ac:dyDescent="0.2">
      <c r="A14" s="23" t="s">
        <v>917</v>
      </c>
      <c r="B14" s="46" t="s">
        <v>910</v>
      </c>
      <c r="C14" s="23" t="s">
        <v>587</v>
      </c>
      <c r="D14" s="23" t="s">
        <v>851</v>
      </c>
      <c r="E14" s="23" t="s">
        <v>436</v>
      </c>
      <c r="F14" s="24">
        <v>39465</v>
      </c>
      <c r="G14" s="23"/>
      <c r="H14" s="23" t="s">
        <v>798</v>
      </c>
    </row>
    <row r="15" spans="1:11" x14ac:dyDescent="0.2">
      <c r="A15" s="23" t="s">
        <v>918</v>
      </c>
      <c r="B15" s="46" t="s">
        <v>911</v>
      </c>
      <c r="C15" s="23" t="s">
        <v>587</v>
      </c>
      <c r="D15" s="23" t="s">
        <v>851</v>
      </c>
      <c r="E15" s="23" t="s">
        <v>436</v>
      </c>
      <c r="F15" s="24">
        <v>39465</v>
      </c>
      <c r="G15" s="23"/>
      <c r="H15" s="23" t="s">
        <v>798</v>
      </c>
    </row>
    <row r="16" spans="1:11" x14ac:dyDescent="0.2">
      <c r="A16" s="23" t="s">
        <v>919</v>
      </c>
      <c r="B16" s="46" t="s">
        <v>910</v>
      </c>
      <c r="C16" s="23" t="s">
        <v>921</v>
      </c>
      <c r="D16" s="23" t="s">
        <v>851</v>
      </c>
      <c r="E16" s="23" t="s">
        <v>436</v>
      </c>
      <c r="F16" s="24">
        <v>39468</v>
      </c>
      <c r="G16" s="23"/>
      <c r="H16" s="23" t="s">
        <v>798</v>
      </c>
    </row>
    <row r="17" spans="1:13" x14ac:dyDescent="0.2">
      <c r="A17" s="23" t="s">
        <v>920</v>
      </c>
      <c r="B17" s="46" t="s">
        <v>911</v>
      </c>
      <c r="C17" s="23" t="s">
        <v>921</v>
      </c>
      <c r="D17" s="23" t="s">
        <v>851</v>
      </c>
      <c r="E17" s="23" t="s">
        <v>436</v>
      </c>
      <c r="F17" s="24">
        <v>39468</v>
      </c>
      <c r="G17" s="23"/>
      <c r="H17" s="23" t="s">
        <v>798</v>
      </c>
    </row>
    <row r="18" spans="1:13" x14ac:dyDescent="0.2">
      <c r="A18" s="23" t="s">
        <v>922</v>
      </c>
      <c r="B18" s="46" t="s">
        <v>927</v>
      </c>
      <c r="C18" s="23" t="s">
        <v>904</v>
      </c>
      <c r="D18" s="23" t="s">
        <v>661</v>
      </c>
      <c r="E18" s="23" t="s">
        <v>436</v>
      </c>
      <c r="F18" s="24">
        <v>39469</v>
      </c>
      <c r="G18" s="23"/>
      <c r="H18" s="23" t="s">
        <v>798</v>
      </c>
    </row>
    <row r="19" spans="1:13" x14ac:dyDescent="0.2">
      <c r="A19" s="23" t="s">
        <v>923</v>
      </c>
      <c r="B19" s="46" t="s">
        <v>928</v>
      </c>
      <c r="C19" s="23" t="s">
        <v>558</v>
      </c>
      <c r="D19" s="23" t="s">
        <v>661</v>
      </c>
      <c r="E19" s="23" t="s">
        <v>436</v>
      </c>
      <c r="F19" s="24">
        <v>39469</v>
      </c>
      <c r="G19" s="23"/>
      <c r="H19" s="23" t="s">
        <v>798</v>
      </c>
    </row>
    <row r="20" spans="1:13" x14ac:dyDescent="0.2">
      <c r="A20" s="23" t="s">
        <v>924</v>
      </c>
      <c r="B20" s="46" t="s">
        <v>929</v>
      </c>
      <c r="C20" s="23" t="s">
        <v>558</v>
      </c>
      <c r="D20" s="23" t="s">
        <v>661</v>
      </c>
      <c r="E20" s="23" t="s">
        <v>436</v>
      </c>
      <c r="F20" s="24">
        <v>39469</v>
      </c>
      <c r="G20" s="23"/>
      <c r="H20" s="23" t="s">
        <v>798</v>
      </c>
    </row>
    <row r="21" spans="1:13" x14ac:dyDescent="0.2">
      <c r="A21" s="23" t="s">
        <v>925</v>
      </c>
      <c r="B21" s="46" t="s">
        <v>930</v>
      </c>
      <c r="C21" s="23" t="s">
        <v>587</v>
      </c>
      <c r="D21" s="23" t="s">
        <v>661</v>
      </c>
      <c r="E21" s="23" t="s">
        <v>436</v>
      </c>
      <c r="F21" s="24">
        <v>39469</v>
      </c>
      <c r="G21" s="23"/>
      <c r="H21" s="23" t="s">
        <v>798</v>
      </c>
    </row>
    <row r="22" spans="1:13" x14ac:dyDescent="0.2">
      <c r="A22" s="22" t="s">
        <v>926</v>
      </c>
      <c r="B22" s="46" t="s">
        <v>931</v>
      </c>
      <c r="C22" s="23" t="s">
        <v>558</v>
      </c>
      <c r="D22" s="23" t="s">
        <v>661</v>
      </c>
      <c r="E22" s="23" t="s">
        <v>436</v>
      </c>
      <c r="F22" s="24">
        <v>39469</v>
      </c>
      <c r="G22" s="23"/>
      <c r="H22" s="23"/>
    </row>
    <row r="23" spans="1:13" x14ac:dyDescent="0.2">
      <c r="A23" s="22" t="s">
        <v>932</v>
      </c>
      <c r="B23" s="46" t="s">
        <v>934</v>
      </c>
      <c r="C23" s="23" t="s">
        <v>933</v>
      </c>
      <c r="D23" s="23" t="s">
        <v>851</v>
      </c>
      <c r="E23" s="23" t="s">
        <v>436</v>
      </c>
      <c r="F23" s="24">
        <v>39469</v>
      </c>
      <c r="G23" s="23"/>
      <c r="H23" s="23"/>
    </row>
    <row r="24" spans="1:13" x14ac:dyDescent="0.2">
      <c r="A24" s="22" t="s">
        <v>936</v>
      </c>
      <c r="B24" s="46" t="s">
        <v>439</v>
      </c>
      <c r="C24" s="23" t="s">
        <v>558</v>
      </c>
      <c r="D24" s="23" t="s">
        <v>436</v>
      </c>
      <c r="E24" s="23" t="s">
        <v>441</v>
      </c>
      <c r="F24" s="24">
        <v>39475</v>
      </c>
      <c r="G24" s="24">
        <v>41123</v>
      </c>
      <c r="H24" s="23" t="s">
        <v>798</v>
      </c>
    </row>
    <row r="25" spans="1:13" x14ac:dyDescent="0.2">
      <c r="A25" s="23" t="s">
        <v>937</v>
      </c>
      <c r="B25" s="53" t="s">
        <v>938</v>
      </c>
      <c r="C25" s="23" t="s">
        <v>978</v>
      </c>
      <c r="D25" s="23" t="s">
        <v>851</v>
      </c>
      <c r="E25" s="23" t="s">
        <v>627</v>
      </c>
      <c r="F25" s="24">
        <v>39476</v>
      </c>
      <c r="G25" s="24">
        <v>39706</v>
      </c>
      <c r="H25" s="23" t="s">
        <v>993</v>
      </c>
      <c r="I25" s="56" t="s">
        <v>1272</v>
      </c>
      <c r="J25" s="21"/>
      <c r="K25" s="21"/>
      <c r="L25" s="21"/>
      <c r="M25" s="21"/>
    </row>
    <row r="26" spans="1:13" x14ac:dyDescent="0.2">
      <c r="A26" s="23" t="s">
        <v>940</v>
      </c>
      <c r="B26" s="46" t="s">
        <v>941</v>
      </c>
      <c r="C26" s="23" t="s">
        <v>904</v>
      </c>
      <c r="D26" s="23" t="s">
        <v>661</v>
      </c>
      <c r="E26" s="23" t="s">
        <v>436</v>
      </c>
      <c r="F26" s="24">
        <v>39476</v>
      </c>
      <c r="G26" s="24">
        <v>39636</v>
      </c>
      <c r="H26" s="23" t="s">
        <v>798</v>
      </c>
    </row>
    <row r="27" spans="1:13" x14ac:dyDescent="0.2">
      <c r="A27" s="23" t="s">
        <v>942</v>
      </c>
      <c r="B27" s="46" t="s">
        <v>943</v>
      </c>
      <c r="C27" s="23" t="s">
        <v>944</v>
      </c>
      <c r="D27" s="23" t="s">
        <v>661</v>
      </c>
      <c r="E27" s="23" t="s">
        <v>627</v>
      </c>
      <c r="F27" s="24">
        <v>39479</v>
      </c>
      <c r="G27" s="23"/>
      <c r="H27" s="23" t="s">
        <v>798</v>
      </c>
    </row>
    <row r="28" spans="1:13" x14ac:dyDescent="0.2">
      <c r="A28" s="23" t="s">
        <v>945</v>
      </c>
      <c r="B28" s="46" t="s">
        <v>946</v>
      </c>
      <c r="C28" s="23" t="s">
        <v>947</v>
      </c>
      <c r="D28" s="23" t="s">
        <v>661</v>
      </c>
      <c r="E28" s="23" t="s">
        <v>436</v>
      </c>
      <c r="F28" s="24">
        <v>39482</v>
      </c>
      <c r="G28" s="23"/>
      <c r="H28" s="23" t="s">
        <v>798</v>
      </c>
    </row>
    <row r="29" spans="1:13" x14ac:dyDescent="0.2">
      <c r="A29" s="23" t="s">
        <v>948</v>
      </c>
      <c r="B29" s="46" t="s">
        <v>949</v>
      </c>
      <c r="C29" s="23" t="s">
        <v>587</v>
      </c>
      <c r="D29" s="23" t="s">
        <v>495</v>
      </c>
      <c r="E29" s="23" t="s">
        <v>436</v>
      </c>
      <c r="F29" s="24">
        <v>39483</v>
      </c>
      <c r="G29" s="23"/>
      <c r="H29" s="23" t="s">
        <v>798</v>
      </c>
    </row>
    <row r="30" spans="1:13" x14ac:dyDescent="0.2">
      <c r="A30" s="23" t="s">
        <v>950</v>
      </c>
      <c r="B30" s="46" t="s">
        <v>951</v>
      </c>
      <c r="C30" s="23" t="s">
        <v>558</v>
      </c>
      <c r="D30" s="23" t="s">
        <v>495</v>
      </c>
      <c r="E30" s="23" t="s">
        <v>436</v>
      </c>
      <c r="F30" s="24">
        <v>39483</v>
      </c>
      <c r="G30" s="23"/>
      <c r="H30" s="23" t="s">
        <v>798</v>
      </c>
    </row>
    <row r="31" spans="1:13" x14ac:dyDescent="0.2">
      <c r="A31" s="23" t="s">
        <v>952</v>
      </c>
      <c r="B31" s="46" t="s">
        <v>957</v>
      </c>
      <c r="C31" s="23" t="s">
        <v>939</v>
      </c>
      <c r="D31" s="23" t="s">
        <v>495</v>
      </c>
      <c r="E31" s="23" t="s">
        <v>436</v>
      </c>
      <c r="F31" s="24">
        <v>39485</v>
      </c>
      <c r="G31" s="23"/>
      <c r="H31" s="23" t="s">
        <v>798</v>
      </c>
    </row>
    <row r="32" spans="1:13" x14ac:dyDescent="0.2">
      <c r="A32" s="23" t="s">
        <v>953</v>
      </c>
      <c r="B32" s="46" t="s">
        <v>958</v>
      </c>
      <c r="C32" s="23" t="s">
        <v>904</v>
      </c>
      <c r="D32" s="23" t="s">
        <v>495</v>
      </c>
      <c r="E32" s="23" t="s">
        <v>436</v>
      </c>
      <c r="F32" s="24">
        <v>39485</v>
      </c>
      <c r="G32" s="23"/>
      <c r="H32" s="23" t="s">
        <v>798</v>
      </c>
    </row>
    <row r="33" spans="1:8" x14ac:dyDescent="0.2">
      <c r="A33" s="23" t="s">
        <v>959</v>
      </c>
      <c r="B33" s="46" t="s">
        <v>960</v>
      </c>
      <c r="C33" s="23" t="s">
        <v>447</v>
      </c>
      <c r="D33" s="23" t="s">
        <v>961</v>
      </c>
      <c r="E33" s="23" t="s">
        <v>436</v>
      </c>
      <c r="F33" s="24">
        <v>39486</v>
      </c>
      <c r="G33" s="23"/>
      <c r="H33" s="23" t="s">
        <v>798</v>
      </c>
    </row>
    <row r="34" spans="1:8" x14ac:dyDescent="0.2">
      <c r="A34" s="23" t="s">
        <v>962</v>
      </c>
      <c r="B34" s="46" t="s">
        <v>963</v>
      </c>
      <c r="C34" s="23" t="s">
        <v>904</v>
      </c>
      <c r="D34" s="23" t="s">
        <v>851</v>
      </c>
      <c r="E34" s="23" t="s">
        <v>627</v>
      </c>
      <c r="F34" s="24">
        <v>39490</v>
      </c>
      <c r="G34" s="23"/>
      <c r="H34" s="23" t="s">
        <v>798</v>
      </c>
    </row>
    <row r="35" spans="1:8" x14ac:dyDescent="0.2">
      <c r="A35" s="22" t="s">
        <v>964</v>
      </c>
      <c r="B35" s="46" t="s">
        <v>965</v>
      </c>
      <c r="C35" s="23" t="s">
        <v>904</v>
      </c>
      <c r="D35" s="23" t="s">
        <v>512</v>
      </c>
      <c r="E35" s="23" t="s">
        <v>627</v>
      </c>
      <c r="F35" s="24">
        <v>39490</v>
      </c>
      <c r="G35" s="23"/>
      <c r="H35" s="23"/>
    </row>
    <row r="36" spans="1:8" x14ac:dyDescent="0.2">
      <c r="A36" s="22" t="s">
        <v>966</v>
      </c>
      <c r="B36" s="46" t="s">
        <v>967</v>
      </c>
      <c r="C36" s="23" t="s">
        <v>939</v>
      </c>
      <c r="D36" s="23" t="s">
        <v>851</v>
      </c>
      <c r="E36" s="23" t="s">
        <v>627</v>
      </c>
      <c r="F36" s="24">
        <v>39492</v>
      </c>
      <c r="G36" s="23"/>
      <c r="H36" s="23" t="s">
        <v>798</v>
      </c>
    </row>
    <row r="37" spans="1:8" x14ac:dyDescent="0.2">
      <c r="A37" s="22" t="s">
        <v>968</v>
      </c>
      <c r="B37" s="46" t="s">
        <v>1378</v>
      </c>
      <c r="C37" s="23" t="s">
        <v>1377</v>
      </c>
      <c r="D37" s="22" t="s">
        <v>685</v>
      </c>
      <c r="E37" s="23" t="s">
        <v>615</v>
      </c>
      <c r="F37" s="24">
        <v>39493</v>
      </c>
      <c r="G37" s="24">
        <v>39769</v>
      </c>
      <c r="H37" s="23" t="s">
        <v>798</v>
      </c>
    </row>
    <row r="38" spans="1:8" x14ac:dyDescent="0.2">
      <c r="A38" s="22" t="s">
        <v>969</v>
      </c>
      <c r="B38" s="50"/>
      <c r="C38" s="542" t="s">
        <v>994</v>
      </c>
      <c r="D38" s="25"/>
      <c r="E38" s="25" t="s">
        <v>615</v>
      </c>
      <c r="F38" s="26"/>
      <c r="G38" s="31" t="s">
        <v>1056</v>
      </c>
      <c r="H38" s="31" t="s">
        <v>1056</v>
      </c>
    </row>
    <row r="39" spans="1:8" x14ac:dyDescent="0.2">
      <c r="A39" s="22" t="s">
        <v>970</v>
      </c>
      <c r="B39" s="50"/>
      <c r="C39" s="542"/>
      <c r="D39" s="25"/>
      <c r="E39" s="25" t="s">
        <v>615</v>
      </c>
      <c r="F39" s="26"/>
      <c r="G39" s="31" t="s">
        <v>1056</v>
      </c>
      <c r="H39" s="31" t="s">
        <v>1056</v>
      </c>
    </row>
    <row r="40" spans="1:8" x14ac:dyDescent="0.2">
      <c r="A40" s="22" t="s">
        <v>971</v>
      </c>
      <c r="B40" s="46" t="s">
        <v>972</v>
      </c>
      <c r="C40" s="23" t="s">
        <v>904</v>
      </c>
      <c r="D40" s="22" t="s">
        <v>973</v>
      </c>
      <c r="E40" s="22" t="s">
        <v>627</v>
      </c>
      <c r="F40" s="24">
        <v>39499</v>
      </c>
      <c r="G40" s="23"/>
      <c r="H40" s="23"/>
    </row>
    <row r="41" spans="1:8" x14ac:dyDescent="0.2">
      <c r="A41" s="22" t="s">
        <v>974</v>
      </c>
      <c r="B41" s="46" t="s">
        <v>975</v>
      </c>
      <c r="C41" s="23" t="s">
        <v>976</v>
      </c>
      <c r="D41" s="22" t="s">
        <v>851</v>
      </c>
      <c r="E41" s="22" t="s">
        <v>436</v>
      </c>
      <c r="F41" s="24">
        <v>39510</v>
      </c>
      <c r="G41" s="31" t="s">
        <v>1056</v>
      </c>
      <c r="H41" s="31" t="s">
        <v>1056</v>
      </c>
    </row>
    <row r="42" spans="1:8" ht="14.25" customHeight="1" x14ac:dyDescent="0.2">
      <c r="A42" s="22" t="s">
        <v>980</v>
      </c>
      <c r="B42" s="51" t="s">
        <v>981</v>
      </c>
      <c r="C42" s="39" t="s">
        <v>982</v>
      </c>
      <c r="D42" s="22" t="s">
        <v>615</v>
      </c>
      <c r="E42" s="22" t="s">
        <v>441</v>
      </c>
      <c r="F42" s="24">
        <v>39512</v>
      </c>
      <c r="G42" s="24">
        <v>39511</v>
      </c>
      <c r="H42" s="23" t="s">
        <v>798</v>
      </c>
    </row>
    <row r="43" spans="1:8" ht="13.35" customHeight="1" x14ac:dyDescent="0.2">
      <c r="A43" s="23" t="s">
        <v>983</v>
      </c>
      <c r="B43" s="46" t="s">
        <v>985</v>
      </c>
      <c r="C43" s="39" t="s">
        <v>984</v>
      </c>
      <c r="D43" s="22" t="s">
        <v>685</v>
      </c>
      <c r="E43" s="22" t="s">
        <v>615</v>
      </c>
      <c r="F43" s="24">
        <v>39512</v>
      </c>
      <c r="G43" s="24">
        <v>39743</v>
      </c>
      <c r="H43" s="23" t="s">
        <v>993</v>
      </c>
    </row>
    <row r="44" spans="1:8" s="70" customFormat="1" x14ac:dyDescent="0.2">
      <c r="A44" s="27" t="s">
        <v>986</v>
      </c>
      <c r="B44" s="105" t="s">
        <v>836</v>
      </c>
      <c r="C44" s="27" t="s">
        <v>988</v>
      </c>
      <c r="D44" s="27" t="s">
        <v>987</v>
      </c>
      <c r="E44" s="27" t="s">
        <v>436</v>
      </c>
      <c r="F44" s="33">
        <v>39512</v>
      </c>
      <c r="G44" s="33">
        <v>39948</v>
      </c>
      <c r="H44" s="41" t="s">
        <v>798</v>
      </c>
    </row>
    <row r="45" spans="1:8" x14ac:dyDescent="0.2">
      <c r="A45" s="22" t="s">
        <v>989</v>
      </c>
      <c r="B45" s="46" t="s">
        <v>991</v>
      </c>
      <c r="C45" s="23" t="s">
        <v>992</v>
      </c>
      <c r="D45" s="22" t="s">
        <v>990</v>
      </c>
      <c r="E45" s="22" t="s">
        <v>436</v>
      </c>
      <c r="F45" s="24">
        <v>39513</v>
      </c>
      <c r="G45" s="23"/>
      <c r="H45" s="23" t="s">
        <v>993</v>
      </c>
    </row>
    <row r="46" spans="1:8" x14ac:dyDescent="0.2">
      <c r="A46" s="22" t="s">
        <v>995</v>
      </c>
      <c r="B46" s="46" t="s">
        <v>997</v>
      </c>
      <c r="C46" s="23" t="s">
        <v>933</v>
      </c>
      <c r="D46" s="22" t="s">
        <v>999</v>
      </c>
      <c r="E46" s="22" t="s">
        <v>627</v>
      </c>
      <c r="F46" s="24">
        <v>39521</v>
      </c>
      <c r="G46" s="24">
        <v>39715</v>
      </c>
      <c r="H46" s="23" t="s">
        <v>798</v>
      </c>
    </row>
    <row r="47" spans="1:8" x14ac:dyDescent="0.2">
      <c r="A47" s="22" t="s">
        <v>996</v>
      </c>
      <c r="B47" s="46" t="s">
        <v>998</v>
      </c>
      <c r="C47" s="23" t="s">
        <v>904</v>
      </c>
      <c r="D47" s="22" t="s">
        <v>999</v>
      </c>
      <c r="E47" s="22" t="s">
        <v>627</v>
      </c>
      <c r="F47" s="24">
        <v>39521</v>
      </c>
      <c r="G47" s="24">
        <v>39877</v>
      </c>
      <c r="H47" s="23" t="s">
        <v>993</v>
      </c>
    </row>
    <row r="48" spans="1:8" x14ac:dyDescent="0.2">
      <c r="A48" s="22" t="s">
        <v>1001</v>
      </c>
      <c r="B48" s="46" t="s">
        <v>1008</v>
      </c>
      <c r="C48" s="23" t="s">
        <v>1002</v>
      </c>
      <c r="D48" s="23" t="s">
        <v>851</v>
      </c>
      <c r="E48" s="22" t="s">
        <v>961</v>
      </c>
      <c r="F48" s="24">
        <v>39524</v>
      </c>
      <c r="G48" s="24">
        <v>39533</v>
      </c>
      <c r="H48" s="23" t="s">
        <v>993</v>
      </c>
    </row>
    <row r="49" spans="1:8" x14ac:dyDescent="0.2">
      <c r="A49" s="22" t="s">
        <v>1000</v>
      </c>
      <c r="B49" s="46" t="s">
        <v>1014</v>
      </c>
      <c r="C49" s="23" t="s">
        <v>1003</v>
      </c>
      <c r="D49" s="23" t="s">
        <v>851</v>
      </c>
      <c r="E49" s="22" t="s">
        <v>961</v>
      </c>
      <c r="F49" s="24">
        <v>39524</v>
      </c>
      <c r="G49" s="24">
        <v>39533</v>
      </c>
      <c r="H49" s="23" t="s">
        <v>993</v>
      </c>
    </row>
    <row r="50" spans="1:8" x14ac:dyDescent="0.2">
      <c r="A50" s="22" t="s">
        <v>1004</v>
      </c>
      <c r="B50" s="46" t="s">
        <v>1019</v>
      </c>
      <c r="C50" s="23" t="s">
        <v>1007</v>
      </c>
      <c r="D50" s="23" t="s">
        <v>851</v>
      </c>
      <c r="E50" s="22" t="s">
        <v>961</v>
      </c>
      <c r="F50" s="24">
        <v>39524</v>
      </c>
      <c r="G50" s="24">
        <v>39539</v>
      </c>
      <c r="H50" s="23" t="s">
        <v>993</v>
      </c>
    </row>
    <row r="51" spans="1:8" x14ac:dyDescent="0.2">
      <c r="A51" s="22" t="s">
        <v>1020</v>
      </c>
      <c r="B51" s="46" t="s">
        <v>1021</v>
      </c>
      <c r="C51" s="23" t="s">
        <v>944</v>
      </c>
      <c r="D51" s="22" t="s">
        <v>727</v>
      </c>
      <c r="E51" s="22" t="s">
        <v>627</v>
      </c>
      <c r="F51" s="24">
        <v>39524</v>
      </c>
      <c r="G51" s="23" t="s">
        <v>1173</v>
      </c>
      <c r="H51" s="23" t="s">
        <v>1173</v>
      </c>
    </row>
    <row r="52" spans="1:8" x14ac:dyDescent="0.2">
      <c r="A52" s="22" t="s">
        <v>1022</v>
      </c>
      <c r="B52" s="46" t="s">
        <v>1023</v>
      </c>
      <c r="C52" s="23" t="s">
        <v>1334</v>
      </c>
      <c r="D52" s="22" t="s">
        <v>794</v>
      </c>
      <c r="E52" s="22" t="s">
        <v>441</v>
      </c>
      <c r="F52" s="24">
        <v>39525</v>
      </c>
      <c r="G52" s="24">
        <v>39755</v>
      </c>
      <c r="H52" s="23" t="s">
        <v>798</v>
      </c>
    </row>
    <row r="53" spans="1:8" x14ac:dyDescent="0.2">
      <c r="A53" s="22" t="s">
        <v>1024</v>
      </c>
      <c r="B53" s="46" t="s">
        <v>1025</v>
      </c>
      <c r="C53" s="23" t="s">
        <v>1026</v>
      </c>
      <c r="D53" s="22" t="s">
        <v>851</v>
      </c>
      <c r="E53" s="22" t="s">
        <v>961</v>
      </c>
      <c r="F53" s="24">
        <v>39527</v>
      </c>
      <c r="G53" s="24">
        <v>39533</v>
      </c>
      <c r="H53" s="23" t="s">
        <v>993</v>
      </c>
    </row>
    <row r="54" spans="1:8" x14ac:dyDescent="0.2">
      <c r="A54" s="22" t="s">
        <v>1027</v>
      </c>
      <c r="B54" s="46" t="s">
        <v>1028</v>
      </c>
      <c r="C54" s="23" t="s">
        <v>1029</v>
      </c>
      <c r="D54" s="22" t="s">
        <v>851</v>
      </c>
      <c r="E54" s="22" t="s">
        <v>961</v>
      </c>
      <c r="F54" s="24">
        <v>39527</v>
      </c>
      <c r="G54" s="24">
        <v>39533</v>
      </c>
      <c r="H54" s="23" t="s">
        <v>993</v>
      </c>
    </row>
    <row r="55" spans="1:8" x14ac:dyDescent="0.2">
      <c r="A55" s="22" t="s">
        <v>1038</v>
      </c>
      <c r="B55" s="46" t="s">
        <v>1039</v>
      </c>
      <c r="C55" s="23" t="s">
        <v>1040</v>
      </c>
      <c r="D55" s="22" t="s">
        <v>436</v>
      </c>
      <c r="E55" s="22" t="s">
        <v>961</v>
      </c>
      <c r="F55" s="24">
        <v>39529</v>
      </c>
      <c r="G55" s="24">
        <v>39533</v>
      </c>
      <c r="H55" s="23" t="s">
        <v>993</v>
      </c>
    </row>
    <row r="56" spans="1:8" x14ac:dyDescent="0.2">
      <c r="A56" s="27" t="s">
        <v>1041</v>
      </c>
      <c r="B56" s="52" t="s">
        <v>1042</v>
      </c>
      <c r="C56" s="41" t="s">
        <v>1043</v>
      </c>
      <c r="D56" s="27" t="s">
        <v>436</v>
      </c>
      <c r="E56" s="27" t="s">
        <v>961</v>
      </c>
      <c r="F56" s="33">
        <v>39531</v>
      </c>
      <c r="G56" s="31" t="s">
        <v>1056</v>
      </c>
      <c r="H56" s="31" t="s">
        <v>1056</v>
      </c>
    </row>
    <row r="57" spans="1:8" x14ac:dyDescent="0.2">
      <c r="A57" s="27" t="s">
        <v>1046</v>
      </c>
      <c r="B57" s="52" t="s">
        <v>1044</v>
      </c>
      <c r="C57" s="41" t="s">
        <v>1045</v>
      </c>
      <c r="D57" s="27" t="s">
        <v>436</v>
      </c>
      <c r="E57" s="27" t="s">
        <v>961</v>
      </c>
      <c r="F57" s="33">
        <v>39531</v>
      </c>
      <c r="G57" s="31" t="s">
        <v>1056</v>
      </c>
      <c r="H57" s="31" t="s">
        <v>1056</v>
      </c>
    </row>
    <row r="58" spans="1:8" x14ac:dyDescent="0.2">
      <c r="A58" s="22" t="s">
        <v>1047</v>
      </c>
      <c r="B58" s="46" t="s">
        <v>1048</v>
      </c>
      <c r="C58" s="23" t="s">
        <v>1051</v>
      </c>
      <c r="D58" s="23" t="s">
        <v>1050</v>
      </c>
      <c r="E58" s="23" t="s">
        <v>1049</v>
      </c>
      <c r="F58" s="24">
        <v>39535</v>
      </c>
      <c r="G58" s="24">
        <v>39706</v>
      </c>
      <c r="H58" s="23" t="s">
        <v>798</v>
      </c>
    </row>
    <row r="59" spans="1:8" x14ac:dyDescent="0.2">
      <c r="A59" s="22" t="s">
        <v>1052</v>
      </c>
      <c r="B59" s="53" t="s">
        <v>1053</v>
      </c>
      <c r="C59" s="23" t="s">
        <v>1054</v>
      </c>
      <c r="D59" s="22" t="s">
        <v>1055</v>
      </c>
      <c r="E59" s="22" t="s">
        <v>961</v>
      </c>
      <c r="F59" s="24">
        <v>39538</v>
      </c>
      <c r="G59" s="24">
        <v>39555</v>
      </c>
      <c r="H59" s="23" t="s">
        <v>798</v>
      </c>
    </row>
    <row r="60" spans="1:8" x14ac:dyDescent="0.2">
      <c r="A60" s="22" t="s">
        <v>1057</v>
      </c>
      <c r="B60" s="53" t="s">
        <v>1058</v>
      </c>
      <c r="C60" s="23" t="s">
        <v>1059</v>
      </c>
      <c r="D60" s="22" t="s">
        <v>436</v>
      </c>
      <c r="E60" s="22" t="s">
        <v>961</v>
      </c>
      <c r="F60" s="24">
        <v>39539</v>
      </c>
      <c r="G60" s="24">
        <v>39541</v>
      </c>
      <c r="H60" s="23" t="s">
        <v>798</v>
      </c>
    </row>
    <row r="61" spans="1:8" x14ac:dyDescent="0.2">
      <c r="A61" s="22" t="s">
        <v>1060</v>
      </c>
      <c r="B61" s="53" t="s">
        <v>1061</v>
      </c>
      <c r="C61" s="23" t="s">
        <v>893</v>
      </c>
      <c r="D61" s="22" t="s">
        <v>987</v>
      </c>
      <c r="E61" s="22" t="s">
        <v>961</v>
      </c>
      <c r="F61" s="24">
        <v>39539</v>
      </c>
      <c r="G61" s="24">
        <v>39542</v>
      </c>
      <c r="H61" s="23" t="s">
        <v>798</v>
      </c>
    </row>
    <row r="62" spans="1:8" x14ac:dyDescent="0.2">
      <c r="A62" s="22" t="s">
        <v>1062</v>
      </c>
      <c r="B62" s="46" t="s">
        <v>1063</v>
      </c>
      <c r="C62" s="23" t="s">
        <v>1064</v>
      </c>
      <c r="D62" s="22" t="s">
        <v>1055</v>
      </c>
      <c r="E62" s="22" t="s">
        <v>961</v>
      </c>
      <c r="F62" s="24">
        <v>39539</v>
      </c>
      <c r="G62" s="24">
        <v>39555</v>
      </c>
      <c r="H62" s="23" t="s">
        <v>798</v>
      </c>
    </row>
    <row r="63" spans="1:8" x14ac:dyDescent="0.2">
      <c r="A63" s="22" t="s">
        <v>1066</v>
      </c>
      <c r="B63" s="46" t="s">
        <v>1065</v>
      </c>
      <c r="C63" s="23" t="s">
        <v>893</v>
      </c>
      <c r="D63" s="22" t="s">
        <v>1050</v>
      </c>
      <c r="E63" s="22" t="s">
        <v>961</v>
      </c>
      <c r="F63" s="24">
        <v>39540</v>
      </c>
      <c r="G63" s="24">
        <v>39542</v>
      </c>
      <c r="H63" s="23" t="s">
        <v>798</v>
      </c>
    </row>
    <row r="64" spans="1:8" ht="90.75" customHeight="1" x14ac:dyDescent="0.2">
      <c r="A64" s="28" t="s">
        <v>1067</v>
      </c>
      <c r="B64" s="49" t="s">
        <v>1068</v>
      </c>
      <c r="C64" s="40" t="s">
        <v>1069</v>
      </c>
      <c r="D64" s="28" t="s">
        <v>851</v>
      </c>
      <c r="E64" s="28" t="s">
        <v>961</v>
      </c>
      <c r="F64" s="32">
        <v>39540</v>
      </c>
      <c r="G64" s="32">
        <v>39542</v>
      </c>
      <c r="H64" s="34" t="s">
        <v>798</v>
      </c>
    </row>
    <row r="65" spans="1:8" x14ac:dyDescent="0.2">
      <c r="A65" s="22" t="s">
        <v>1070</v>
      </c>
      <c r="B65" s="42" t="s">
        <v>1071</v>
      </c>
      <c r="C65" s="23" t="s">
        <v>933</v>
      </c>
      <c r="D65" s="22" t="s">
        <v>1050</v>
      </c>
      <c r="E65" s="22" t="s">
        <v>961</v>
      </c>
      <c r="F65" s="24">
        <v>39541</v>
      </c>
      <c r="G65" s="24">
        <v>39542</v>
      </c>
      <c r="H65" s="23" t="s">
        <v>798</v>
      </c>
    </row>
    <row r="66" spans="1:8" x14ac:dyDescent="0.2">
      <c r="A66" s="14" t="s">
        <v>1073</v>
      </c>
      <c r="B66" s="47" t="s">
        <v>678</v>
      </c>
      <c r="C66" s="7" t="s">
        <v>1074</v>
      </c>
      <c r="D66" s="14" t="s">
        <v>834</v>
      </c>
      <c r="E66" s="14" t="s">
        <v>627</v>
      </c>
      <c r="F66" s="24">
        <v>39541</v>
      </c>
      <c r="G66" s="7" t="s">
        <v>1056</v>
      </c>
      <c r="H66" s="1" t="s">
        <v>1056</v>
      </c>
    </row>
    <row r="67" spans="1:8" x14ac:dyDescent="0.2">
      <c r="A67" s="22" t="s">
        <v>1075</v>
      </c>
      <c r="B67" s="38" t="s">
        <v>1076</v>
      </c>
      <c r="C67" s="23" t="s">
        <v>933</v>
      </c>
      <c r="D67" s="22" t="s">
        <v>750</v>
      </c>
      <c r="E67" s="22" t="s">
        <v>961</v>
      </c>
      <c r="F67" s="13">
        <v>39553</v>
      </c>
      <c r="G67" s="23" t="s">
        <v>1056</v>
      </c>
      <c r="H67" s="23" t="s">
        <v>1056</v>
      </c>
    </row>
    <row r="68" spans="1:8" x14ac:dyDescent="0.2">
      <c r="A68" s="22" t="s">
        <v>1077</v>
      </c>
      <c r="B68" s="38" t="s">
        <v>1078</v>
      </c>
      <c r="C68" s="38" t="s">
        <v>904</v>
      </c>
      <c r="D68" s="22" t="s">
        <v>851</v>
      </c>
      <c r="E68" s="22" t="s">
        <v>961</v>
      </c>
      <c r="F68" s="24">
        <v>39554</v>
      </c>
      <c r="G68" s="24">
        <v>39625</v>
      </c>
      <c r="H68" s="23" t="s">
        <v>798</v>
      </c>
    </row>
    <row r="69" spans="1:8" x14ac:dyDescent="0.2">
      <c r="A69" s="22" t="s">
        <v>1079</v>
      </c>
      <c r="B69" s="38" t="s">
        <v>1080</v>
      </c>
      <c r="C69" s="18" t="s">
        <v>904</v>
      </c>
      <c r="D69" s="22" t="s">
        <v>516</v>
      </c>
      <c r="E69" s="22" t="s">
        <v>627</v>
      </c>
      <c r="F69" s="24">
        <v>39554</v>
      </c>
      <c r="G69" s="24">
        <v>39651</v>
      </c>
      <c r="H69" s="23" t="s">
        <v>798</v>
      </c>
    </row>
    <row r="70" spans="1:8" x14ac:dyDescent="0.2">
      <c r="A70" s="22" t="s">
        <v>1081</v>
      </c>
      <c r="B70" s="38" t="s">
        <v>1082</v>
      </c>
      <c r="C70" s="23" t="s">
        <v>904</v>
      </c>
      <c r="D70" s="22" t="s">
        <v>516</v>
      </c>
      <c r="E70" s="22" t="s">
        <v>627</v>
      </c>
      <c r="F70" s="24">
        <v>39554</v>
      </c>
      <c r="G70" s="24">
        <v>39870</v>
      </c>
      <c r="H70" s="23" t="s">
        <v>798</v>
      </c>
    </row>
    <row r="71" spans="1:8" x14ac:dyDescent="0.2">
      <c r="A71" s="22" t="s">
        <v>1083</v>
      </c>
      <c r="B71" s="38" t="s">
        <v>1084</v>
      </c>
      <c r="C71" s="44"/>
      <c r="D71" s="22" t="s">
        <v>685</v>
      </c>
      <c r="E71" s="22" t="s">
        <v>627</v>
      </c>
      <c r="F71" s="24">
        <v>39562</v>
      </c>
      <c r="G71" s="24">
        <v>39966</v>
      </c>
      <c r="H71" s="23" t="s">
        <v>993</v>
      </c>
    </row>
    <row r="72" spans="1:8" ht="13.35" customHeight="1" x14ac:dyDescent="0.2">
      <c r="A72" s="22" t="s">
        <v>1085</v>
      </c>
      <c r="B72" s="38" t="s">
        <v>1086</v>
      </c>
      <c r="C72" s="44" t="s">
        <v>904</v>
      </c>
      <c r="D72" s="22" t="s">
        <v>436</v>
      </c>
      <c r="E72" s="22" t="s">
        <v>961</v>
      </c>
      <c r="F72" s="24">
        <v>39563</v>
      </c>
      <c r="G72" s="24">
        <v>41401</v>
      </c>
      <c r="H72" s="225" t="s">
        <v>798</v>
      </c>
    </row>
    <row r="73" spans="1:8" x14ac:dyDescent="0.2">
      <c r="A73" s="22" t="s">
        <v>1087</v>
      </c>
      <c r="B73" s="38" t="s">
        <v>1088</v>
      </c>
      <c r="C73" s="43" t="s">
        <v>1089</v>
      </c>
      <c r="D73" s="22" t="s">
        <v>794</v>
      </c>
      <c r="E73" s="22" t="s">
        <v>441</v>
      </c>
      <c r="F73" s="24">
        <v>39566</v>
      </c>
      <c r="G73" s="23" t="s">
        <v>1384</v>
      </c>
      <c r="H73" s="23" t="s">
        <v>1056</v>
      </c>
    </row>
    <row r="74" spans="1:8" x14ac:dyDescent="0.2">
      <c r="A74" s="22" t="s">
        <v>1090</v>
      </c>
      <c r="B74" s="38" t="s">
        <v>1095</v>
      </c>
      <c r="C74" s="43" t="s">
        <v>1091</v>
      </c>
      <c r="D74" s="22" t="s">
        <v>1055</v>
      </c>
      <c r="E74" s="22" t="s">
        <v>961</v>
      </c>
      <c r="F74" s="24">
        <v>39566</v>
      </c>
      <c r="G74" s="24">
        <v>39583</v>
      </c>
      <c r="H74" s="23" t="s">
        <v>798</v>
      </c>
    </row>
    <row r="75" spans="1:8" x14ac:dyDescent="0.2">
      <c r="A75" s="22" t="s">
        <v>1092</v>
      </c>
      <c r="B75" s="38" t="s">
        <v>1093</v>
      </c>
      <c r="C75" s="43" t="s">
        <v>1094</v>
      </c>
      <c r="D75" s="22" t="s">
        <v>794</v>
      </c>
      <c r="E75" s="22" t="s">
        <v>441</v>
      </c>
      <c r="F75" s="24">
        <v>39569</v>
      </c>
      <c r="G75" s="24">
        <v>39671</v>
      </c>
      <c r="H75" s="23" t="s">
        <v>798</v>
      </c>
    </row>
    <row r="76" spans="1:8" x14ac:dyDescent="0.2">
      <c r="A76" s="22" t="s">
        <v>1098</v>
      </c>
      <c r="B76" s="38" t="s">
        <v>1096</v>
      </c>
      <c r="C76" s="43" t="s">
        <v>1097</v>
      </c>
      <c r="D76" s="22" t="s">
        <v>1055</v>
      </c>
      <c r="E76" s="22" t="s">
        <v>961</v>
      </c>
      <c r="F76" s="24">
        <v>39573</v>
      </c>
      <c r="G76" s="24">
        <v>39583</v>
      </c>
      <c r="H76" s="23" t="s">
        <v>798</v>
      </c>
    </row>
    <row r="77" spans="1:8" x14ac:dyDescent="0.2">
      <c r="A77" s="22" t="s">
        <v>1099</v>
      </c>
      <c r="B77" s="38" t="s">
        <v>1100</v>
      </c>
      <c r="C77" s="43" t="s">
        <v>1089</v>
      </c>
      <c r="D77" s="22" t="s">
        <v>1055</v>
      </c>
      <c r="E77" s="22" t="s">
        <v>961</v>
      </c>
      <c r="F77" s="24">
        <v>39573</v>
      </c>
      <c r="G77" s="24">
        <v>39583</v>
      </c>
      <c r="H77" s="23" t="s">
        <v>798</v>
      </c>
    </row>
    <row r="78" spans="1:8" x14ac:dyDescent="0.2">
      <c r="A78" s="22" t="s">
        <v>1101</v>
      </c>
      <c r="B78" s="38" t="s">
        <v>1102</v>
      </c>
      <c r="C78" s="43" t="s">
        <v>1094</v>
      </c>
      <c r="D78" s="22" t="s">
        <v>794</v>
      </c>
      <c r="E78" s="22" t="s">
        <v>441</v>
      </c>
      <c r="F78" s="24">
        <v>39574</v>
      </c>
      <c r="G78" s="24">
        <v>41159</v>
      </c>
      <c r="H78" s="22" t="s">
        <v>798</v>
      </c>
    </row>
    <row r="79" spans="1:8" x14ac:dyDescent="0.2">
      <c r="A79" s="22" t="s">
        <v>1103</v>
      </c>
      <c r="B79" s="38" t="s">
        <v>1104</v>
      </c>
      <c r="C79" s="43" t="s">
        <v>1089</v>
      </c>
      <c r="D79" s="22" t="s">
        <v>1055</v>
      </c>
      <c r="E79" s="22" t="s">
        <v>961</v>
      </c>
      <c r="F79" s="24">
        <v>39583</v>
      </c>
      <c r="G79" s="24">
        <v>39608</v>
      </c>
      <c r="H79" s="23" t="s">
        <v>798</v>
      </c>
    </row>
    <row r="80" spans="1:8" x14ac:dyDescent="0.2">
      <c r="A80" s="22" t="s">
        <v>1105</v>
      </c>
      <c r="B80" s="46" t="s">
        <v>1106</v>
      </c>
      <c r="C80" s="43" t="s">
        <v>1097</v>
      </c>
      <c r="D80" s="22" t="s">
        <v>1055</v>
      </c>
      <c r="E80" s="22" t="s">
        <v>961</v>
      </c>
      <c r="F80" s="24">
        <v>39583</v>
      </c>
      <c r="G80" s="24">
        <v>39608</v>
      </c>
      <c r="H80" s="23" t="s">
        <v>798</v>
      </c>
    </row>
    <row r="81" spans="1:8" x14ac:dyDescent="0.2">
      <c r="A81" s="22" t="s">
        <v>1107</v>
      </c>
      <c r="B81" s="46" t="s">
        <v>1108</v>
      </c>
      <c r="C81" s="43" t="s">
        <v>1109</v>
      </c>
      <c r="D81" s="22" t="s">
        <v>1055</v>
      </c>
      <c r="E81" s="22" t="s">
        <v>961</v>
      </c>
      <c r="F81" s="24">
        <v>39583</v>
      </c>
      <c r="G81" s="24">
        <v>39609</v>
      </c>
      <c r="H81" s="23" t="s">
        <v>798</v>
      </c>
    </row>
    <row r="82" spans="1:8" x14ac:dyDescent="0.2">
      <c r="A82" s="29" t="s">
        <v>1110</v>
      </c>
      <c r="B82" s="54" t="s">
        <v>1111</v>
      </c>
      <c r="C82" s="45" t="s">
        <v>904</v>
      </c>
      <c r="D82" s="22" t="s">
        <v>516</v>
      </c>
      <c r="E82" s="22" t="s">
        <v>834</v>
      </c>
      <c r="F82" s="24">
        <v>39582</v>
      </c>
      <c r="G82" s="24">
        <v>39988</v>
      </c>
      <c r="H82" s="23" t="s">
        <v>993</v>
      </c>
    </row>
    <row r="83" spans="1:8" x14ac:dyDescent="0.2">
      <c r="A83" s="30" t="s">
        <v>1112</v>
      </c>
      <c r="B83" s="36" t="s">
        <v>1113</v>
      </c>
      <c r="C83" s="18" t="s">
        <v>904</v>
      </c>
      <c r="D83" s="22" t="s">
        <v>685</v>
      </c>
      <c r="E83" s="22" t="s">
        <v>834</v>
      </c>
      <c r="F83" s="24">
        <v>39583</v>
      </c>
      <c r="G83" s="24">
        <v>39937</v>
      </c>
      <c r="H83" s="23" t="s">
        <v>993</v>
      </c>
    </row>
    <row r="84" spans="1:8" x14ac:dyDescent="0.2">
      <c r="A84" s="30" t="s">
        <v>1114</v>
      </c>
      <c r="B84" s="46" t="s">
        <v>1115</v>
      </c>
      <c r="C84" s="18" t="s">
        <v>904</v>
      </c>
      <c r="D84" s="22" t="s">
        <v>685</v>
      </c>
      <c r="E84" s="22" t="s">
        <v>834</v>
      </c>
      <c r="F84" s="24">
        <v>39583</v>
      </c>
      <c r="G84" s="24">
        <v>39797</v>
      </c>
      <c r="H84" s="23" t="s">
        <v>798</v>
      </c>
    </row>
    <row r="85" spans="1:8" x14ac:dyDescent="0.2">
      <c r="A85" s="30" t="s">
        <v>1121</v>
      </c>
      <c r="B85" s="46" t="s">
        <v>1122</v>
      </c>
      <c r="C85" s="18" t="s">
        <v>904</v>
      </c>
      <c r="D85" s="22" t="s">
        <v>1123</v>
      </c>
      <c r="E85" s="22" t="s">
        <v>834</v>
      </c>
      <c r="F85" s="24">
        <v>39583</v>
      </c>
      <c r="G85" s="23" t="s">
        <v>1056</v>
      </c>
      <c r="H85" s="23" t="s">
        <v>1056</v>
      </c>
    </row>
    <row r="86" spans="1:8" x14ac:dyDescent="0.2">
      <c r="A86" s="30" t="s">
        <v>1124</v>
      </c>
      <c r="B86" s="46" t="s">
        <v>1125</v>
      </c>
      <c r="C86" s="18" t="s">
        <v>904</v>
      </c>
      <c r="D86" s="22" t="s">
        <v>685</v>
      </c>
      <c r="E86" s="22" t="s">
        <v>834</v>
      </c>
      <c r="F86" s="24">
        <v>39583</v>
      </c>
      <c r="G86" s="24">
        <v>39944</v>
      </c>
      <c r="H86" s="23" t="s">
        <v>993</v>
      </c>
    </row>
    <row r="87" spans="1:8" x14ac:dyDescent="0.2">
      <c r="A87" s="30" t="s">
        <v>1126</v>
      </c>
      <c r="B87" s="46" t="s">
        <v>1127</v>
      </c>
      <c r="C87" s="18" t="s">
        <v>904</v>
      </c>
      <c r="D87" s="22" t="s">
        <v>516</v>
      </c>
      <c r="E87" s="22" t="s">
        <v>834</v>
      </c>
      <c r="F87" s="24">
        <v>39581</v>
      </c>
      <c r="G87" s="24">
        <v>39748</v>
      </c>
      <c r="H87" s="23" t="s">
        <v>798</v>
      </c>
    </row>
    <row r="88" spans="1:8" x14ac:dyDescent="0.2">
      <c r="A88" s="30" t="s">
        <v>1128</v>
      </c>
      <c r="B88" s="46" t="s">
        <v>1131</v>
      </c>
      <c r="C88" s="18" t="s">
        <v>1174</v>
      </c>
      <c r="D88" s="22" t="s">
        <v>999</v>
      </c>
      <c r="E88" s="22" t="s">
        <v>834</v>
      </c>
      <c r="F88" s="24">
        <v>39596</v>
      </c>
      <c r="G88" s="24">
        <v>39787</v>
      </c>
      <c r="H88" s="23" t="s">
        <v>993</v>
      </c>
    </row>
    <row r="89" spans="1:8" x14ac:dyDescent="0.2">
      <c r="A89" s="30" t="s">
        <v>1129</v>
      </c>
      <c r="B89" s="46" t="s">
        <v>1130</v>
      </c>
      <c r="C89" s="18" t="s">
        <v>525</v>
      </c>
      <c r="D89" s="22" t="s">
        <v>999</v>
      </c>
      <c r="E89" s="22" t="s">
        <v>834</v>
      </c>
      <c r="F89" s="24">
        <v>39596</v>
      </c>
      <c r="G89" s="24">
        <v>39800</v>
      </c>
      <c r="H89" s="23" t="s">
        <v>798</v>
      </c>
    </row>
    <row r="90" spans="1:8" x14ac:dyDescent="0.2">
      <c r="A90" s="30" t="s">
        <v>1132</v>
      </c>
      <c r="B90" s="46" t="s">
        <v>1133</v>
      </c>
      <c r="C90" s="18" t="s">
        <v>1134</v>
      </c>
      <c r="D90" s="22" t="s">
        <v>615</v>
      </c>
      <c r="E90" s="22" t="s">
        <v>615</v>
      </c>
      <c r="F90" s="24">
        <v>39596</v>
      </c>
      <c r="G90" s="24">
        <v>39597</v>
      </c>
      <c r="H90" s="23" t="s">
        <v>798</v>
      </c>
    </row>
    <row r="91" spans="1:8" x14ac:dyDescent="0.2">
      <c r="A91" s="22" t="s">
        <v>1135</v>
      </c>
      <c r="B91" s="46" t="s">
        <v>1136</v>
      </c>
      <c r="C91" s="23" t="s">
        <v>904</v>
      </c>
      <c r="D91" s="22" t="s">
        <v>685</v>
      </c>
      <c r="E91" s="22" t="s">
        <v>834</v>
      </c>
      <c r="F91" s="24">
        <v>39596</v>
      </c>
      <c r="G91" s="24">
        <v>39944</v>
      </c>
      <c r="H91" s="23" t="s">
        <v>993</v>
      </c>
    </row>
    <row r="92" spans="1:8" x14ac:dyDescent="0.2">
      <c r="A92" s="22" t="s">
        <v>1137</v>
      </c>
      <c r="B92" s="46" t="s">
        <v>1138</v>
      </c>
      <c r="C92" s="22" t="s">
        <v>904</v>
      </c>
      <c r="D92" s="22" t="s">
        <v>685</v>
      </c>
      <c r="E92" s="22" t="s">
        <v>834</v>
      </c>
      <c r="F92" s="24">
        <v>39596</v>
      </c>
      <c r="G92" s="24">
        <v>39937</v>
      </c>
      <c r="H92" s="23" t="s">
        <v>993</v>
      </c>
    </row>
    <row r="93" spans="1:8" x14ac:dyDescent="0.2">
      <c r="A93" s="22" t="s">
        <v>1140</v>
      </c>
      <c r="B93" s="46" t="s">
        <v>437</v>
      </c>
      <c r="C93" s="46" t="s">
        <v>525</v>
      </c>
      <c r="D93" s="22" t="s">
        <v>615</v>
      </c>
      <c r="E93" s="22" t="s">
        <v>615</v>
      </c>
      <c r="F93" s="24">
        <v>39596</v>
      </c>
      <c r="G93" s="24">
        <v>39785</v>
      </c>
      <c r="H93" s="23" t="s">
        <v>993</v>
      </c>
    </row>
    <row r="94" spans="1:8" ht="30" customHeight="1" x14ac:dyDescent="0.2">
      <c r="A94" s="22" t="s">
        <v>1141</v>
      </c>
      <c r="B94" s="46" t="s">
        <v>1142</v>
      </c>
      <c r="C94" s="48" t="s">
        <v>1143</v>
      </c>
      <c r="D94" s="22" t="s">
        <v>1144</v>
      </c>
      <c r="E94" s="22" t="s">
        <v>615</v>
      </c>
      <c r="F94" s="24">
        <v>39597</v>
      </c>
      <c r="G94" s="24">
        <v>39597</v>
      </c>
      <c r="H94" s="23" t="s">
        <v>798</v>
      </c>
    </row>
    <row r="95" spans="1:8" x14ac:dyDescent="0.2">
      <c r="A95" s="22" t="s">
        <v>1145</v>
      </c>
      <c r="B95" s="46" t="s">
        <v>1146</v>
      </c>
      <c r="C95" s="22" t="s">
        <v>904</v>
      </c>
      <c r="D95" s="22" t="s">
        <v>685</v>
      </c>
      <c r="E95" s="22" t="s">
        <v>834</v>
      </c>
      <c r="F95" s="24">
        <v>39598</v>
      </c>
      <c r="G95" s="24">
        <v>39870</v>
      </c>
      <c r="H95" s="23" t="s">
        <v>993</v>
      </c>
    </row>
    <row r="96" spans="1:8" x14ac:dyDescent="0.2">
      <c r="A96" s="22" t="s">
        <v>1147</v>
      </c>
      <c r="B96" s="46" t="s">
        <v>1148</v>
      </c>
      <c r="C96" s="23" t="s">
        <v>904</v>
      </c>
      <c r="D96" s="22" t="s">
        <v>685</v>
      </c>
      <c r="E96" s="22" t="s">
        <v>834</v>
      </c>
      <c r="F96" s="24">
        <v>39598</v>
      </c>
      <c r="G96" s="24">
        <v>40004</v>
      </c>
      <c r="H96" s="23" t="s">
        <v>798</v>
      </c>
    </row>
    <row r="97" spans="1:8" x14ac:dyDescent="0.2">
      <c r="A97" s="22" t="s">
        <v>1149</v>
      </c>
      <c r="B97" s="46" t="s">
        <v>1150</v>
      </c>
      <c r="C97" s="22" t="s">
        <v>904</v>
      </c>
      <c r="D97" s="22" t="s">
        <v>685</v>
      </c>
      <c r="E97" s="22" t="s">
        <v>834</v>
      </c>
      <c r="F97" s="24">
        <v>39598</v>
      </c>
      <c r="G97" s="24">
        <v>39937</v>
      </c>
      <c r="H97" s="23" t="s">
        <v>993</v>
      </c>
    </row>
    <row r="98" spans="1:8" x14ac:dyDescent="0.2">
      <c r="A98" s="22" t="s">
        <v>1151</v>
      </c>
      <c r="B98" s="46" t="s">
        <v>1152</v>
      </c>
      <c r="C98" s="22" t="s">
        <v>1670</v>
      </c>
      <c r="D98" s="22" t="s">
        <v>685</v>
      </c>
      <c r="E98" s="22" t="s">
        <v>834</v>
      </c>
      <c r="F98" s="24">
        <v>39598</v>
      </c>
      <c r="G98" s="24">
        <v>39934</v>
      </c>
      <c r="H98" s="23" t="s">
        <v>993</v>
      </c>
    </row>
    <row r="99" spans="1:8" x14ac:dyDescent="0.2">
      <c r="A99" s="22" t="s">
        <v>1153</v>
      </c>
      <c r="B99" s="46" t="s">
        <v>1154</v>
      </c>
      <c r="C99" s="22" t="s">
        <v>904</v>
      </c>
      <c r="D99" s="22" t="s">
        <v>1155</v>
      </c>
      <c r="E99" s="22" t="s">
        <v>794</v>
      </c>
      <c r="F99" s="24">
        <v>39601</v>
      </c>
      <c r="G99" s="24">
        <v>39846</v>
      </c>
      <c r="H99" s="23" t="s">
        <v>993</v>
      </c>
    </row>
    <row r="100" spans="1:8" x14ac:dyDescent="0.2">
      <c r="A100" s="22" t="s">
        <v>1156</v>
      </c>
      <c r="B100" s="46" t="s">
        <v>1157</v>
      </c>
      <c r="C100" s="22" t="s">
        <v>587</v>
      </c>
      <c r="D100" s="22" t="s">
        <v>512</v>
      </c>
      <c r="E100" s="22" t="s">
        <v>961</v>
      </c>
      <c r="F100" s="24">
        <v>39605</v>
      </c>
      <c r="G100" s="24">
        <v>39610</v>
      </c>
      <c r="H100" s="23" t="s">
        <v>798</v>
      </c>
    </row>
    <row r="101" spans="1:8" x14ac:dyDescent="0.2">
      <c r="A101" s="22" t="s">
        <v>1160</v>
      </c>
      <c r="B101" s="46" t="s">
        <v>1161</v>
      </c>
      <c r="C101" s="22" t="s">
        <v>1162</v>
      </c>
      <c r="D101" s="22" t="s">
        <v>1163</v>
      </c>
      <c r="E101" s="22" t="s">
        <v>794</v>
      </c>
      <c r="F101" s="24">
        <v>39608</v>
      </c>
      <c r="G101" s="24">
        <v>39651</v>
      </c>
      <c r="H101" s="23" t="s">
        <v>798</v>
      </c>
    </row>
    <row r="102" spans="1:8" x14ac:dyDescent="0.2">
      <c r="A102" s="22" t="s">
        <v>1164</v>
      </c>
      <c r="B102" s="46" t="s">
        <v>678</v>
      </c>
      <c r="C102" s="22" t="s">
        <v>1165</v>
      </c>
      <c r="D102" s="22" t="s">
        <v>834</v>
      </c>
      <c r="E102" s="22" t="s">
        <v>441</v>
      </c>
      <c r="F102" s="24">
        <v>39608</v>
      </c>
      <c r="G102" s="24">
        <v>39763</v>
      </c>
      <c r="H102" s="23" t="s">
        <v>798</v>
      </c>
    </row>
    <row r="103" spans="1:8" x14ac:dyDescent="0.2">
      <c r="A103" s="22" t="s">
        <v>1166</v>
      </c>
      <c r="B103" s="53" t="s">
        <v>524</v>
      </c>
      <c r="C103" s="22" t="s">
        <v>525</v>
      </c>
      <c r="D103" s="22" t="s">
        <v>834</v>
      </c>
      <c r="E103" s="22" t="s">
        <v>441</v>
      </c>
      <c r="F103" s="24">
        <v>39609</v>
      </c>
      <c r="G103" s="24">
        <v>39961</v>
      </c>
      <c r="H103" s="23" t="s">
        <v>993</v>
      </c>
    </row>
    <row r="104" spans="1:8" x14ac:dyDescent="0.2">
      <c r="A104" s="22" t="s">
        <v>1167</v>
      </c>
      <c r="B104" s="46" t="s">
        <v>1169</v>
      </c>
      <c r="C104" s="22" t="s">
        <v>525</v>
      </c>
      <c r="D104" s="22" t="s">
        <v>1168</v>
      </c>
      <c r="E104" s="22" t="s">
        <v>961</v>
      </c>
      <c r="F104" s="24">
        <v>39610</v>
      </c>
      <c r="G104" s="24">
        <v>39623</v>
      </c>
      <c r="H104" s="23" t="s">
        <v>798</v>
      </c>
    </row>
    <row r="105" spans="1:8" x14ac:dyDescent="0.2">
      <c r="A105" s="22" t="s">
        <v>1170</v>
      </c>
      <c r="B105" s="46" t="s">
        <v>1171</v>
      </c>
      <c r="C105" s="22" t="s">
        <v>1172</v>
      </c>
      <c r="D105" s="22" t="s">
        <v>1168</v>
      </c>
      <c r="E105" s="22" t="s">
        <v>961</v>
      </c>
      <c r="F105" s="24">
        <v>39611</v>
      </c>
      <c r="G105" s="24">
        <v>39612</v>
      </c>
      <c r="H105" s="23" t="s">
        <v>798</v>
      </c>
    </row>
    <row r="106" spans="1:8" x14ac:dyDescent="0.2">
      <c r="A106" s="22" t="s">
        <v>1175</v>
      </c>
      <c r="B106" s="23" t="s">
        <v>1176</v>
      </c>
      <c r="C106" s="22" t="s">
        <v>904</v>
      </c>
      <c r="D106" s="22" t="s">
        <v>834</v>
      </c>
      <c r="E106" s="22" t="s">
        <v>441</v>
      </c>
      <c r="F106" s="24">
        <v>39622</v>
      </c>
      <c r="G106" s="24">
        <v>39881</v>
      </c>
      <c r="H106" s="23" t="s">
        <v>798</v>
      </c>
    </row>
    <row r="107" spans="1:8" x14ac:dyDescent="0.2">
      <c r="A107" s="22" t="s">
        <v>1178</v>
      </c>
      <c r="B107" s="53" t="s">
        <v>1179</v>
      </c>
      <c r="C107" s="22" t="s">
        <v>904</v>
      </c>
      <c r="D107" s="22" t="s">
        <v>1168</v>
      </c>
      <c r="E107" s="22" t="s">
        <v>961</v>
      </c>
      <c r="F107" s="24">
        <v>39637</v>
      </c>
      <c r="G107" s="24">
        <v>39644</v>
      </c>
      <c r="H107" s="23" t="s">
        <v>798</v>
      </c>
    </row>
    <row r="108" spans="1:8" x14ac:dyDescent="0.2">
      <c r="A108" s="22" t="s">
        <v>1180</v>
      </c>
      <c r="B108" s="53" t="s">
        <v>1181</v>
      </c>
      <c r="C108" s="22" t="s">
        <v>904</v>
      </c>
      <c r="D108" s="22" t="s">
        <v>1168</v>
      </c>
      <c r="E108" s="22" t="s">
        <v>961</v>
      </c>
      <c r="F108" s="24">
        <v>39637</v>
      </c>
      <c r="G108" s="24">
        <v>39644</v>
      </c>
      <c r="H108" s="23" t="s">
        <v>798</v>
      </c>
    </row>
    <row r="109" spans="1:8" x14ac:dyDescent="0.2">
      <c r="A109" s="22" t="s">
        <v>1182</v>
      </c>
      <c r="B109" s="53" t="s">
        <v>1183</v>
      </c>
      <c r="C109" s="22" t="s">
        <v>921</v>
      </c>
      <c r="D109" s="22" t="s">
        <v>512</v>
      </c>
      <c r="E109" s="22" t="s">
        <v>961</v>
      </c>
      <c r="F109" s="24">
        <v>39638</v>
      </c>
      <c r="G109" s="24">
        <v>39639</v>
      </c>
      <c r="H109" s="23" t="s">
        <v>798</v>
      </c>
    </row>
    <row r="110" spans="1:8" x14ac:dyDescent="0.2">
      <c r="A110" s="22" t="s">
        <v>1185</v>
      </c>
      <c r="B110" s="53" t="s">
        <v>480</v>
      </c>
      <c r="C110" s="22" t="s">
        <v>939</v>
      </c>
      <c r="D110" s="22" t="s">
        <v>1184</v>
      </c>
      <c r="E110" s="22" t="s">
        <v>834</v>
      </c>
      <c r="F110" s="24">
        <v>39638</v>
      </c>
      <c r="G110" s="24">
        <v>39651</v>
      </c>
      <c r="H110" s="23" t="s">
        <v>798</v>
      </c>
    </row>
    <row r="111" spans="1:8" x14ac:dyDescent="0.2">
      <c r="A111" s="22" t="s">
        <v>1186</v>
      </c>
      <c r="B111" s="53" t="s">
        <v>1187</v>
      </c>
      <c r="C111" s="22" t="s">
        <v>1188</v>
      </c>
      <c r="D111" s="22" t="s">
        <v>961</v>
      </c>
      <c r="E111" s="22" t="s">
        <v>961</v>
      </c>
      <c r="F111" s="24">
        <v>39639</v>
      </c>
      <c r="G111" s="24">
        <v>39653</v>
      </c>
      <c r="H111" s="23" t="s">
        <v>798</v>
      </c>
    </row>
    <row r="112" spans="1:8" x14ac:dyDescent="0.2">
      <c r="A112" s="22" t="s">
        <v>1189</v>
      </c>
      <c r="B112" s="53" t="s">
        <v>1214</v>
      </c>
      <c r="C112" s="22" t="s">
        <v>525</v>
      </c>
      <c r="D112" s="22" t="s">
        <v>1190</v>
      </c>
      <c r="E112" s="22" t="s">
        <v>961</v>
      </c>
      <c r="F112" s="24">
        <v>39639</v>
      </c>
      <c r="G112" s="24">
        <v>39645</v>
      </c>
      <c r="H112" s="23" t="s">
        <v>798</v>
      </c>
    </row>
    <row r="113" spans="1:8" x14ac:dyDescent="0.2">
      <c r="A113" s="22" t="s">
        <v>1191</v>
      </c>
      <c r="B113" s="53" t="s">
        <v>1215</v>
      </c>
      <c r="C113" s="22" t="s">
        <v>525</v>
      </c>
      <c r="D113" s="22" t="s">
        <v>1190</v>
      </c>
      <c r="E113" s="22" t="s">
        <v>961</v>
      </c>
      <c r="F113" s="24">
        <v>39639</v>
      </c>
      <c r="G113" s="24">
        <v>39645</v>
      </c>
      <c r="H113" s="23" t="s">
        <v>798</v>
      </c>
    </row>
    <row r="114" spans="1:8" x14ac:dyDescent="0.2">
      <c r="A114" s="22" t="s">
        <v>1192</v>
      </c>
      <c r="B114" s="53" t="s">
        <v>1193</v>
      </c>
      <c r="C114" s="22" t="s">
        <v>904</v>
      </c>
      <c r="D114" s="22" t="s">
        <v>987</v>
      </c>
      <c r="E114" s="55" t="s">
        <v>961</v>
      </c>
      <c r="F114" s="24">
        <v>39652</v>
      </c>
      <c r="G114" s="24">
        <v>39654</v>
      </c>
      <c r="H114" s="23" t="s">
        <v>798</v>
      </c>
    </row>
    <row r="115" spans="1:8" x14ac:dyDescent="0.2">
      <c r="A115" s="22" t="s">
        <v>1194</v>
      </c>
      <c r="B115" s="53" t="s">
        <v>1195</v>
      </c>
      <c r="C115" s="22" t="s">
        <v>904</v>
      </c>
      <c r="D115" s="22" t="s">
        <v>987</v>
      </c>
      <c r="E115" s="55" t="s">
        <v>961</v>
      </c>
      <c r="F115" s="24">
        <v>39652</v>
      </c>
      <c r="G115" s="24">
        <v>39654</v>
      </c>
      <c r="H115" s="23" t="s">
        <v>798</v>
      </c>
    </row>
    <row r="116" spans="1:8" x14ac:dyDescent="0.2">
      <c r="A116" s="22" t="s">
        <v>1196</v>
      </c>
      <c r="B116" s="53" t="s">
        <v>1197</v>
      </c>
      <c r="C116" s="22" t="s">
        <v>904</v>
      </c>
      <c r="D116" s="22" t="s">
        <v>987</v>
      </c>
      <c r="E116" s="55" t="s">
        <v>961</v>
      </c>
      <c r="F116" s="24">
        <v>39652</v>
      </c>
      <c r="G116" s="24">
        <v>39654</v>
      </c>
      <c r="H116" s="23" t="s">
        <v>798</v>
      </c>
    </row>
    <row r="117" spans="1:8" x14ac:dyDescent="0.2">
      <c r="A117" s="22" t="s">
        <v>1198</v>
      </c>
      <c r="B117" s="53" t="s">
        <v>1199</v>
      </c>
      <c r="C117" s="22" t="s">
        <v>933</v>
      </c>
      <c r="D117" s="22" t="s">
        <v>1200</v>
      </c>
      <c r="E117" s="55" t="s">
        <v>961</v>
      </c>
      <c r="F117" s="24">
        <v>39661</v>
      </c>
      <c r="G117" s="24">
        <v>39709</v>
      </c>
      <c r="H117" s="23" t="s">
        <v>798</v>
      </c>
    </row>
    <row r="118" spans="1:8" x14ac:dyDescent="0.2">
      <c r="A118" s="22" t="s">
        <v>1201</v>
      </c>
      <c r="B118" s="53" t="s">
        <v>1202</v>
      </c>
      <c r="C118" s="22" t="s">
        <v>904</v>
      </c>
      <c r="D118" s="22" t="s">
        <v>1203</v>
      </c>
      <c r="E118" s="55" t="s">
        <v>961</v>
      </c>
      <c r="F118" s="24">
        <v>39665</v>
      </c>
      <c r="G118" s="24">
        <v>39666</v>
      </c>
      <c r="H118" s="23" t="s">
        <v>798</v>
      </c>
    </row>
    <row r="119" spans="1:8" x14ac:dyDescent="0.2">
      <c r="A119" s="22" t="s">
        <v>1204</v>
      </c>
      <c r="B119" s="53" t="s">
        <v>1205</v>
      </c>
      <c r="C119" s="22" t="s">
        <v>904</v>
      </c>
      <c r="D119" s="22" t="s">
        <v>987</v>
      </c>
      <c r="E119" s="55" t="s">
        <v>961</v>
      </c>
      <c r="F119" s="24">
        <v>39665</v>
      </c>
      <c r="G119" s="24">
        <v>39665</v>
      </c>
      <c r="H119" s="23" t="s">
        <v>798</v>
      </c>
    </row>
    <row r="120" spans="1:8" x14ac:dyDescent="0.2">
      <c r="A120" s="22" t="s">
        <v>1206</v>
      </c>
      <c r="B120" s="53" t="s">
        <v>1207</v>
      </c>
      <c r="C120" s="22" t="s">
        <v>904</v>
      </c>
      <c r="D120" s="22" t="s">
        <v>1168</v>
      </c>
      <c r="E120" s="55" t="s">
        <v>961</v>
      </c>
      <c r="F120" s="24">
        <v>39665</v>
      </c>
      <c r="G120" s="24">
        <v>39666</v>
      </c>
      <c r="H120" s="23" t="s">
        <v>798</v>
      </c>
    </row>
    <row r="121" spans="1:8" x14ac:dyDescent="0.2">
      <c r="A121" s="22" t="s">
        <v>1211</v>
      </c>
      <c r="B121" s="53" t="s">
        <v>1208</v>
      </c>
      <c r="C121" s="22" t="s">
        <v>904</v>
      </c>
      <c r="D121" s="22" t="s">
        <v>1168</v>
      </c>
      <c r="E121" s="55" t="s">
        <v>961</v>
      </c>
      <c r="F121" s="24">
        <v>39665</v>
      </c>
      <c r="G121" s="24">
        <v>39666</v>
      </c>
      <c r="H121" s="23" t="s">
        <v>798</v>
      </c>
    </row>
    <row r="122" spans="1:8" x14ac:dyDescent="0.2">
      <c r="A122" s="22" t="s">
        <v>1209</v>
      </c>
      <c r="B122" s="53" t="s">
        <v>1210</v>
      </c>
      <c r="C122" s="22" t="s">
        <v>904</v>
      </c>
      <c r="D122" s="22" t="s">
        <v>1168</v>
      </c>
      <c r="E122" s="55" t="s">
        <v>961</v>
      </c>
      <c r="F122" s="24">
        <v>39665</v>
      </c>
      <c r="G122" s="24">
        <v>39666</v>
      </c>
      <c r="H122" s="23" t="s">
        <v>798</v>
      </c>
    </row>
    <row r="123" spans="1:8" x14ac:dyDescent="0.2">
      <c r="A123" s="22" t="s">
        <v>1213</v>
      </c>
      <c r="B123" s="53" t="s">
        <v>1214</v>
      </c>
      <c r="C123" s="22" t="s">
        <v>933</v>
      </c>
      <c r="D123" s="22" t="s">
        <v>987</v>
      </c>
      <c r="E123" s="55" t="s">
        <v>961</v>
      </c>
      <c r="F123" s="24">
        <v>39667</v>
      </c>
      <c r="G123" s="24">
        <v>39723</v>
      </c>
      <c r="H123" s="23" t="s">
        <v>798</v>
      </c>
    </row>
    <row r="124" spans="1:8" x14ac:dyDescent="0.2">
      <c r="A124" s="22" t="s">
        <v>1216</v>
      </c>
      <c r="B124" s="53" t="s">
        <v>1298</v>
      </c>
      <c r="C124" s="22" t="s">
        <v>1299</v>
      </c>
      <c r="D124" s="22" t="s">
        <v>794</v>
      </c>
      <c r="E124" s="22" t="s">
        <v>794</v>
      </c>
      <c r="F124" s="24">
        <v>39673</v>
      </c>
      <c r="G124" s="24">
        <v>40140</v>
      </c>
      <c r="H124" s="23" t="s">
        <v>798</v>
      </c>
    </row>
    <row r="125" spans="1:8" x14ac:dyDescent="0.2">
      <c r="A125" s="22" t="s">
        <v>1217</v>
      </c>
      <c r="B125" s="53" t="s">
        <v>1218</v>
      </c>
      <c r="C125" s="23" t="s">
        <v>558</v>
      </c>
      <c r="D125" s="22" t="s">
        <v>1168</v>
      </c>
      <c r="E125" s="22" t="s">
        <v>961</v>
      </c>
      <c r="F125" s="24">
        <v>39679</v>
      </c>
      <c r="G125" s="24">
        <v>39685</v>
      </c>
      <c r="H125" s="23" t="s">
        <v>798</v>
      </c>
    </row>
    <row r="126" spans="1:8" x14ac:dyDescent="0.2">
      <c r="A126" s="22" t="s">
        <v>1219</v>
      </c>
      <c r="B126" s="53" t="s">
        <v>1220</v>
      </c>
      <c r="C126" s="22" t="s">
        <v>587</v>
      </c>
      <c r="D126" s="22" t="s">
        <v>851</v>
      </c>
      <c r="E126" s="22" t="s">
        <v>961</v>
      </c>
      <c r="F126" s="24">
        <v>39680</v>
      </c>
      <c r="G126" s="24">
        <v>39706</v>
      </c>
      <c r="H126" s="23" t="s">
        <v>798</v>
      </c>
    </row>
    <row r="127" spans="1:8" x14ac:dyDescent="0.2">
      <c r="A127" s="22" t="s">
        <v>1221</v>
      </c>
      <c r="B127" s="53" t="s">
        <v>1222</v>
      </c>
      <c r="C127" s="22" t="s">
        <v>1448</v>
      </c>
      <c r="D127" s="22" t="s">
        <v>526</v>
      </c>
      <c r="E127" s="22" t="s">
        <v>794</v>
      </c>
      <c r="F127" s="24">
        <v>39680</v>
      </c>
      <c r="G127" s="23" t="s">
        <v>386</v>
      </c>
      <c r="H127" s="23" t="s">
        <v>1056</v>
      </c>
    </row>
    <row r="128" spans="1:8" x14ac:dyDescent="0.2">
      <c r="A128" s="22" t="s">
        <v>1223</v>
      </c>
      <c r="B128" s="53" t="s">
        <v>569</v>
      </c>
      <c r="C128" s="22" t="s">
        <v>904</v>
      </c>
      <c r="D128" s="22" t="s">
        <v>624</v>
      </c>
      <c r="E128" s="22" t="s">
        <v>834</v>
      </c>
      <c r="F128" s="24">
        <v>39681</v>
      </c>
      <c r="G128" s="24">
        <v>39736</v>
      </c>
      <c r="H128" s="23" t="s">
        <v>798</v>
      </c>
    </row>
    <row r="129" spans="1:8" x14ac:dyDescent="0.2">
      <c r="A129" s="22" t="s">
        <v>1224</v>
      </c>
      <c r="B129" s="53" t="s">
        <v>1225</v>
      </c>
      <c r="C129" s="22" t="s">
        <v>904</v>
      </c>
      <c r="D129" s="22" t="s">
        <v>624</v>
      </c>
      <c r="E129" s="22" t="s">
        <v>834</v>
      </c>
      <c r="F129" s="24">
        <v>39681</v>
      </c>
      <c r="G129" s="24">
        <v>39736</v>
      </c>
      <c r="H129" s="23" t="s">
        <v>798</v>
      </c>
    </row>
    <row r="130" spans="1:8" x14ac:dyDescent="0.2">
      <c r="A130" s="22" t="s">
        <v>1226</v>
      </c>
      <c r="B130" s="53" t="s">
        <v>501</v>
      </c>
      <c r="C130" s="22" t="s">
        <v>933</v>
      </c>
      <c r="D130" s="22" t="s">
        <v>512</v>
      </c>
      <c r="E130" s="22" t="s">
        <v>961</v>
      </c>
      <c r="F130" s="24">
        <v>39687</v>
      </c>
      <c r="G130" s="24">
        <v>39741</v>
      </c>
      <c r="H130" s="23" t="s">
        <v>798</v>
      </c>
    </row>
    <row r="131" spans="1:8" x14ac:dyDescent="0.2">
      <c r="A131" s="22" t="s">
        <v>1227</v>
      </c>
      <c r="B131" s="53" t="s">
        <v>1276</v>
      </c>
      <c r="C131" s="22" t="s">
        <v>1228</v>
      </c>
      <c r="D131" s="22" t="s">
        <v>512</v>
      </c>
      <c r="E131" s="22" t="s">
        <v>794</v>
      </c>
      <c r="F131" s="24">
        <v>39687</v>
      </c>
      <c r="G131" s="24">
        <v>39737</v>
      </c>
      <c r="H131" s="23" t="s">
        <v>798</v>
      </c>
    </row>
    <row r="132" spans="1:8" x14ac:dyDescent="0.2">
      <c r="A132" s="22" t="s">
        <v>1229</v>
      </c>
      <c r="B132" s="53" t="s">
        <v>1230</v>
      </c>
      <c r="C132" s="22" t="s">
        <v>904</v>
      </c>
      <c r="D132" s="22" t="s">
        <v>1231</v>
      </c>
      <c r="E132" s="22" t="s">
        <v>961</v>
      </c>
      <c r="F132" s="24">
        <v>39693</v>
      </c>
      <c r="G132" s="24">
        <v>39736</v>
      </c>
      <c r="H132" s="23" t="s">
        <v>798</v>
      </c>
    </row>
    <row r="133" spans="1:8" x14ac:dyDescent="0.2">
      <c r="A133" s="22" t="s">
        <v>1232</v>
      </c>
      <c r="B133" s="53" t="s">
        <v>1290</v>
      </c>
      <c r="C133" s="22" t="s">
        <v>2517</v>
      </c>
      <c r="D133" s="22" t="s">
        <v>794</v>
      </c>
      <c r="E133" s="22" t="s">
        <v>794</v>
      </c>
      <c r="F133" s="24">
        <v>39694</v>
      </c>
      <c r="G133" s="24">
        <v>39736</v>
      </c>
      <c r="H133" s="23" t="s">
        <v>798</v>
      </c>
    </row>
    <row r="134" spans="1:8" x14ac:dyDescent="0.2">
      <c r="A134" s="22" t="s">
        <v>1233</v>
      </c>
      <c r="B134" s="53" t="s">
        <v>1234</v>
      </c>
      <c r="C134" s="22" t="s">
        <v>904</v>
      </c>
      <c r="D134" s="22" t="s">
        <v>851</v>
      </c>
      <c r="E134" s="22" t="s">
        <v>961</v>
      </c>
      <c r="F134" s="24">
        <v>39694</v>
      </c>
      <c r="G134" s="24">
        <v>39706</v>
      </c>
      <c r="H134" s="23" t="s">
        <v>798</v>
      </c>
    </row>
    <row r="135" spans="1:8" x14ac:dyDescent="0.2">
      <c r="A135" s="22" t="s">
        <v>1235</v>
      </c>
      <c r="B135" s="53" t="s">
        <v>1236</v>
      </c>
      <c r="C135" s="22" t="s">
        <v>904</v>
      </c>
      <c r="D135" s="22" t="s">
        <v>851</v>
      </c>
      <c r="E135" s="22" t="s">
        <v>961</v>
      </c>
      <c r="F135" s="24">
        <v>39694</v>
      </c>
      <c r="G135" s="24">
        <v>39706</v>
      </c>
      <c r="H135" s="23" t="s">
        <v>798</v>
      </c>
    </row>
    <row r="136" spans="1:8" x14ac:dyDescent="0.2">
      <c r="A136" s="22" t="s">
        <v>1237</v>
      </c>
      <c r="B136" s="53" t="s">
        <v>1238</v>
      </c>
      <c r="C136" s="22" t="s">
        <v>904</v>
      </c>
      <c r="D136" s="22" t="s">
        <v>512</v>
      </c>
      <c r="E136" s="22" t="s">
        <v>961</v>
      </c>
      <c r="F136" s="24">
        <v>39694</v>
      </c>
      <c r="G136" s="24">
        <v>39749</v>
      </c>
      <c r="H136" s="23" t="s">
        <v>798</v>
      </c>
    </row>
    <row r="137" spans="1:8" x14ac:dyDescent="0.2">
      <c r="A137" s="22" t="s">
        <v>1239</v>
      </c>
      <c r="B137" s="53" t="s">
        <v>1240</v>
      </c>
      <c r="C137" s="22" t="s">
        <v>515</v>
      </c>
      <c r="D137" s="22" t="s">
        <v>512</v>
      </c>
      <c r="E137" s="22" t="s">
        <v>961</v>
      </c>
      <c r="F137" s="24">
        <v>39695</v>
      </c>
      <c r="G137" s="24">
        <v>39749</v>
      </c>
      <c r="H137" s="23" t="s">
        <v>798</v>
      </c>
    </row>
    <row r="138" spans="1:8" x14ac:dyDescent="0.2">
      <c r="A138" s="22" t="s">
        <v>1241</v>
      </c>
      <c r="B138" s="53" t="s">
        <v>1242</v>
      </c>
      <c r="C138" s="22" t="s">
        <v>447</v>
      </c>
      <c r="D138" s="22" t="s">
        <v>512</v>
      </c>
      <c r="E138" s="22" t="s">
        <v>961</v>
      </c>
      <c r="F138" s="24">
        <v>39695</v>
      </c>
      <c r="G138" s="24">
        <v>39750</v>
      </c>
      <c r="H138" s="23" t="s">
        <v>798</v>
      </c>
    </row>
    <row r="139" spans="1:8" x14ac:dyDescent="0.2">
      <c r="A139" s="22" t="s">
        <v>1243</v>
      </c>
      <c r="B139" s="53" t="s">
        <v>1244</v>
      </c>
      <c r="C139" s="22" t="s">
        <v>904</v>
      </c>
      <c r="D139" s="22" t="s">
        <v>851</v>
      </c>
      <c r="E139" s="22" t="s">
        <v>961</v>
      </c>
      <c r="F139" s="24">
        <v>39700</v>
      </c>
      <c r="G139" s="24">
        <v>39706</v>
      </c>
      <c r="H139" s="23" t="s">
        <v>798</v>
      </c>
    </row>
    <row r="140" spans="1:8" x14ac:dyDescent="0.2">
      <c r="A140" s="22" t="s">
        <v>1247</v>
      </c>
      <c r="B140" s="53" t="s">
        <v>1248</v>
      </c>
      <c r="C140" s="22" t="s">
        <v>904</v>
      </c>
      <c r="D140" s="22" t="s">
        <v>851</v>
      </c>
      <c r="E140" s="22" t="s">
        <v>961</v>
      </c>
      <c r="F140" s="24">
        <v>39700</v>
      </c>
      <c r="G140" s="24">
        <v>39706</v>
      </c>
      <c r="H140" s="23" t="s">
        <v>798</v>
      </c>
    </row>
    <row r="141" spans="1:8" x14ac:dyDescent="0.2">
      <c r="A141" s="22" t="s">
        <v>1249</v>
      </c>
      <c r="B141" s="53" t="s">
        <v>1250</v>
      </c>
      <c r="C141" s="22" t="s">
        <v>1251</v>
      </c>
      <c r="D141" s="22" t="s">
        <v>436</v>
      </c>
      <c r="E141" s="22" t="s">
        <v>961</v>
      </c>
      <c r="F141" s="24">
        <v>39701</v>
      </c>
      <c r="G141" s="24">
        <v>39758</v>
      </c>
      <c r="H141" s="23" t="s">
        <v>798</v>
      </c>
    </row>
    <row r="142" spans="1:8" x14ac:dyDescent="0.2">
      <c r="A142" s="22" t="s">
        <v>1252</v>
      </c>
      <c r="B142" s="53" t="s">
        <v>1253</v>
      </c>
      <c r="C142" s="22" t="s">
        <v>1265</v>
      </c>
      <c r="D142" s="22" t="s">
        <v>436</v>
      </c>
      <c r="E142" s="22" t="s">
        <v>961</v>
      </c>
      <c r="F142" s="24">
        <v>39701</v>
      </c>
      <c r="G142" s="24">
        <v>39706</v>
      </c>
      <c r="H142" s="23" t="s">
        <v>798</v>
      </c>
    </row>
    <row r="143" spans="1:8" x14ac:dyDescent="0.2">
      <c r="A143" s="22" t="s">
        <v>1254</v>
      </c>
      <c r="B143" s="53" t="s">
        <v>1255</v>
      </c>
      <c r="C143" s="22" t="s">
        <v>1256</v>
      </c>
      <c r="D143" s="22" t="s">
        <v>436</v>
      </c>
      <c r="E143" s="22" t="s">
        <v>961</v>
      </c>
      <c r="F143" s="24">
        <v>39701</v>
      </c>
      <c r="G143" s="24">
        <v>39706</v>
      </c>
      <c r="H143" s="23" t="s">
        <v>798</v>
      </c>
    </row>
    <row r="144" spans="1:8" x14ac:dyDescent="0.2">
      <c r="A144" s="22" t="s">
        <v>1257</v>
      </c>
      <c r="B144" s="53" t="s">
        <v>1258</v>
      </c>
      <c r="C144" s="22" t="s">
        <v>1259</v>
      </c>
      <c r="D144" s="22" t="s">
        <v>436</v>
      </c>
      <c r="E144" s="22" t="s">
        <v>961</v>
      </c>
      <c r="F144" s="24">
        <v>39701</v>
      </c>
      <c r="G144" s="24">
        <v>39706</v>
      </c>
      <c r="H144" s="23" t="s">
        <v>798</v>
      </c>
    </row>
    <row r="145" spans="1:8" x14ac:dyDescent="0.2">
      <c r="A145" s="22" t="s">
        <v>1260</v>
      </c>
      <c r="B145" s="53" t="s">
        <v>1261</v>
      </c>
      <c r="C145" s="22" t="s">
        <v>1262</v>
      </c>
      <c r="D145" s="22" t="s">
        <v>436</v>
      </c>
      <c r="E145" s="22" t="s">
        <v>961</v>
      </c>
      <c r="F145" s="24">
        <v>39701</v>
      </c>
      <c r="G145" s="24">
        <v>39706</v>
      </c>
      <c r="H145" s="23" t="s">
        <v>798</v>
      </c>
    </row>
    <row r="146" spans="1:8" x14ac:dyDescent="0.2">
      <c r="A146" s="22" t="s">
        <v>1263</v>
      </c>
      <c r="B146" s="53" t="s">
        <v>1264</v>
      </c>
      <c r="C146" s="22" t="s">
        <v>904</v>
      </c>
      <c r="D146" s="22" t="s">
        <v>987</v>
      </c>
      <c r="E146" s="22" t="s">
        <v>961</v>
      </c>
      <c r="F146" s="24">
        <v>39701</v>
      </c>
      <c r="G146" s="24">
        <v>39723</v>
      </c>
      <c r="H146" s="23" t="s">
        <v>798</v>
      </c>
    </row>
    <row r="147" spans="1:8" x14ac:dyDescent="0.2">
      <c r="A147" s="22" t="s">
        <v>1266</v>
      </c>
      <c r="B147" s="53" t="s">
        <v>1267</v>
      </c>
      <c r="C147" s="22" t="s">
        <v>1268</v>
      </c>
      <c r="D147" s="22" t="s">
        <v>851</v>
      </c>
      <c r="E147" s="22" t="s">
        <v>961</v>
      </c>
      <c r="F147" s="24">
        <v>39703</v>
      </c>
      <c r="G147" s="24">
        <v>39706</v>
      </c>
      <c r="H147" s="23" t="s">
        <v>798</v>
      </c>
    </row>
    <row r="148" spans="1:8" x14ac:dyDescent="0.2">
      <c r="A148" s="22" t="s">
        <v>1269</v>
      </c>
      <c r="B148" s="53" t="s">
        <v>1270</v>
      </c>
      <c r="C148" s="22" t="s">
        <v>1271</v>
      </c>
      <c r="D148" s="22" t="s">
        <v>851</v>
      </c>
      <c r="E148" s="22" t="s">
        <v>961</v>
      </c>
      <c r="F148" s="24">
        <v>39703</v>
      </c>
      <c r="G148" s="24">
        <v>39706</v>
      </c>
      <c r="H148" s="23" t="s">
        <v>798</v>
      </c>
    </row>
    <row r="149" spans="1:8" x14ac:dyDescent="0.2">
      <c r="A149" s="22" t="s">
        <v>1273</v>
      </c>
      <c r="B149" s="53" t="s">
        <v>1093</v>
      </c>
      <c r="C149" s="22" t="s">
        <v>939</v>
      </c>
      <c r="D149" s="22" t="s">
        <v>794</v>
      </c>
      <c r="E149" s="22" t="s">
        <v>794</v>
      </c>
      <c r="F149" s="24">
        <v>39706</v>
      </c>
      <c r="G149" s="24">
        <v>39713</v>
      </c>
      <c r="H149" s="23" t="s">
        <v>798</v>
      </c>
    </row>
    <row r="150" spans="1:8" x14ac:dyDescent="0.2">
      <c r="A150" s="22" t="s">
        <v>1274</v>
      </c>
      <c r="B150" s="53" t="s">
        <v>449</v>
      </c>
      <c r="C150" s="22" t="s">
        <v>807</v>
      </c>
      <c r="D150" s="22" t="s">
        <v>1275</v>
      </c>
      <c r="E150" s="22" t="s">
        <v>794</v>
      </c>
      <c r="F150" s="24">
        <v>39708</v>
      </c>
      <c r="G150" s="24">
        <v>40226</v>
      </c>
      <c r="H150" s="23" t="s">
        <v>798</v>
      </c>
    </row>
    <row r="151" spans="1:8" x14ac:dyDescent="0.2">
      <c r="A151" s="22" t="s">
        <v>1277</v>
      </c>
      <c r="B151" s="53" t="s">
        <v>514</v>
      </c>
      <c r="C151" s="22" t="s">
        <v>1278</v>
      </c>
      <c r="D151" s="22" t="s">
        <v>1275</v>
      </c>
      <c r="E151" s="22" t="s">
        <v>794</v>
      </c>
      <c r="F151" s="24">
        <v>39708</v>
      </c>
      <c r="G151" s="24">
        <v>40126</v>
      </c>
      <c r="H151" s="23" t="s">
        <v>798</v>
      </c>
    </row>
    <row r="152" spans="1:8" x14ac:dyDescent="0.2">
      <c r="A152" s="22" t="s">
        <v>1279</v>
      </c>
      <c r="B152" s="53" t="s">
        <v>1088</v>
      </c>
      <c r="C152" s="22" t="s">
        <v>1385</v>
      </c>
      <c r="D152" s="22" t="s">
        <v>794</v>
      </c>
      <c r="E152" s="22" t="s">
        <v>794</v>
      </c>
      <c r="F152" s="24">
        <v>39708</v>
      </c>
      <c r="G152" s="24">
        <v>39770</v>
      </c>
      <c r="H152" s="23" t="s">
        <v>798</v>
      </c>
    </row>
    <row r="153" spans="1:8" x14ac:dyDescent="0.2">
      <c r="A153" s="22" t="s">
        <v>1280</v>
      </c>
      <c r="B153" s="53" t="s">
        <v>1281</v>
      </c>
      <c r="C153" s="22" t="s">
        <v>1094</v>
      </c>
      <c r="D153" s="22" t="s">
        <v>624</v>
      </c>
      <c r="E153" s="22" t="s">
        <v>834</v>
      </c>
      <c r="F153" s="24" t="s">
        <v>1282</v>
      </c>
      <c r="G153" s="24">
        <v>39773</v>
      </c>
      <c r="H153" s="23" t="s">
        <v>798</v>
      </c>
    </row>
    <row r="154" spans="1:8" x14ac:dyDescent="0.2">
      <c r="A154" s="22" t="s">
        <v>1283</v>
      </c>
      <c r="B154" s="51" t="s">
        <v>981</v>
      </c>
      <c r="C154" s="39" t="s">
        <v>982</v>
      </c>
      <c r="D154" s="22" t="s">
        <v>615</v>
      </c>
      <c r="E154" s="22" t="s">
        <v>441</v>
      </c>
      <c r="F154" s="24">
        <v>39710</v>
      </c>
      <c r="G154" s="24">
        <v>39710</v>
      </c>
      <c r="H154" s="23" t="s">
        <v>798</v>
      </c>
    </row>
    <row r="155" spans="1:8" x14ac:dyDescent="0.2">
      <c r="A155" s="22" t="s">
        <v>1284</v>
      </c>
      <c r="B155" s="53" t="s">
        <v>1285</v>
      </c>
      <c r="C155" s="22" t="s">
        <v>904</v>
      </c>
      <c r="D155" s="22" t="s">
        <v>436</v>
      </c>
      <c r="E155" s="22" t="s">
        <v>961</v>
      </c>
      <c r="F155" s="24">
        <v>39714</v>
      </c>
      <c r="G155" s="24">
        <v>39758</v>
      </c>
      <c r="H155" s="23" t="s">
        <v>798</v>
      </c>
    </row>
    <row r="156" spans="1:8" x14ac:dyDescent="0.2">
      <c r="A156" s="22" t="s">
        <v>1286</v>
      </c>
      <c r="B156" s="53" t="s">
        <v>1287</v>
      </c>
      <c r="C156" s="22" t="s">
        <v>904</v>
      </c>
      <c r="D156" s="22" t="s">
        <v>851</v>
      </c>
      <c r="E156" s="22" t="s">
        <v>961</v>
      </c>
      <c r="F156" s="24">
        <v>39714</v>
      </c>
      <c r="G156" s="24">
        <v>39715</v>
      </c>
      <c r="H156" s="23" t="s">
        <v>798</v>
      </c>
    </row>
    <row r="157" spans="1:8" x14ac:dyDescent="0.2">
      <c r="A157" s="22" t="s">
        <v>1288</v>
      </c>
      <c r="B157" s="53" t="s">
        <v>1289</v>
      </c>
      <c r="C157" s="22" t="s">
        <v>904</v>
      </c>
      <c r="D157" s="22" t="s">
        <v>851</v>
      </c>
      <c r="E157" s="22" t="s">
        <v>961</v>
      </c>
      <c r="F157" s="24">
        <v>39714</v>
      </c>
      <c r="G157" s="24">
        <v>39715</v>
      </c>
      <c r="H157" s="23" t="s">
        <v>798</v>
      </c>
    </row>
    <row r="158" spans="1:8" x14ac:dyDescent="0.2">
      <c r="A158" s="22" t="s">
        <v>1291</v>
      </c>
      <c r="B158" s="53" t="s">
        <v>1293</v>
      </c>
      <c r="C158" s="22" t="s">
        <v>807</v>
      </c>
      <c r="D158" s="22" t="s">
        <v>851</v>
      </c>
      <c r="E158" s="22" t="s">
        <v>961</v>
      </c>
      <c r="F158" s="24">
        <v>39723</v>
      </c>
      <c r="G158" s="24">
        <v>39723</v>
      </c>
      <c r="H158" s="23" t="s">
        <v>798</v>
      </c>
    </row>
    <row r="159" spans="1:8" x14ac:dyDescent="0.2">
      <c r="A159" s="22" t="s">
        <v>1292</v>
      </c>
      <c r="B159" s="53" t="s">
        <v>1294</v>
      </c>
      <c r="C159" s="22" t="s">
        <v>807</v>
      </c>
      <c r="D159" s="22" t="s">
        <v>851</v>
      </c>
      <c r="E159" s="22" t="s">
        <v>961</v>
      </c>
      <c r="F159" s="24">
        <v>39723</v>
      </c>
      <c r="G159" s="24">
        <v>39723</v>
      </c>
      <c r="H159" s="23" t="s">
        <v>798</v>
      </c>
    </row>
    <row r="160" spans="1:8" s="69" customFormat="1" x14ac:dyDescent="0.2">
      <c r="A160" s="65" t="s">
        <v>1295</v>
      </c>
      <c r="B160" s="66" t="s">
        <v>1296</v>
      </c>
      <c r="C160" s="65" t="s">
        <v>1297</v>
      </c>
      <c r="D160" s="65" t="s">
        <v>436</v>
      </c>
      <c r="E160" s="65" t="s">
        <v>961</v>
      </c>
      <c r="F160" s="67">
        <v>39735</v>
      </c>
      <c r="G160" s="67">
        <v>40210</v>
      </c>
      <c r="H160" s="68" t="s">
        <v>1056</v>
      </c>
    </row>
    <row r="161" spans="1:8" x14ac:dyDescent="0.2">
      <c r="A161" s="22" t="s">
        <v>1300</v>
      </c>
      <c r="B161" s="53" t="s">
        <v>1301</v>
      </c>
      <c r="C161" s="22" t="s">
        <v>1302</v>
      </c>
      <c r="D161" s="22" t="s">
        <v>615</v>
      </c>
      <c r="E161" s="22" t="s">
        <v>794</v>
      </c>
      <c r="F161" s="24">
        <v>39742</v>
      </c>
      <c r="G161" s="24">
        <v>39755</v>
      </c>
      <c r="H161" s="23" t="s">
        <v>798</v>
      </c>
    </row>
    <row r="162" spans="1:8" x14ac:dyDescent="0.2">
      <c r="A162" s="22" t="s">
        <v>1303</v>
      </c>
      <c r="B162" s="53" t="s">
        <v>1304</v>
      </c>
      <c r="C162" s="22" t="s">
        <v>933</v>
      </c>
      <c r="D162" s="22" t="s">
        <v>851</v>
      </c>
      <c r="E162" s="22" t="s">
        <v>961</v>
      </c>
      <c r="F162" s="24">
        <v>39742</v>
      </c>
      <c r="G162" s="24">
        <v>39756</v>
      </c>
      <c r="H162" s="23" t="s">
        <v>798</v>
      </c>
    </row>
    <row r="163" spans="1:8" x14ac:dyDescent="0.2">
      <c r="A163" s="22" t="s">
        <v>1305</v>
      </c>
      <c r="B163" s="53" t="s">
        <v>1306</v>
      </c>
      <c r="C163" s="22" t="s">
        <v>904</v>
      </c>
      <c r="D163" s="22" t="s">
        <v>851</v>
      </c>
      <c r="E163" s="22" t="s">
        <v>961</v>
      </c>
      <c r="F163" s="24">
        <v>39742</v>
      </c>
      <c r="G163" s="24">
        <v>39749</v>
      </c>
      <c r="H163" s="23" t="s">
        <v>798</v>
      </c>
    </row>
    <row r="164" spans="1:8" x14ac:dyDescent="0.2">
      <c r="A164" s="22" t="s">
        <v>1307</v>
      </c>
      <c r="B164" s="53" t="s">
        <v>1308</v>
      </c>
      <c r="C164" s="22" t="s">
        <v>933</v>
      </c>
      <c r="D164" s="22" t="s">
        <v>851</v>
      </c>
      <c r="E164" s="22" t="s">
        <v>961</v>
      </c>
      <c r="F164" s="24">
        <v>39742</v>
      </c>
      <c r="G164" s="24">
        <v>39749</v>
      </c>
      <c r="H164" s="23" t="s">
        <v>798</v>
      </c>
    </row>
    <row r="165" spans="1:8" x14ac:dyDescent="0.2">
      <c r="A165" s="22" t="s">
        <v>1309</v>
      </c>
      <c r="B165" s="53" t="s">
        <v>1310</v>
      </c>
      <c r="C165" s="22" t="s">
        <v>1172</v>
      </c>
      <c r="D165" s="22" t="s">
        <v>851</v>
      </c>
      <c r="E165" s="22" t="s">
        <v>961</v>
      </c>
      <c r="F165" s="24">
        <v>39744</v>
      </c>
      <c r="G165" s="24">
        <v>39758</v>
      </c>
      <c r="H165" s="23" t="s">
        <v>1056</v>
      </c>
    </row>
    <row r="166" spans="1:8" x14ac:dyDescent="0.2">
      <c r="A166" s="22" t="s">
        <v>1311</v>
      </c>
      <c r="B166" s="53" t="s">
        <v>1312</v>
      </c>
      <c r="C166" s="22" t="s">
        <v>1313</v>
      </c>
      <c r="D166" s="22" t="s">
        <v>851</v>
      </c>
      <c r="E166" s="22" t="s">
        <v>961</v>
      </c>
      <c r="F166" s="24">
        <v>39744</v>
      </c>
      <c r="G166" s="23" t="s">
        <v>1056</v>
      </c>
      <c r="H166" s="23" t="s">
        <v>1056</v>
      </c>
    </row>
    <row r="167" spans="1:8" x14ac:dyDescent="0.2">
      <c r="A167" s="22" t="s">
        <v>1314</v>
      </c>
      <c r="B167" s="53" t="s">
        <v>1315</v>
      </c>
      <c r="C167" s="22" t="s">
        <v>255</v>
      </c>
      <c r="D167" s="22" t="s">
        <v>834</v>
      </c>
      <c r="E167" s="22" t="s">
        <v>441</v>
      </c>
      <c r="F167" s="24">
        <v>39744</v>
      </c>
      <c r="G167" s="24">
        <v>40259</v>
      </c>
      <c r="H167" s="23" t="s">
        <v>993</v>
      </c>
    </row>
    <row r="168" spans="1:8" x14ac:dyDescent="0.2">
      <c r="A168" s="22" t="s">
        <v>1318</v>
      </c>
      <c r="B168" s="53" t="s">
        <v>865</v>
      </c>
      <c r="C168" s="22" t="s">
        <v>939</v>
      </c>
      <c r="D168" s="22" t="s">
        <v>570</v>
      </c>
      <c r="E168" s="22" t="s">
        <v>1275</v>
      </c>
      <c r="F168" s="24">
        <v>39749</v>
      </c>
      <c r="G168" s="24">
        <v>39777</v>
      </c>
      <c r="H168" s="23" t="s">
        <v>798</v>
      </c>
    </row>
    <row r="169" spans="1:8" x14ac:dyDescent="0.2">
      <c r="A169" s="22" t="s">
        <v>1319</v>
      </c>
      <c r="B169" s="53" t="s">
        <v>1320</v>
      </c>
      <c r="C169" s="22" t="s">
        <v>1321</v>
      </c>
      <c r="D169" s="22" t="s">
        <v>436</v>
      </c>
      <c r="E169" s="22" t="s">
        <v>961</v>
      </c>
      <c r="F169" s="24">
        <v>39749</v>
      </c>
      <c r="G169" s="23" t="s">
        <v>1056</v>
      </c>
      <c r="H169" s="23" t="s">
        <v>1056</v>
      </c>
    </row>
    <row r="170" spans="1:8" s="70" customFormat="1" x14ac:dyDescent="0.2">
      <c r="A170" s="27" t="s">
        <v>1322</v>
      </c>
      <c r="B170" s="105" t="s">
        <v>1393</v>
      </c>
      <c r="C170" s="27" t="s">
        <v>1323</v>
      </c>
      <c r="D170" s="27" t="s">
        <v>436</v>
      </c>
      <c r="E170" s="27" t="s">
        <v>961</v>
      </c>
      <c r="F170" s="33">
        <v>39749</v>
      </c>
      <c r="G170" s="33">
        <v>39959</v>
      </c>
      <c r="H170" s="41" t="s">
        <v>798</v>
      </c>
    </row>
    <row r="171" spans="1:8" x14ac:dyDescent="0.2">
      <c r="A171" s="22" t="s">
        <v>1324</v>
      </c>
      <c r="B171" s="53" t="s">
        <v>1325</v>
      </c>
      <c r="C171" s="22" t="s">
        <v>1165</v>
      </c>
      <c r="D171" s="22" t="s">
        <v>834</v>
      </c>
      <c r="E171" s="22" t="s">
        <v>441</v>
      </c>
      <c r="F171" s="24">
        <v>39750</v>
      </c>
      <c r="G171" s="24">
        <v>39750</v>
      </c>
      <c r="H171" s="23" t="s">
        <v>798</v>
      </c>
    </row>
    <row r="172" spans="1:8" x14ac:dyDescent="0.2">
      <c r="A172" s="22" t="s">
        <v>1326</v>
      </c>
      <c r="B172" s="53" t="s">
        <v>1327</v>
      </c>
      <c r="C172" s="22" t="s">
        <v>515</v>
      </c>
      <c r="D172" s="22" t="s">
        <v>685</v>
      </c>
      <c r="E172" s="22" t="s">
        <v>834</v>
      </c>
      <c r="F172" s="24">
        <v>39751</v>
      </c>
      <c r="G172" s="24">
        <v>39937</v>
      </c>
      <c r="H172" s="23" t="s">
        <v>993</v>
      </c>
    </row>
    <row r="173" spans="1:8" x14ac:dyDescent="0.2">
      <c r="A173" s="22" t="s">
        <v>1328</v>
      </c>
      <c r="B173" s="53" t="s">
        <v>1329</v>
      </c>
      <c r="C173" s="22" t="s">
        <v>515</v>
      </c>
      <c r="D173" s="22" t="s">
        <v>834</v>
      </c>
      <c r="E173" s="22" t="s">
        <v>441</v>
      </c>
      <c r="F173" s="24">
        <v>39751</v>
      </c>
      <c r="G173" s="24">
        <v>39783</v>
      </c>
      <c r="H173" s="23" t="s">
        <v>798</v>
      </c>
    </row>
    <row r="174" spans="1:8" x14ac:dyDescent="0.2">
      <c r="A174" s="22" t="s">
        <v>1330</v>
      </c>
      <c r="B174" s="53" t="s">
        <v>1296</v>
      </c>
      <c r="C174" s="22" t="s">
        <v>1333</v>
      </c>
      <c r="D174" s="22" t="s">
        <v>436</v>
      </c>
      <c r="E174" s="22" t="s">
        <v>961</v>
      </c>
      <c r="F174" s="24">
        <v>39755</v>
      </c>
      <c r="G174" s="24">
        <v>39784</v>
      </c>
      <c r="H174" s="23" t="s">
        <v>798</v>
      </c>
    </row>
    <row r="175" spans="1:8" x14ac:dyDescent="0.2">
      <c r="A175" s="22" t="s">
        <v>1338</v>
      </c>
      <c r="B175" s="53" t="s">
        <v>778</v>
      </c>
      <c r="C175" s="22" t="s">
        <v>1165</v>
      </c>
      <c r="D175" s="22" t="s">
        <v>1339</v>
      </c>
      <c r="E175" s="22" t="s">
        <v>834</v>
      </c>
      <c r="F175" s="24">
        <v>39756</v>
      </c>
      <c r="G175" s="24">
        <v>39763</v>
      </c>
      <c r="H175" s="23" t="s">
        <v>993</v>
      </c>
    </row>
    <row r="176" spans="1:8" x14ac:dyDescent="0.2">
      <c r="A176" s="22" t="s">
        <v>1340</v>
      </c>
      <c r="B176" s="53" t="s">
        <v>1341</v>
      </c>
      <c r="C176" s="22" t="s">
        <v>1342</v>
      </c>
      <c r="D176" s="22" t="s">
        <v>1339</v>
      </c>
      <c r="E176" s="22" t="s">
        <v>834</v>
      </c>
      <c r="F176" s="24">
        <v>39756</v>
      </c>
      <c r="G176" s="24">
        <v>39783</v>
      </c>
      <c r="H176" s="23" t="s">
        <v>798</v>
      </c>
    </row>
    <row r="177" spans="1:8" x14ac:dyDescent="0.2">
      <c r="A177" s="22" t="s">
        <v>1343</v>
      </c>
      <c r="B177" s="53" t="s">
        <v>972</v>
      </c>
      <c r="C177" s="22" t="s">
        <v>904</v>
      </c>
      <c r="D177" s="22" t="s">
        <v>727</v>
      </c>
      <c r="E177" s="22" t="s">
        <v>834</v>
      </c>
      <c r="F177" s="24">
        <v>39756</v>
      </c>
      <c r="G177" s="24">
        <v>39777</v>
      </c>
      <c r="H177" s="23" t="s">
        <v>798</v>
      </c>
    </row>
    <row r="178" spans="1:8" x14ac:dyDescent="0.2">
      <c r="A178" s="22" t="s">
        <v>1344</v>
      </c>
      <c r="B178" s="53" t="s">
        <v>1345</v>
      </c>
      <c r="C178" s="22" t="s">
        <v>904</v>
      </c>
      <c r="D178" s="22" t="s">
        <v>727</v>
      </c>
      <c r="E178" s="22" t="s">
        <v>834</v>
      </c>
      <c r="F178" s="24">
        <v>39756</v>
      </c>
      <c r="G178" s="24">
        <v>39777</v>
      </c>
      <c r="H178" s="23" t="s">
        <v>798</v>
      </c>
    </row>
    <row r="179" spans="1:8" x14ac:dyDescent="0.2">
      <c r="A179" s="22" t="s">
        <v>1346</v>
      </c>
      <c r="B179" s="53" t="s">
        <v>1348</v>
      </c>
      <c r="C179" s="22" t="s">
        <v>1347</v>
      </c>
      <c r="D179" s="22" t="s">
        <v>615</v>
      </c>
      <c r="E179" s="22" t="s">
        <v>834</v>
      </c>
      <c r="F179" s="24">
        <v>39756</v>
      </c>
      <c r="G179" s="23" t="s">
        <v>1173</v>
      </c>
      <c r="H179" s="23" t="s">
        <v>1173</v>
      </c>
    </row>
    <row r="180" spans="1:8" x14ac:dyDescent="0.2">
      <c r="A180" s="22" t="s">
        <v>1349</v>
      </c>
      <c r="B180" s="53" t="s">
        <v>1350</v>
      </c>
      <c r="C180" s="22" t="s">
        <v>904</v>
      </c>
      <c r="D180" s="22" t="s">
        <v>1351</v>
      </c>
      <c r="E180" s="22" t="s">
        <v>834</v>
      </c>
      <c r="F180" s="24">
        <v>39757</v>
      </c>
      <c r="G180" s="24">
        <v>39777</v>
      </c>
      <c r="H180" s="23" t="s">
        <v>798</v>
      </c>
    </row>
    <row r="181" spans="1:8" x14ac:dyDescent="0.2">
      <c r="A181" s="22" t="s">
        <v>1352</v>
      </c>
      <c r="B181" s="53" t="s">
        <v>1353</v>
      </c>
      <c r="C181" s="22" t="s">
        <v>1320</v>
      </c>
      <c r="D181" s="22" t="s">
        <v>834</v>
      </c>
      <c r="E181" s="22" t="s">
        <v>441</v>
      </c>
      <c r="F181" s="24">
        <v>39759</v>
      </c>
      <c r="G181" s="24">
        <v>39783</v>
      </c>
      <c r="H181" s="23" t="s">
        <v>798</v>
      </c>
    </row>
    <row r="182" spans="1:8" x14ac:dyDescent="0.2">
      <c r="A182" s="22" t="s">
        <v>1354</v>
      </c>
      <c r="B182" s="53" t="s">
        <v>1215</v>
      </c>
      <c r="C182" s="22" t="s">
        <v>525</v>
      </c>
      <c r="D182" s="22" t="s">
        <v>987</v>
      </c>
      <c r="E182" s="22" t="s">
        <v>961</v>
      </c>
      <c r="F182" s="24">
        <v>39763</v>
      </c>
      <c r="G182" s="24">
        <v>39763</v>
      </c>
      <c r="H182" s="23" t="s">
        <v>798</v>
      </c>
    </row>
    <row r="183" spans="1:8" x14ac:dyDescent="0.2">
      <c r="A183" s="22" t="s">
        <v>1355</v>
      </c>
      <c r="B183" s="53" t="s">
        <v>1356</v>
      </c>
      <c r="C183" s="22" t="s">
        <v>525</v>
      </c>
      <c r="D183" s="22" t="s">
        <v>987</v>
      </c>
      <c r="E183" s="22" t="s">
        <v>961</v>
      </c>
      <c r="F183" s="24">
        <v>39763</v>
      </c>
      <c r="G183" s="24">
        <v>39763</v>
      </c>
      <c r="H183" s="23" t="s">
        <v>798</v>
      </c>
    </row>
    <row r="184" spans="1:8" x14ac:dyDescent="0.2">
      <c r="A184" s="22" t="s">
        <v>1357</v>
      </c>
      <c r="B184" s="53" t="s">
        <v>1358</v>
      </c>
      <c r="C184" s="22" t="s">
        <v>515</v>
      </c>
      <c r="D184" s="22" t="s">
        <v>987</v>
      </c>
      <c r="E184" s="22" t="s">
        <v>961</v>
      </c>
      <c r="F184" s="24">
        <v>39763</v>
      </c>
      <c r="G184" s="24">
        <v>39769</v>
      </c>
      <c r="H184" s="23" t="s">
        <v>798</v>
      </c>
    </row>
    <row r="185" spans="1:8" x14ac:dyDescent="0.2">
      <c r="A185" s="22" t="s">
        <v>1359</v>
      </c>
      <c r="B185" s="53" t="s">
        <v>1360</v>
      </c>
      <c r="C185" s="22" t="s">
        <v>1165</v>
      </c>
      <c r="D185" s="22" t="s">
        <v>486</v>
      </c>
      <c r="E185" s="22" t="s">
        <v>834</v>
      </c>
      <c r="F185" s="24">
        <v>39763</v>
      </c>
      <c r="G185" s="24">
        <v>39820</v>
      </c>
      <c r="H185" s="23" t="s">
        <v>798</v>
      </c>
    </row>
    <row r="186" spans="1:8" x14ac:dyDescent="0.2">
      <c r="A186" s="22" t="s">
        <v>1361</v>
      </c>
      <c r="B186" s="53" t="s">
        <v>1362</v>
      </c>
      <c r="C186" s="22" t="s">
        <v>515</v>
      </c>
      <c r="D186" s="22" t="s">
        <v>1351</v>
      </c>
      <c r="E186" s="22" t="s">
        <v>834</v>
      </c>
      <c r="F186" s="24">
        <v>39764</v>
      </c>
      <c r="G186" s="24">
        <v>39783</v>
      </c>
      <c r="H186" s="23" t="s">
        <v>798</v>
      </c>
    </row>
    <row r="187" spans="1:8" x14ac:dyDescent="0.2">
      <c r="A187" s="22" t="s">
        <v>1363</v>
      </c>
      <c r="B187" s="53" t="s">
        <v>1364</v>
      </c>
      <c r="C187" s="22" t="s">
        <v>1365</v>
      </c>
      <c r="D187" s="22" t="s">
        <v>834</v>
      </c>
      <c r="E187" s="22" t="s">
        <v>441</v>
      </c>
      <c r="F187" s="24">
        <v>39764</v>
      </c>
      <c r="G187" s="24">
        <v>39784</v>
      </c>
      <c r="H187" s="23" t="s">
        <v>798</v>
      </c>
    </row>
    <row r="188" spans="1:8" x14ac:dyDescent="0.2">
      <c r="A188" s="22" t="s">
        <v>1366</v>
      </c>
      <c r="B188" s="53" t="s">
        <v>1367</v>
      </c>
      <c r="C188" s="22" t="s">
        <v>558</v>
      </c>
      <c r="D188" s="22" t="s">
        <v>851</v>
      </c>
      <c r="E188" s="22" t="s">
        <v>961</v>
      </c>
      <c r="F188" s="24">
        <v>39764</v>
      </c>
      <c r="G188" s="24">
        <v>39778</v>
      </c>
      <c r="H188" s="23" t="s">
        <v>798</v>
      </c>
    </row>
    <row r="189" spans="1:8" x14ac:dyDescent="0.2">
      <c r="A189" s="22" t="s">
        <v>1368</v>
      </c>
      <c r="B189" s="53" t="s">
        <v>1369</v>
      </c>
      <c r="C189" s="22" t="s">
        <v>525</v>
      </c>
      <c r="D189" s="22" t="s">
        <v>851</v>
      </c>
      <c r="E189" s="22" t="s">
        <v>961</v>
      </c>
      <c r="F189" s="24">
        <v>39764</v>
      </c>
      <c r="G189" s="24">
        <v>39778</v>
      </c>
      <c r="H189" s="23" t="s">
        <v>798</v>
      </c>
    </row>
    <row r="190" spans="1:8" x14ac:dyDescent="0.2">
      <c r="A190" s="22" t="s">
        <v>1370</v>
      </c>
      <c r="B190" s="53" t="s">
        <v>1371</v>
      </c>
      <c r="C190" s="22" t="s">
        <v>558</v>
      </c>
      <c r="D190" s="22" t="s">
        <v>851</v>
      </c>
      <c r="E190" s="22" t="s">
        <v>961</v>
      </c>
      <c r="F190" s="24">
        <v>39764</v>
      </c>
      <c r="G190" s="24">
        <v>39778</v>
      </c>
      <c r="H190" s="23" t="s">
        <v>798</v>
      </c>
    </row>
    <row r="191" spans="1:8" x14ac:dyDescent="0.2">
      <c r="A191" s="22" t="s">
        <v>1372</v>
      </c>
      <c r="B191" s="53" t="s">
        <v>1373</v>
      </c>
      <c r="C191" s="22" t="s">
        <v>525</v>
      </c>
      <c r="D191" s="22" t="s">
        <v>851</v>
      </c>
      <c r="E191" s="22" t="s">
        <v>961</v>
      </c>
      <c r="F191" s="24">
        <v>39764</v>
      </c>
      <c r="G191" s="24">
        <v>39778</v>
      </c>
      <c r="H191" s="23" t="s">
        <v>798</v>
      </c>
    </row>
    <row r="192" spans="1:8" x14ac:dyDescent="0.2">
      <c r="A192" s="22" t="s">
        <v>1374</v>
      </c>
      <c r="B192" s="53" t="s">
        <v>1375</v>
      </c>
      <c r="C192" s="22" t="s">
        <v>1376</v>
      </c>
      <c r="D192" s="22" t="s">
        <v>834</v>
      </c>
      <c r="E192" s="22" t="s">
        <v>441</v>
      </c>
      <c r="F192" s="24">
        <v>39766</v>
      </c>
      <c r="G192" s="24">
        <v>39797</v>
      </c>
      <c r="H192" s="23" t="s">
        <v>798</v>
      </c>
    </row>
    <row r="193" spans="1:8" x14ac:dyDescent="0.2">
      <c r="A193" s="22" t="s">
        <v>1379</v>
      </c>
      <c r="B193" s="53" t="s">
        <v>1380</v>
      </c>
      <c r="C193" s="22" t="s">
        <v>1320</v>
      </c>
      <c r="D193" s="22" t="s">
        <v>570</v>
      </c>
      <c r="E193" s="22" t="s">
        <v>834</v>
      </c>
      <c r="F193" s="24">
        <v>39769</v>
      </c>
      <c r="G193" s="24">
        <v>40298</v>
      </c>
      <c r="H193" s="23" t="s">
        <v>798</v>
      </c>
    </row>
    <row r="194" spans="1:8" x14ac:dyDescent="0.2">
      <c r="A194" s="22" t="s">
        <v>1381</v>
      </c>
      <c r="B194" s="53" t="s">
        <v>1382</v>
      </c>
      <c r="C194" s="22" t="s">
        <v>1383</v>
      </c>
      <c r="D194" s="22" t="s">
        <v>1351</v>
      </c>
      <c r="E194" s="22" t="s">
        <v>834</v>
      </c>
      <c r="F194" s="24">
        <v>39769</v>
      </c>
      <c r="G194" s="24">
        <v>40000</v>
      </c>
      <c r="H194" s="23" t="s">
        <v>993</v>
      </c>
    </row>
    <row r="195" spans="1:8" x14ac:dyDescent="0.2">
      <c r="A195" s="22" t="s">
        <v>1386</v>
      </c>
      <c r="B195" s="53" t="s">
        <v>960</v>
      </c>
      <c r="C195" s="22" t="s">
        <v>1165</v>
      </c>
      <c r="D195" s="22" t="s">
        <v>834</v>
      </c>
      <c r="E195" s="22" t="s">
        <v>441</v>
      </c>
      <c r="F195" s="24">
        <v>39784</v>
      </c>
      <c r="G195" s="24">
        <v>39784</v>
      </c>
      <c r="H195" s="23" t="s">
        <v>798</v>
      </c>
    </row>
    <row r="196" spans="1:8" x14ac:dyDescent="0.2">
      <c r="A196" s="22" t="s">
        <v>1387</v>
      </c>
      <c r="B196" s="53" t="s">
        <v>1388</v>
      </c>
      <c r="C196" s="22" t="s">
        <v>1165</v>
      </c>
      <c r="D196" s="22" t="s">
        <v>834</v>
      </c>
      <c r="E196" s="22" t="s">
        <v>441</v>
      </c>
      <c r="F196" s="24">
        <v>39784</v>
      </c>
      <c r="G196" s="24">
        <v>39784</v>
      </c>
      <c r="H196" s="23" t="s">
        <v>798</v>
      </c>
    </row>
    <row r="197" spans="1:8" x14ac:dyDescent="0.2">
      <c r="A197" s="22" t="s">
        <v>1389</v>
      </c>
      <c r="B197" s="53" t="s">
        <v>1390</v>
      </c>
      <c r="C197" s="22" t="s">
        <v>1165</v>
      </c>
      <c r="D197" s="22" t="s">
        <v>834</v>
      </c>
      <c r="E197" s="22" t="s">
        <v>441</v>
      </c>
      <c r="F197" s="24">
        <v>39784</v>
      </c>
      <c r="G197" s="24">
        <v>39784</v>
      </c>
      <c r="H197" s="23" t="s">
        <v>798</v>
      </c>
    </row>
    <row r="198" spans="1:8" x14ac:dyDescent="0.2">
      <c r="A198" s="22" t="s">
        <v>1391</v>
      </c>
      <c r="B198" s="53" t="s">
        <v>1392</v>
      </c>
      <c r="C198" s="22" t="s">
        <v>1165</v>
      </c>
      <c r="D198" s="22" t="s">
        <v>834</v>
      </c>
      <c r="E198" s="22" t="s">
        <v>441</v>
      </c>
      <c r="F198" s="24">
        <v>39785</v>
      </c>
      <c r="G198" s="24">
        <v>39785</v>
      </c>
      <c r="H198" s="23" t="s">
        <v>798</v>
      </c>
    </row>
    <row r="199" spans="1:8" x14ac:dyDescent="0.2">
      <c r="A199" s="22" t="s">
        <v>1394</v>
      </c>
      <c r="B199" s="53" t="s">
        <v>1395</v>
      </c>
      <c r="C199" s="22" t="s">
        <v>1396</v>
      </c>
      <c r="D199" s="22" t="s">
        <v>987</v>
      </c>
      <c r="E199" s="22" t="s">
        <v>961</v>
      </c>
      <c r="F199" s="24">
        <v>39785</v>
      </c>
      <c r="G199" s="24">
        <v>39825</v>
      </c>
      <c r="H199" s="23" t="s">
        <v>798</v>
      </c>
    </row>
    <row r="200" spans="1:8" x14ac:dyDescent="0.2">
      <c r="A200" s="22" t="s">
        <v>1397</v>
      </c>
      <c r="B200" s="53" t="s">
        <v>1398</v>
      </c>
      <c r="C200" s="22" t="s">
        <v>515</v>
      </c>
      <c r="D200" s="22" t="s">
        <v>987</v>
      </c>
      <c r="E200" s="22" t="s">
        <v>961</v>
      </c>
      <c r="F200" s="24">
        <v>39785</v>
      </c>
      <c r="G200" s="24">
        <v>39829</v>
      </c>
      <c r="H200" s="23" t="s">
        <v>798</v>
      </c>
    </row>
    <row r="201" spans="1:8" s="70" customFormat="1" x14ac:dyDescent="0.2">
      <c r="A201" s="27" t="s">
        <v>1399</v>
      </c>
      <c r="B201" s="105" t="s">
        <v>1400</v>
      </c>
      <c r="C201" s="27" t="s">
        <v>1401</v>
      </c>
      <c r="D201" s="27" t="s">
        <v>987</v>
      </c>
      <c r="E201" s="27" t="s">
        <v>961</v>
      </c>
      <c r="F201" s="33">
        <v>39785</v>
      </c>
      <c r="G201" s="33">
        <v>39959</v>
      </c>
      <c r="H201" s="41" t="s">
        <v>798</v>
      </c>
    </row>
    <row r="202" spans="1:8" x14ac:dyDescent="0.2">
      <c r="A202" s="22" t="s">
        <v>1402</v>
      </c>
      <c r="B202" s="53" t="s">
        <v>784</v>
      </c>
      <c r="C202" s="22" t="s">
        <v>1403</v>
      </c>
      <c r="D202" s="22" t="s">
        <v>987</v>
      </c>
      <c r="E202" s="22" t="s">
        <v>961</v>
      </c>
      <c r="F202" s="24">
        <v>39785</v>
      </c>
      <c r="G202" s="24">
        <v>39863</v>
      </c>
      <c r="H202" s="23" t="s">
        <v>798</v>
      </c>
    </row>
    <row r="203" spans="1:8" x14ac:dyDescent="0.2">
      <c r="A203" s="22" t="s">
        <v>1404</v>
      </c>
      <c r="B203" s="53" t="s">
        <v>1406</v>
      </c>
      <c r="C203" s="22" t="s">
        <v>1405</v>
      </c>
      <c r="D203" s="22" t="s">
        <v>987</v>
      </c>
      <c r="E203" s="22" t="s">
        <v>961</v>
      </c>
      <c r="F203" s="24">
        <v>39785</v>
      </c>
      <c r="G203" s="24">
        <v>39863</v>
      </c>
      <c r="H203" s="23" t="s">
        <v>798</v>
      </c>
    </row>
    <row r="204" spans="1:8" x14ac:dyDescent="0.2">
      <c r="A204" s="22" t="s">
        <v>1407</v>
      </c>
      <c r="B204" s="53" t="s">
        <v>1408</v>
      </c>
      <c r="C204" s="22" t="s">
        <v>1403</v>
      </c>
      <c r="D204" s="22" t="s">
        <v>987</v>
      </c>
      <c r="E204" s="22" t="s">
        <v>961</v>
      </c>
      <c r="F204" s="24">
        <v>39785</v>
      </c>
      <c r="G204" s="24">
        <v>39863</v>
      </c>
      <c r="H204" s="23" t="s">
        <v>798</v>
      </c>
    </row>
    <row r="205" spans="1:8" s="70" customFormat="1" x14ac:dyDescent="0.2">
      <c r="A205" s="27" t="s">
        <v>1409</v>
      </c>
      <c r="B205" s="105" t="s">
        <v>1413</v>
      </c>
      <c r="C205" s="27" t="s">
        <v>1414</v>
      </c>
      <c r="D205" s="27" t="s">
        <v>987</v>
      </c>
      <c r="E205" s="27" t="s">
        <v>961</v>
      </c>
      <c r="F205" s="33">
        <v>39785</v>
      </c>
      <c r="G205" s="33">
        <v>39965</v>
      </c>
      <c r="H205" s="41" t="s">
        <v>798</v>
      </c>
    </row>
    <row r="206" spans="1:8" x14ac:dyDescent="0.2">
      <c r="A206" s="22" t="s">
        <v>1415</v>
      </c>
      <c r="B206" s="53" t="s">
        <v>1416</v>
      </c>
      <c r="C206" s="22" t="s">
        <v>1403</v>
      </c>
      <c r="D206" s="22" t="s">
        <v>987</v>
      </c>
      <c r="E206" s="22" t="s">
        <v>961</v>
      </c>
      <c r="F206" s="24">
        <v>39785</v>
      </c>
      <c r="G206" s="24">
        <v>39863</v>
      </c>
      <c r="H206" s="23" t="s">
        <v>798</v>
      </c>
    </row>
    <row r="207" spans="1:8" x14ac:dyDescent="0.2">
      <c r="A207" s="22" t="s">
        <v>1417</v>
      </c>
      <c r="B207" s="53" t="s">
        <v>1238</v>
      </c>
      <c r="C207" s="22" t="s">
        <v>525</v>
      </c>
      <c r="D207" s="22" t="s">
        <v>987</v>
      </c>
      <c r="E207" s="22" t="s">
        <v>961</v>
      </c>
      <c r="F207" s="24">
        <v>39785</v>
      </c>
      <c r="G207" s="24">
        <v>39825</v>
      </c>
      <c r="H207" s="23" t="s">
        <v>798</v>
      </c>
    </row>
    <row r="208" spans="1:8" s="164" customFormat="1" x14ac:dyDescent="0.2">
      <c r="A208" s="160" t="s">
        <v>1418</v>
      </c>
      <c r="B208" s="161" t="s">
        <v>1419</v>
      </c>
      <c r="C208" s="160" t="s">
        <v>1420</v>
      </c>
      <c r="D208" s="160" t="s">
        <v>987</v>
      </c>
      <c r="E208" s="160" t="s">
        <v>961</v>
      </c>
      <c r="F208" s="162">
        <v>39785</v>
      </c>
      <c r="G208" s="163" t="s">
        <v>1056</v>
      </c>
      <c r="H208" s="163" t="s">
        <v>1056</v>
      </c>
    </row>
    <row r="209" spans="1:10" x14ac:dyDescent="0.2">
      <c r="A209" s="22" t="s">
        <v>1421</v>
      </c>
      <c r="B209" s="53" t="s">
        <v>1296</v>
      </c>
      <c r="C209" s="22" t="s">
        <v>1422</v>
      </c>
      <c r="D209" s="22" t="s">
        <v>987</v>
      </c>
      <c r="E209" s="22" t="s">
        <v>961</v>
      </c>
      <c r="F209" s="24">
        <v>39785</v>
      </c>
      <c r="G209" s="24">
        <v>39948</v>
      </c>
      <c r="H209" s="23" t="s">
        <v>798</v>
      </c>
    </row>
    <row r="210" spans="1:10" x14ac:dyDescent="0.2">
      <c r="A210" s="22" t="s">
        <v>1423</v>
      </c>
      <c r="B210" s="53" t="s">
        <v>1320</v>
      </c>
      <c r="C210" s="22" t="s">
        <v>1424</v>
      </c>
      <c r="D210" s="22" t="s">
        <v>987</v>
      </c>
      <c r="E210" s="22" t="s">
        <v>961</v>
      </c>
      <c r="F210" s="24">
        <v>39785</v>
      </c>
      <c r="G210" s="24">
        <v>39863</v>
      </c>
      <c r="H210" s="23" t="s">
        <v>798</v>
      </c>
    </row>
    <row r="211" spans="1:10" s="70" customFormat="1" x14ac:dyDescent="0.2">
      <c r="A211" s="27" t="s">
        <v>1425</v>
      </c>
      <c r="B211" s="105" t="s">
        <v>1320</v>
      </c>
      <c r="C211" s="27" t="s">
        <v>1426</v>
      </c>
      <c r="D211" s="27" t="s">
        <v>987</v>
      </c>
      <c r="E211" s="27" t="s">
        <v>961</v>
      </c>
      <c r="F211" s="33">
        <v>39785</v>
      </c>
      <c r="G211" s="33">
        <v>39959</v>
      </c>
      <c r="H211" s="41" t="s">
        <v>798</v>
      </c>
    </row>
    <row r="212" spans="1:10" s="70" customFormat="1" x14ac:dyDescent="0.2">
      <c r="A212" s="27" t="s">
        <v>1427</v>
      </c>
      <c r="B212" s="147" t="s">
        <v>1888</v>
      </c>
      <c r="C212" s="27" t="s">
        <v>1430</v>
      </c>
      <c r="D212" s="27" t="s">
        <v>987</v>
      </c>
      <c r="E212" s="27" t="s">
        <v>961</v>
      </c>
      <c r="F212" s="33">
        <v>39785</v>
      </c>
      <c r="G212" s="33">
        <v>39965</v>
      </c>
      <c r="H212" s="41" t="s">
        <v>798</v>
      </c>
    </row>
    <row r="213" spans="1:10" s="106" customFormat="1" x14ac:dyDescent="0.2">
      <c r="A213" s="22" t="s">
        <v>1428</v>
      </c>
      <c r="B213" s="53" t="s">
        <v>451</v>
      </c>
      <c r="C213" s="22" t="s">
        <v>904</v>
      </c>
      <c r="D213" s="22" t="s">
        <v>987</v>
      </c>
      <c r="E213" s="22" t="s">
        <v>961</v>
      </c>
      <c r="F213" s="55">
        <v>39785</v>
      </c>
      <c r="G213" s="55">
        <v>39856</v>
      </c>
      <c r="H213" s="41" t="s">
        <v>798</v>
      </c>
    </row>
    <row r="214" spans="1:10" x14ac:dyDescent="0.2">
      <c r="A214" s="22" t="s">
        <v>1429</v>
      </c>
      <c r="B214" s="53" t="s">
        <v>617</v>
      </c>
      <c r="C214" s="22" t="s">
        <v>1403</v>
      </c>
      <c r="D214" s="22" t="s">
        <v>987</v>
      </c>
      <c r="E214" s="22" t="s">
        <v>961</v>
      </c>
      <c r="F214" s="24">
        <v>39785</v>
      </c>
      <c r="G214" s="24">
        <v>39904</v>
      </c>
      <c r="H214" s="23" t="s">
        <v>798</v>
      </c>
    </row>
    <row r="215" spans="1:10" x14ac:dyDescent="0.2">
      <c r="A215" s="22" t="s">
        <v>1431</v>
      </c>
      <c r="B215" s="53" t="s">
        <v>1432</v>
      </c>
      <c r="C215" s="22" t="s">
        <v>1165</v>
      </c>
      <c r="D215" s="22" t="s">
        <v>834</v>
      </c>
      <c r="E215" s="22" t="s">
        <v>441</v>
      </c>
      <c r="F215" s="24">
        <v>39785</v>
      </c>
      <c r="G215" s="24">
        <v>39785</v>
      </c>
      <c r="H215" s="23" t="s">
        <v>798</v>
      </c>
    </row>
    <row r="216" spans="1:10" x14ac:dyDescent="0.2">
      <c r="A216" s="22" t="s">
        <v>1433</v>
      </c>
      <c r="B216" s="53" t="s">
        <v>1434</v>
      </c>
      <c r="C216" s="22" t="s">
        <v>1320</v>
      </c>
      <c r="D216" s="22" t="s">
        <v>834</v>
      </c>
      <c r="E216" s="22" t="s">
        <v>441</v>
      </c>
      <c r="F216" s="24">
        <v>39785</v>
      </c>
      <c r="G216" s="23" t="s">
        <v>1056</v>
      </c>
      <c r="H216" s="23" t="s">
        <v>1056</v>
      </c>
    </row>
    <row r="217" spans="1:10" x14ac:dyDescent="0.2">
      <c r="A217" s="22" t="s">
        <v>1435</v>
      </c>
      <c r="B217" s="53" t="s">
        <v>1436</v>
      </c>
      <c r="C217" s="22" t="s">
        <v>904</v>
      </c>
      <c r="D217" s="22" t="s">
        <v>779</v>
      </c>
      <c r="E217" s="22" t="s">
        <v>834</v>
      </c>
      <c r="F217" s="24">
        <v>39790</v>
      </c>
      <c r="G217" s="24">
        <v>39811</v>
      </c>
      <c r="H217" s="23" t="s">
        <v>798</v>
      </c>
    </row>
    <row r="218" spans="1:10" x14ac:dyDescent="0.2">
      <c r="A218" s="22" t="s">
        <v>1441</v>
      </c>
      <c r="B218" s="53" t="s">
        <v>1442</v>
      </c>
      <c r="C218" s="22" t="s">
        <v>904</v>
      </c>
      <c r="D218" s="22" t="s">
        <v>834</v>
      </c>
      <c r="E218" s="22" t="s">
        <v>441</v>
      </c>
      <c r="F218" s="24">
        <v>39793</v>
      </c>
      <c r="G218" s="24">
        <v>39934</v>
      </c>
      <c r="H218" s="23" t="s">
        <v>993</v>
      </c>
    </row>
    <row r="219" spans="1:10" x14ac:dyDescent="0.2">
      <c r="A219" s="22" t="s">
        <v>1443</v>
      </c>
      <c r="B219" s="53" t="s">
        <v>1444</v>
      </c>
      <c r="C219" s="22" t="s">
        <v>1165</v>
      </c>
      <c r="D219" s="22" t="s">
        <v>834</v>
      </c>
      <c r="E219" s="22" t="s">
        <v>441</v>
      </c>
      <c r="F219" s="24">
        <v>39793</v>
      </c>
      <c r="G219" s="24">
        <v>39799</v>
      </c>
      <c r="H219" s="23" t="s">
        <v>798</v>
      </c>
    </row>
    <row r="220" spans="1:10" s="106" customFormat="1" x14ac:dyDescent="0.2">
      <c r="A220" s="22" t="s">
        <v>1445</v>
      </c>
      <c r="B220" s="53" t="s">
        <v>1446</v>
      </c>
      <c r="C220" s="22" t="s">
        <v>1447</v>
      </c>
      <c r="D220" s="22" t="s">
        <v>1275</v>
      </c>
      <c r="E220" s="22" t="s">
        <v>794</v>
      </c>
      <c r="F220" s="55">
        <v>39797</v>
      </c>
      <c r="G220" s="55">
        <v>41159</v>
      </c>
      <c r="H220" s="22" t="s">
        <v>798</v>
      </c>
    </row>
    <row r="221" spans="1:10" x14ac:dyDescent="0.2">
      <c r="A221" s="22" t="s">
        <v>1449</v>
      </c>
      <c r="B221" s="53" t="s">
        <v>1450</v>
      </c>
      <c r="C221" s="22" t="s">
        <v>1451</v>
      </c>
      <c r="D221" s="22" t="s">
        <v>834</v>
      </c>
      <c r="E221" s="22" t="s">
        <v>441</v>
      </c>
      <c r="F221" s="24">
        <v>39799</v>
      </c>
      <c r="G221" s="23" t="s">
        <v>1173</v>
      </c>
      <c r="H221" s="23" t="s">
        <v>1173</v>
      </c>
    </row>
    <row r="222" spans="1:10" x14ac:dyDescent="0.2">
      <c r="A222" s="22" t="s">
        <v>1452</v>
      </c>
      <c r="B222" s="53" t="s">
        <v>1453</v>
      </c>
      <c r="C222" s="22" t="s">
        <v>1514</v>
      </c>
      <c r="D222" s="22" t="s">
        <v>615</v>
      </c>
      <c r="E222" s="22" t="s">
        <v>441</v>
      </c>
      <c r="F222" s="24" t="s">
        <v>1456</v>
      </c>
      <c r="G222" s="24">
        <v>39881</v>
      </c>
      <c r="H222" s="23" t="s">
        <v>798</v>
      </c>
    </row>
    <row r="223" spans="1:10" x14ac:dyDescent="0.2">
      <c r="A223" s="22" t="s">
        <v>1454</v>
      </c>
      <c r="B223" s="53" t="s">
        <v>1455</v>
      </c>
      <c r="C223" s="22" t="s">
        <v>1515</v>
      </c>
      <c r="D223" s="22" t="s">
        <v>615</v>
      </c>
      <c r="E223" s="22" t="s">
        <v>441</v>
      </c>
      <c r="F223" s="24" t="s">
        <v>1456</v>
      </c>
      <c r="G223" s="24">
        <v>39881</v>
      </c>
      <c r="H223" s="23" t="s">
        <v>798</v>
      </c>
    </row>
    <row r="224" spans="1:10" s="144" customFormat="1" ht="16.5" customHeight="1" x14ac:dyDescent="0.2">
      <c r="A224" s="539" t="s">
        <v>1829</v>
      </c>
      <c r="B224" s="539"/>
      <c r="C224" s="539"/>
      <c r="D224" s="539"/>
      <c r="E224" s="539"/>
      <c r="F224" s="539"/>
      <c r="G224" s="539"/>
      <c r="H224" s="539"/>
      <c r="I224" s="539"/>
      <c r="J224" s="539"/>
    </row>
    <row r="225" spans="1:10" s="144" customFormat="1" x14ac:dyDescent="0.2">
      <c r="A225" s="539"/>
      <c r="B225" s="539"/>
      <c r="C225" s="539"/>
      <c r="D225" s="539"/>
      <c r="E225" s="539"/>
      <c r="F225" s="539"/>
      <c r="G225" s="539"/>
      <c r="H225" s="539"/>
      <c r="I225" s="539"/>
      <c r="J225" s="539"/>
    </row>
    <row r="226" spans="1:10" x14ac:dyDescent="0.2">
      <c r="A226" s="14"/>
      <c r="B226" s="14"/>
      <c r="C226" s="14"/>
      <c r="D226" s="14"/>
      <c r="E226" s="14"/>
      <c r="F226" s="10"/>
      <c r="G226" s="9"/>
      <c r="H226" s="9"/>
    </row>
    <row r="227" spans="1:10" x14ac:dyDescent="0.2">
      <c r="A227" s="14"/>
      <c r="B227" s="14"/>
      <c r="C227" s="14"/>
      <c r="D227" s="14"/>
      <c r="E227" s="14"/>
      <c r="F227" s="10"/>
      <c r="G227" s="9"/>
      <c r="H227" s="9"/>
    </row>
    <row r="228" spans="1:10" x14ac:dyDescent="0.2">
      <c r="A228" s="14"/>
      <c r="B228" s="14"/>
      <c r="C228" s="14"/>
      <c r="D228" s="14"/>
      <c r="E228" s="14"/>
      <c r="F228" s="10"/>
      <c r="G228" s="9"/>
      <c r="H228" s="9"/>
    </row>
    <row r="229" spans="1:10" x14ac:dyDescent="0.2">
      <c r="A229" s="14"/>
      <c r="B229" s="14"/>
      <c r="C229" s="14"/>
      <c r="D229" s="14"/>
      <c r="E229" s="14"/>
      <c r="F229" s="10"/>
      <c r="G229" s="9"/>
      <c r="H229" s="9"/>
    </row>
    <row r="230" spans="1:10" x14ac:dyDescent="0.2">
      <c r="A230" s="14"/>
      <c r="B230" s="14"/>
      <c r="C230" s="14"/>
      <c r="D230" s="14"/>
      <c r="E230" s="14"/>
      <c r="F230" s="10"/>
      <c r="G230" s="9"/>
      <c r="H230" s="9"/>
    </row>
    <row r="231" spans="1:10" x14ac:dyDescent="0.2">
      <c r="A231" s="14"/>
      <c r="B231" s="14"/>
      <c r="C231" s="14"/>
      <c r="D231" s="14"/>
      <c r="E231" s="14"/>
      <c r="F231" s="10"/>
      <c r="G231" s="9"/>
      <c r="H231" s="9"/>
    </row>
    <row r="232" spans="1:10" x14ac:dyDescent="0.2">
      <c r="A232" s="14"/>
      <c r="B232" s="14"/>
      <c r="C232" s="14"/>
      <c r="D232" s="14"/>
      <c r="E232" s="14"/>
      <c r="F232" s="10"/>
      <c r="G232" s="9"/>
      <c r="H232" s="9"/>
    </row>
    <row r="233" spans="1:10" x14ac:dyDescent="0.2">
      <c r="A233" s="14"/>
      <c r="B233" s="14"/>
      <c r="C233" s="14"/>
      <c r="D233" s="14"/>
      <c r="E233" s="14"/>
      <c r="F233" s="10"/>
      <c r="G233" s="9"/>
      <c r="H233" s="9"/>
    </row>
    <row r="234" spans="1:10" x14ac:dyDescent="0.2">
      <c r="A234" s="14"/>
      <c r="B234" s="14"/>
      <c r="C234" s="14"/>
      <c r="D234" s="14"/>
      <c r="E234" s="14"/>
      <c r="F234" s="10"/>
      <c r="G234" s="9"/>
      <c r="H234" s="9"/>
    </row>
    <row r="235" spans="1:10" x14ac:dyDescent="0.2">
      <c r="A235" s="14"/>
      <c r="B235" s="14"/>
      <c r="C235" s="14"/>
      <c r="D235" s="14"/>
      <c r="E235" s="14"/>
      <c r="F235" s="10"/>
      <c r="G235" s="9"/>
      <c r="H235" s="9"/>
    </row>
    <row r="236" spans="1:10" x14ac:dyDescent="0.2">
      <c r="A236" s="14"/>
      <c r="B236" s="14"/>
      <c r="C236" s="14"/>
      <c r="D236" s="14"/>
      <c r="E236" s="14"/>
      <c r="F236" s="10"/>
      <c r="G236" s="9"/>
      <c r="H236" s="9"/>
    </row>
    <row r="237" spans="1:10" x14ac:dyDescent="0.2">
      <c r="A237" s="14"/>
      <c r="B237" s="14"/>
      <c r="C237" s="14"/>
      <c r="D237" s="14"/>
      <c r="E237" s="14"/>
      <c r="F237" s="10"/>
      <c r="G237" s="9"/>
      <c r="H237" s="9"/>
    </row>
    <row r="238" spans="1:10" x14ac:dyDescent="0.2">
      <c r="A238" s="14"/>
      <c r="B238" s="14"/>
      <c r="C238" s="14"/>
      <c r="D238" s="14"/>
      <c r="E238" s="14"/>
      <c r="F238" s="10"/>
      <c r="G238" s="9"/>
      <c r="H238" s="9"/>
    </row>
    <row r="239" spans="1:10" x14ac:dyDescent="0.2">
      <c r="A239" s="14"/>
      <c r="B239" s="14"/>
      <c r="C239" s="14"/>
      <c r="D239" s="14"/>
      <c r="E239" s="14"/>
      <c r="F239" s="10"/>
      <c r="G239" s="9"/>
      <c r="H239" s="9"/>
    </row>
    <row r="240" spans="1:10" x14ac:dyDescent="0.2">
      <c r="A240" s="14"/>
      <c r="B240" s="14"/>
      <c r="C240" s="14"/>
      <c r="D240" s="14"/>
      <c r="E240" s="14"/>
      <c r="F240" s="10"/>
      <c r="G240" s="9"/>
      <c r="H240" s="9"/>
    </row>
    <row r="241" spans="1:8" x14ac:dyDescent="0.2">
      <c r="A241" s="14"/>
      <c r="B241" s="14"/>
      <c r="C241" s="14"/>
      <c r="D241" s="14"/>
      <c r="E241" s="14"/>
      <c r="F241" s="10"/>
      <c r="G241" s="9"/>
      <c r="H241" s="9"/>
    </row>
    <row r="242" spans="1:8" x14ac:dyDescent="0.2">
      <c r="A242" s="14"/>
      <c r="B242" s="14"/>
      <c r="C242" s="14"/>
      <c r="D242" s="14"/>
      <c r="E242" s="14"/>
      <c r="F242" s="10"/>
      <c r="G242" s="9"/>
      <c r="H242" s="9"/>
    </row>
    <row r="243" spans="1:8" x14ac:dyDescent="0.2">
      <c r="A243" s="14"/>
      <c r="B243" s="14"/>
      <c r="C243" s="14"/>
      <c r="D243" s="14"/>
      <c r="E243" s="14"/>
      <c r="F243" s="10"/>
      <c r="G243" s="9"/>
      <c r="H243" s="9"/>
    </row>
    <row r="244" spans="1:8" x14ac:dyDescent="0.2">
      <c r="A244" s="14"/>
      <c r="B244" s="14"/>
      <c r="C244" s="14"/>
      <c r="D244" s="14"/>
      <c r="E244" s="14"/>
      <c r="F244" s="10"/>
      <c r="G244" s="9"/>
      <c r="H244" s="9"/>
    </row>
    <row r="245" spans="1:8" x14ac:dyDescent="0.2">
      <c r="A245" s="14"/>
      <c r="B245" s="14"/>
      <c r="C245" s="14"/>
      <c r="D245" s="14"/>
      <c r="E245" s="14"/>
      <c r="F245" s="10"/>
      <c r="G245" s="9"/>
      <c r="H245" s="9"/>
    </row>
    <row r="246" spans="1:8" x14ac:dyDescent="0.2">
      <c r="A246" s="14"/>
      <c r="B246" s="14"/>
      <c r="C246" s="14"/>
      <c r="D246" s="14"/>
      <c r="E246" s="14"/>
      <c r="F246" s="10"/>
      <c r="G246" s="9"/>
      <c r="H246" s="9"/>
    </row>
    <row r="247" spans="1:8" x14ac:dyDescent="0.2">
      <c r="A247" s="14"/>
      <c r="B247" s="14"/>
      <c r="C247" s="14"/>
      <c r="D247" s="14"/>
      <c r="E247" s="14"/>
      <c r="F247" s="10"/>
      <c r="G247" s="9"/>
      <c r="H247" s="9"/>
    </row>
    <row r="248" spans="1:8" x14ac:dyDescent="0.2">
      <c r="A248" s="14"/>
      <c r="B248" s="14"/>
      <c r="C248" s="14"/>
      <c r="D248" s="14"/>
      <c r="E248" s="14"/>
      <c r="F248" s="10"/>
      <c r="G248" s="9"/>
      <c r="H248" s="9"/>
    </row>
    <row r="249" spans="1:8" x14ac:dyDescent="0.2">
      <c r="A249" s="14"/>
      <c r="B249" s="14"/>
      <c r="C249" s="14"/>
      <c r="D249" s="14"/>
      <c r="E249" s="14"/>
      <c r="F249" s="10"/>
      <c r="G249" s="9"/>
      <c r="H249" s="9"/>
    </row>
    <row r="250" spans="1:8" x14ac:dyDescent="0.2">
      <c r="A250" s="14"/>
      <c r="B250" s="14"/>
      <c r="C250" s="14"/>
      <c r="D250" s="14"/>
      <c r="E250" s="14"/>
      <c r="F250" s="10"/>
      <c r="G250" s="9"/>
      <c r="H250" s="9"/>
    </row>
  </sheetData>
  <mergeCells count="3">
    <mergeCell ref="A1:H1"/>
    <mergeCell ref="C38:C39"/>
    <mergeCell ref="A224:J225"/>
  </mergeCells>
  <phoneticPr fontId="4" type="noConversion"/>
  <pageMargins left="0.75" right="0.75" top="1" bottom="1" header="0.5" footer="0.5"/>
  <pageSetup orientation="landscape"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K159"/>
  <sheetViews>
    <sheetView workbookViewId="0">
      <pane ySplit="2" topLeftCell="A98" activePane="bottomLeft" state="frozen"/>
      <selection pane="bottomLeft" activeCell="B116" sqref="B116"/>
    </sheetView>
  </sheetViews>
  <sheetFormatPr defaultRowHeight="12.75" x14ac:dyDescent="0.2"/>
  <cols>
    <col min="1" max="1" width="11.5703125" customWidth="1"/>
    <col min="2" max="2" width="33.42578125" customWidth="1"/>
    <col min="3" max="3" width="46.42578125" customWidth="1"/>
    <col min="4" max="5" width="0.42578125" hidden="1" customWidth="1"/>
    <col min="6" max="6" width="10.5703125" customWidth="1"/>
    <col min="7" max="7" width="10.42578125" customWidth="1"/>
    <col min="8" max="8" width="12.5703125" customWidth="1"/>
    <col min="9" max="9" width="15.5703125" style="13" customWidth="1"/>
    <col min="11" max="11" width="15.42578125" customWidth="1"/>
  </cols>
  <sheetData>
    <row r="1" spans="1:10" ht="45" x14ac:dyDescent="0.6">
      <c r="A1" s="541" t="s">
        <v>541</v>
      </c>
      <c r="B1" s="541"/>
      <c r="C1" s="541"/>
      <c r="D1" s="541"/>
      <c r="E1" s="541"/>
      <c r="F1" s="541"/>
      <c r="G1" s="541"/>
      <c r="H1" s="541"/>
      <c r="I1" s="541"/>
      <c r="J1" s="541"/>
    </row>
    <row r="2" spans="1:10" ht="38.25" x14ac:dyDescent="0.2">
      <c r="A2" s="5" t="s">
        <v>423</v>
      </c>
      <c r="B2" s="20" t="s">
        <v>432</v>
      </c>
      <c r="C2" s="550" t="s">
        <v>426</v>
      </c>
      <c r="D2" s="551"/>
      <c r="E2" s="552"/>
      <c r="F2" s="5" t="s">
        <v>427</v>
      </c>
      <c r="G2" s="5" t="s">
        <v>428</v>
      </c>
      <c r="H2" s="5" t="s">
        <v>429</v>
      </c>
      <c r="I2" s="222" t="s">
        <v>430</v>
      </c>
      <c r="J2" s="5" t="s">
        <v>452</v>
      </c>
    </row>
    <row r="3" spans="1:10" x14ac:dyDescent="0.2">
      <c r="A3" s="1" t="s">
        <v>502</v>
      </c>
      <c r="B3" s="8" t="s">
        <v>501</v>
      </c>
      <c r="C3" s="543" t="s">
        <v>438</v>
      </c>
      <c r="D3" s="544"/>
      <c r="E3" s="545"/>
      <c r="F3" s="1" t="s">
        <v>495</v>
      </c>
      <c r="G3" s="1" t="s">
        <v>436</v>
      </c>
      <c r="H3" s="4">
        <v>39085</v>
      </c>
      <c r="I3" s="4"/>
      <c r="J3" s="1"/>
    </row>
    <row r="4" spans="1:10" ht="12.75" customHeight="1" x14ac:dyDescent="0.2">
      <c r="A4" s="1" t="s">
        <v>503</v>
      </c>
      <c r="B4" s="131" t="s">
        <v>504</v>
      </c>
      <c r="C4" s="543" t="s">
        <v>438</v>
      </c>
      <c r="D4" s="544"/>
      <c r="E4" s="545"/>
      <c r="F4" s="1" t="s">
        <v>472</v>
      </c>
      <c r="G4" s="1" t="s">
        <v>436</v>
      </c>
      <c r="H4" s="4">
        <v>39085</v>
      </c>
      <c r="I4" s="4"/>
      <c r="J4" s="1"/>
    </row>
    <row r="5" spans="1:10" x14ac:dyDescent="0.2">
      <c r="A5" s="1" t="s">
        <v>509</v>
      </c>
      <c r="B5" s="8" t="s">
        <v>510</v>
      </c>
      <c r="C5" s="543" t="s">
        <v>511</v>
      </c>
      <c r="D5" s="544"/>
      <c r="E5" s="545"/>
      <c r="F5" s="1" t="s">
        <v>512</v>
      </c>
      <c r="G5" s="1" t="s">
        <v>436</v>
      </c>
      <c r="H5" s="4">
        <v>39092</v>
      </c>
      <c r="I5" s="4"/>
      <c r="J5" s="1"/>
    </row>
    <row r="6" spans="1:10" x14ac:dyDescent="0.2">
      <c r="A6" s="1" t="s">
        <v>513</v>
      </c>
      <c r="B6" s="8" t="s">
        <v>514</v>
      </c>
      <c r="C6" s="543" t="s">
        <v>515</v>
      </c>
      <c r="D6" s="544"/>
      <c r="E6" s="545"/>
      <c r="F6" s="1" t="s">
        <v>531</v>
      </c>
      <c r="G6" s="1" t="s">
        <v>516</v>
      </c>
      <c r="H6" s="4">
        <v>39105</v>
      </c>
      <c r="I6" s="35">
        <v>39659</v>
      </c>
      <c r="J6" s="1" t="s">
        <v>798</v>
      </c>
    </row>
    <row r="7" spans="1:10" x14ac:dyDescent="0.2">
      <c r="A7" s="1" t="s">
        <v>517</v>
      </c>
      <c r="B7" s="8" t="s">
        <v>518</v>
      </c>
      <c r="C7" s="543" t="s">
        <v>515</v>
      </c>
      <c r="D7" s="544"/>
      <c r="E7" s="545"/>
      <c r="F7" s="1" t="s">
        <v>516</v>
      </c>
      <c r="G7" s="1" t="s">
        <v>436</v>
      </c>
      <c r="H7" s="4">
        <v>39106</v>
      </c>
      <c r="I7" s="156">
        <v>40801</v>
      </c>
      <c r="J7" s="1" t="s">
        <v>798</v>
      </c>
    </row>
    <row r="8" spans="1:10" x14ac:dyDescent="0.2">
      <c r="A8" s="1" t="s">
        <v>519</v>
      </c>
      <c r="B8" s="8" t="s">
        <v>520</v>
      </c>
      <c r="C8" s="543" t="s">
        <v>515</v>
      </c>
      <c r="D8" s="544"/>
      <c r="E8" s="545"/>
      <c r="F8" s="1" t="s">
        <v>512</v>
      </c>
      <c r="G8" s="1" t="s">
        <v>436</v>
      </c>
      <c r="H8" s="4">
        <v>39132</v>
      </c>
      <c r="I8" s="4">
        <v>39146</v>
      </c>
      <c r="J8" s="1" t="s">
        <v>798</v>
      </c>
    </row>
    <row r="9" spans="1:10" x14ac:dyDescent="0.2">
      <c r="A9" s="1" t="s">
        <v>521</v>
      </c>
      <c r="B9" s="8" t="s">
        <v>522</v>
      </c>
      <c r="C9" s="543" t="s">
        <v>515</v>
      </c>
      <c r="D9" s="544"/>
      <c r="E9" s="545"/>
      <c r="F9" s="1" t="s">
        <v>512</v>
      </c>
      <c r="G9" s="1" t="s">
        <v>436</v>
      </c>
      <c r="H9" s="4">
        <v>39132</v>
      </c>
      <c r="I9" s="4"/>
      <c r="J9" s="1"/>
    </row>
    <row r="10" spans="1:10" x14ac:dyDescent="0.2">
      <c r="A10" s="1" t="s">
        <v>523</v>
      </c>
      <c r="B10" s="8" t="s">
        <v>524</v>
      </c>
      <c r="C10" s="543" t="s">
        <v>525</v>
      </c>
      <c r="D10" s="544"/>
      <c r="E10" s="545"/>
      <c r="F10" s="1" t="s">
        <v>526</v>
      </c>
      <c r="G10" s="1" t="s">
        <v>436</v>
      </c>
      <c r="H10" s="4">
        <v>39134</v>
      </c>
      <c r="I10" s="4"/>
      <c r="J10" s="1"/>
    </row>
    <row r="11" spans="1:10" x14ac:dyDescent="0.2">
      <c r="A11" s="1" t="s">
        <v>527</v>
      </c>
      <c r="B11" s="8" t="s">
        <v>529</v>
      </c>
      <c r="C11" s="543" t="s">
        <v>515</v>
      </c>
      <c r="D11" s="544"/>
      <c r="E11" s="545"/>
      <c r="F11" s="1" t="s">
        <v>531</v>
      </c>
      <c r="G11" s="1" t="s">
        <v>531</v>
      </c>
      <c r="H11" s="4">
        <v>39140</v>
      </c>
      <c r="I11" s="4"/>
      <c r="J11" s="1" t="s">
        <v>798</v>
      </c>
    </row>
    <row r="12" spans="1:10" x14ac:dyDescent="0.2">
      <c r="A12" s="1" t="s">
        <v>528</v>
      </c>
      <c r="B12" s="8" t="s">
        <v>530</v>
      </c>
      <c r="C12" s="543" t="s">
        <v>515</v>
      </c>
      <c r="D12" s="544"/>
      <c r="E12" s="545"/>
      <c r="F12" s="1" t="s">
        <v>531</v>
      </c>
      <c r="G12" s="1" t="s">
        <v>531</v>
      </c>
      <c r="H12" s="4">
        <v>39140</v>
      </c>
      <c r="I12" s="4" t="s">
        <v>1173</v>
      </c>
      <c r="J12" s="1" t="s">
        <v>1173</v>
      </c>
    </row>
    <row r="13" spans="1:10" x14ac:dyDescent="0.2">
      <c r="A13" s="1" t="s">
        <v>532</v>
      </c>
      <c r="B13" s="132" t="s">
        <v>533</v>
      </c>
      <c r="C13" s="543" t="s">
        <v>515</v>
      </c>
      <c r="D13" s="544"/>
      <c r="E13" s="545"/>
      <c r="F13" s="1" t="s">
        <v>534</v>
      </c>
      <c r="G13" s="1" t="s">
        <v>436</v>
      </c>
      <c r="H13" s="4">
        <v>39140</v>
      </c>
      <c r="I13" s="4">
        <v>39140</v>
      </c>
      <c r="J13" s="1" t="s">
        <v>798</v>
      </c>
    </row>
    <row r="14" spans="1:10" x14ac:dyDescent="0.2">
      <c r="A14" s="1" t="s">
        <v>535</v>
      </c>
      <c r="B14" s="131" t="s">
        <v>538</v>
      </c>
      <c r="C14" s="543" t="s">
        <v>515</v>
      </c>
      <c r="D14" s="544"/>
      <c r="E14" s="545"/>
      <c r="F14" s="1" t="s">
        <v>495</v>
      </c>
      <c r="G14" s="1" t="s">
        <v>436</v>
      </c>
      <c r="H14" s="4">
        <v>39150</v>
      </c>
      <c r="I14" s="15" t="s">
        <v>798</v>
      </c>
      <c r="J14" t="s">
        <v>798</v>
      </c>
    </row>
    <row r="15" spans="1:10" x14ac:dyDescent="0.2">
      <c r="A15" s="1" t="s">
        <v>536</v>
      </c>
      <c r="B15" s="131" t="s">
        <v>539</v>
      </c>
      <c r="C15" s="543" t="s">
        <v>515</v>
      </c>
      <c r="D15" s="544"/>
      <c r="E15" s="545"/>
      <c r="F15" s="1" t="s">
        <v>495</v>
      </c>
      <c r="G15" s="1" t="s">
        <v>436</v>
      </c>
      <c r="H15" s="4">
        <v>39150</v>
      </c>
      <c r="I15" s="15" t="s">
        <v>798</v>
      </c>
      <c r="J15" t="s">
        <v>798</v>
      </c>
    </row>
    <row r="16" spans="1:10" x14ac:dyDescent="0.2">
      <c r="A16" s="1" t="s">
        <v>537</v>
      </c>
      <c r="B16" s="131" t="s">
        <v>540</v>
      </c>
      <c r="C16" s="543" t="s">
        <v>515</v>
      </c>
      <c r="D16" s="544"/>
      <c r="E16" s="545"/>
      <c r="F16" s="1" t="s">
        <v>495</v>
      </c>
      <c r="G16" s="1" t="s">
        <v>436</v>
      </c>
      <c r="H16" s="4">
        <v>39150</v>
      </c>
      <c r="I16" s="15" t="s">
        <v>798</v>
      </c>
      <c r="J16" t="s">
        <v>798</v>
      </c>
    </row>
    <row r="17" spans="1:10" x14ac:dyDescent="0.2">
      <c r="A17" s="1" t="s">
        <v>542</v>
      </c>
      <c r="B17" s="8" t="s">
        <v>543</v>
      </c>
      <c r="C17" s="543" t="s">
        <v>515</v>
      </c>
      <c r="D17" s="544"/>
      <c r="E17" s="545"/>
      <c r="F17" s="1" t="s">
        <v>495</v>
      </c>
      <c r="G17" s="1" t="s">
        <v>436</v>
      </c>
      <c r="H17" s="4">
        <v>39169</v>
      </c>
      <c r="I17" s="15" t="s">
        <v>798</v>
      </c>
      <c r="J17" t="s">
        <v>798</v>
      </c>
    </row>
    <row r="18" spans="1:10" x14ac:dyDescent="0.2">
      <c r="A18" s="1" t="s">
        <v>544</v>
      </c>
      <c r="B18" s="8" t="s">
        <v>545</v>
      </c>
      <c r="C18" s="543" t="s">
        <v>515</v>
      </c>
      <c r="D18" s="544"/>
      <c r="E18" s="545"/>
      <c r="F18" s="1" t="s">
        <v>495</v>
      </c>
      <c r="G18" s="1" t="s">
        <v>436</v>
      </c>
      <c r="H18" s="4">
        <v>39169</v>
      </c>
      <c r="I18" s="15" t="s">
        <v>798</v>
      </c>
      <c r="J18" t="s">
        <v>798</v>
      </c>
    </row>
    <row r="19" spans="1:10" x14ac:dyDescent="0.2">
      <c r="A19" s="1" t="s">
        <v>546</v>
      </c>
      <c r="B19" s="8" t="s">
        <v>547</v>
      </c>
      <c r="C19" s="543" t="s">
        <v>515</v>
      </c>
      <c r="D19" s="544"/>
      <c r="E19" s="545"/>
      <c r="F19" s="1" t="s">
        <v>495</v>
      </c>
      <c r="G19" s="1" t="s">
        <v>436</v>
      </c>
      <c r="H19" s="4">
        <v>39170</v>
      </c>
      <c r="I19" s="15" t="s">
        <v>798</v>
      </c>
      <c r="J19" t="s">
        <v>798</v>
      </c>
    </row>
    <row r="20" spans="1:10" x14ac:dyDescent="0.2">
      <c r="A20" s="1" t="s">
        <v>548</v>
      </c>
      <c r="B20" s="8" t="s">
        <v>551</v>
      </c>
      <c r="C20" s="543" t="s">
        <v>515</v>
      </c>
      <c r="D20" s="544"/>
      <c r="E20" s="545"/>
      <c r="F20" s="1" t="s">
        <v>472</v>
      </c>
      <c r="G20" s="1" t="s">
        <v>436</v>
      </c>
      <c r="H20" s="4">
        <v>39170</v>
      </c>
      <c r="I20" s="15" t="s">
        <v>798</v>
      </c>
      <c r="J20" t="s">
        <v>798</v>
      </c>
    </row>
    <row r="21" spans="1:10" x14ac:dyDescent="0.2">
      <c r="A21" s="1" t="s">
        <v>549</v>
      </c>
      <c r="B21" s="8" t="s">
        <v>550</v>
      </c>
      <c r="C21" s="543" t="s">
        <v>515</v>
      </c>
      <c r="D21" s="544"/>
      <c r="E21" s="545"/>
      <c r="F21" s="1" t="s">
        <v>472</v>
      </c>
      <c r="G21" s="1" t="s">
        <v>436</v>
      </c>
      <c r="H21" s="4">
        <v>39170</v>
      </c>
      <c r="I21" s="15" t="s">
        <v>798</v>
      </c>
      <c r="J21" t="s">
        <v>798</v>
      </c>
    </row>
    <row r="22" spans="1:10" x14ac:dyDescent="0.2">
      <c r="A22" s="1" t="s">
        <v>552</v>
      </c>
      <c r="B22" s="8" t="s">
        <v>553</v>
      </c>
      <c r="C22" s="543" t="s">
        <v>525</v>
      </c>
      <c r="D22" s="544"/>
      <c r="E22" s="545"/>
      <c r="F22" s="1" t="s">
        <v>495</v>
      </c>
      <c r="G22" s="1" t="s">
        <v>436</v>
      </c>
      <c r="H22" s="4">
        <v>39175</v>
      </c>
      <c r="I22" s="15" t="s">
        <v>798</v>
      </c>
      <c r="J22" t="s">
        <v>798</v>
      </c>
    </row>
    <row r="23" spans="1:10" x14ac:dyDescent="0.2">
      <c r="A23" s="1" t="s">
        <v>554</v>
      </c>
      <c r="B23" s="8" t="s">
        <v>555</v>
      </c>
      <c r="C23" s="543" t="s">
        <v>525</v>
      </c>
      <c r="D23" s="544"/>
      <c r="E23" s="545"/>
      <c r="F23" s="1" t="s">
        <v>495</v>
      </c>
      <c r="G23" s="1" t="s">
        <v>436</v>
      </c>
      <c r="H23" s="4">
        <v>39175</v>
      </c>
      <c r="I23" s="15" t="s">
        <v>798</v>
      </c>
      <c r="J23" t="s">
        <v>798</v>
      </c>
    </row>
    <row r="24" spans="1:10" x14ac:dyDescent="0.2">
      <c r="A24" s="1" t="s">
        <v>556</v>
      </c>
      <c r="B24" s="8" t="s">
        <v>575</v>
      </c>
      <c r="C24" s="543" t="s">
        <v>515</v>
      </c>
      <c r="D24" s="544"/>
      <c r="E24" s="545"/>
      <c r="F24" s="1" t="s">
        <v>495</v>
      </c>
      <c r="G24" s="1" t="s">
        <v>436</v>
      </c>
      <c r="H24" s="4">
        <v>39176</v>
      </c>
      <c r="I24" s="15"/>
      <c r="J24" t="s">
        <v>798</v>
      </c>
    </row>
    <row r="25" spans="1:10" x14ac:dyDescent="0.2">
      <c r="A25" s="8" t="s">
        <v>557</v>
      </c>
      <c r="B25" s="8" t="s">
        <v>594</v>
      </c>
      <c r="C25" s="544" t="s">
        <v>558</v>
      </c>
      <c r="D25" s="544"/>
      <c r="E25" s="545"/>
      <c r="F25" s="1" t="s">
        <v>495</v>
      </c>
      <c r="G25" s="1" t="s">
        <v>436</v>
      </c>
      <c r="H25" s="4">
        <v>39176</v>
      </c>
      <c r="I25" s="15"/>
      <c r="J25" t="s">
        <v>798</v>
      </c>
    </row>
    <row r="26" spans="1:10" x14ac:dyDescent="0.2">
      <c r="A26" s="9" t="s">
        <v>559</v>
      </c>
      <c r="B26" s="8" t="s">
        <v>576</v>
      </c>
      <c r="C26" s="544" t="s">
        <v>515</v>
      </c>
      <c r="D26" s="544"/>
      <c r="E26" s="545"/>
      <c r="F26" s="1" t="s">
        <v>495</v>
      </c>
      <c r="G26" s="1" t="s">
        <v>436</v>
      </c>
      <c r="H26" s="4">
        <v>39176</v>
      </c>
      <c r="I26" s="15"/>
      <c r="J26" t="s">
        <v>798</v>
      </c>
    </row>
    <row r="27" spans="1:10" x14ac:dyDescent="0.2">
      <c r="A27" s="9" t="s">
        <v>560</v>
      </c>
      <c r="B27" s="8" t="s">
        <v>577</v>
      </c>
      <c r="C27" s="544" t="s">
        <v>515</v>
      </c>
      <c r="D27" s="544"/>
      <c r="E27" s="545"/>
      <c r="F27" s="1" t="s">
        <v>495</v>
      </c>
      <c r="G27" s="1" t="s">
        <v>436</v>
      </c>
      <c r="H27" s="4">
        <v>39176</v>
      </c>
      <c r="I27" s="15"/>
      <c r="J27" t="s">
        <v>798</v>
      </c>
    </row>
    <row r="28" spans="1:10" x14ac:dyDescent="0.2">
      <c r="A28" s="9" t="s">
        <v>561</v>
      </c>
      <c r="B28" s="8" t="s">
        <v>563</v>
      </c>
      <c r="C28" s="544" t="s">
        <v>515</v>
      </c>
      <c r="D28" s="544"/>
      <c r="E28" s="545"/>
      <c r="F28" s="1" t="s">
        <v>495</v>
      </c>
      <c r="G28" s="1" t="s">
        <v>436</v>
      </c>
      <c r="H28" s="4">
        <v>39176</v>
      </c>
      <c r="I28" s="15"/>
      <c r="J28" t="s">
        <v>798</v>
      </c>
    </row>
    <row r="29" spans="1:10" x14ac:dyDescent="0.2">
      <c r="A29" s="9" t="s">
        <v>562</v>
      </c>
      <c r="B29" s="8" t="s">
        <v>564</v>
      </c>
      <c r="C29" s="544" t="s">
        <v>515</v>
      </c>
      <c r="D29" s="544"/>
      <c r="E29" s="545"/>
      <c r="F29" s="1" t="s">
        <v>495</v>
      </c>
      <c r="G29" s="1" t="s">
        <v>436</v>
      </c>
      <c r="H29" s="4">
        <v>39176</v>
      </c>
      <c r="I29" s="15"/>
      <c r="J29" t="s">
        <v>798</v>
      </c>
    </row>
    <row r="30" spans="1:10" x14ac:dyDescent="0.2">
      <c r="A30" s="9" t="s">
        <v>565</v>
      </c>
      <c r="B30" s="8" t="s">
        <v>566</v>
      </c>
      <c r="C30" s="544" t="s">
        <v>515</v>
      </c>
      <c r="D30" s="544"/>
      <c r="E30" s="545"/>
      <c r="F30" s="1" t="s">
        <v>495</v>
      </c>
      <c r="G30" s="1" t="s">
        <v>436</v>
      </c>
      <c r="H30" s="4">
        <v>39176</v>
      </c>
      <c r="I30" s="15"/>
      <c r="J30" t="s">
        <v>798</v>
      </c>
    </row>
    <row r="31" spans="1:10" x14ac:dyDescent="0.2">
      <c r="A31" s="9" t="s">
        <v>567</v>
      </c>
      <c r="B31" s="8" t="s">
        <v>578</v>
      </c>
      <c r="C31" s="544" t="s">
        <v>525</v>
      </c>
      <c r="D31" s="544"/>
      <c r="E31" s="545"/>
      <c r="F31" s="1" t="s">
        <v>495</v>
      </c>
      <c r="G31" s="1" t="s">
        <v>436</v>
      </c>
      <c r="H31" s="4">
        <v>39177</v>
      </c>
      <c r="I31" s="15"/>
      <c r="J31" t="s">
        <v>798</v>
      </c>
    </row>
    <row r="32" spans="1:10" x14ac:dyDescent="0.2">
      <c r="A32" s="9" t="s">
        <v>568</v>
      </c>
      <c r="B32" s="8" t="s">
        <v>569</v>
      </c>
      <c r="C32" s="544" t="s">
        <v>515</v>
      </c>
      <c r="D32" s="544"/>
      <c r="E32" s="545"/>
      <c r="F32" s="1" t="s">
        <v>570</v>
      </c>
      <c r="G32" s="1" t="s">
        <v>436</v>
      </c>
      <c r="H32" s="4">
        <v>39178</v>
      </c>
      <c r="I32" s="223" t="s">
        <v>1173</v>
      </c>
      <c r="J32" s="3" t="s">
        <v>1173</v>
      </c>
    </row>
    <row r="33" spans="1:10" x14ac:dyDescent="0.2">
      <c r="A33" s="9" t="s">
        <v>571</v>
      </c>
      <c r="B33" s="8" t="s">
        <v>572</v>
      </c>
      <c r="C33" s="544" t="s">
        <v>525</v>
      </c>
      <c r="D33" s="544"/>
      <c r="E33" s="545"/>
      <c r="F33" s="1" t="s">
        <v>495</v>
      </c>
      <c r="G33" s="1" t="s">
        <v>436</v>
      </c>
      <c r="H33" s="4">
        <v>39185</v>
      </c>
      <c r="I33" s="15"/>
      <c r="J33" t="s">
        <v>798</v>
      </c>
    </row>
    <row r="34" spans="1:10" x14ac:dyDescent="0.2">
      <c r="A34" s="1" t="s">
        <v>573</v>
      </c>
      <c r="B34" s="8" t="s">
        <v>574</v>
      </c>
      <c r="C34" s="543" t="s">
        <v>558</v>
      </c>
      <c r="D34" s="544"/>
      <c r="E34" s="545"/>
      <c r="F34" s="1" t="s">
        <v>495</v>
      </c>
      <c r="G34" s="1" t="s">
        <v>436</v>
      </c>
      <c r="H34" s="4">
        <v>39185</v>
      </c>
      <c r="I34" s="15"/>
      <c r="J34" t="s">
        <v>798</v>
      </c>
    </row>
    <row r="35" spans="1:10" x14ac:dyDescent="0.2">
      <c r="A35" s="11" t="s">
        <v>579</v>
      </c>
      <c r="B35" s="8" t="s">
        <v>581</v>
      </c>
      <c r="C35" s="543" t="s">
        <v>525</v>
      </c>
      <c r="D35" s="544"/>
      <c r="E35" s="545"/>
      <c r="F35" s="1" t="s">
        <v>495</v>
      </c>
      <c r="G35" s="1" t="s">
        <v>436</v>
      </c>
      <c r="H35" s="4">
        <v>39185</v>
      </c>
      <c r="I35" s="15"/>
      <c r="J35" t="s">
        <v>798</v>
      </c>
    </row>
    <row r="36" spans="1:10" x14ac:dyDescent="0.2">
      <c r="A36" s="11" t="s">
        <v>580</v>
      </c>
      <c r="B36" s="8" t="s">
        <v>582</v>
      </c>
      <c r="C36" s="543" t="s">
        <v>525</v>
      </c>
      <c r="D36" s="544"/>
      <c r="E36" s="545"/>
      <c r="F36" s="1" t="s">
        <v>495</v>
      </c>
      <c r="G36" s="1" t="s">
        <v>436</v>
      </c>
      <c r="H36" s="4">
        <v>39185</v>
      </c>
      <c r="I36" s="15"/>
      <c r="J36" t="s">
        <v>798</v>
      </c>
    </row>
    <row r="37" spans="1:10" x14ac:dyDescent="0.2">
      <c r="A37" s="11" t="s">
        <v>583</v>
      </c>
      <c r="B37" s="8" t="s">
        <v>500</v>
      </c>
      <c r="C37" s="544" t="s">
        <v>515</v>
      </c>
      <c r="D37" s="544"/>
      <c r="E37" s="545"/>
      <c r="F37" s="12" t="s">
        <v>534</v>
      </c>
      <c r="G37" s="1" t="s">
        <v>516</v>
      </c>
      <c r="H37" s="13">
        <v>39190</v>
      </c>
      <c r="I37" s="13">
        <v>39612</v>
      </c>
      <c r="J37" t="s">
        <v>798</v>
      </c>
    </row>
    <row r="38" spans="1:10" x14ac:dyDescent="0.2">
      <c r="A38" s="11" t="s">
        <v>584</v>
      </c>
      <c r="B38" s="8" t="s">
        <v>588</v>
      </c>
      <c r="C38" s="543" t="s">
        <v>558</v>
      </c>
      <c r="D38" s="544"/>
      <c r="E38" s="545"/>
      <c r="F38" s="12" t="s">
        <v>472</v>
      </c>
      <c r="G38" s="12" t="s">
        <v>436</v>
      </c>
      <c r="H38" s="13">
        <v>39191</v>
      </c>
      <c r="I38" s="15"/>
      <c r="J38" t="s">
        <v>798</v>
      </c>
    </row>
    <row r="39" spans="1:10" x14ac:dyDescent="0.2">
      <c r="A39" s="11" t="s">
        <v>585</v>
      </c>
      <c r="B39" s="8" t="s">
        <v>586</v>
      </c>
      <c r="C39" s="543" t="s">
        <v>587</v>
      </c>
      <c r="D39" s="544"/>
      <c r="E39" s="545"/>
      <c r="F39" s="12" t="s">
        <v>472</v>
      </c>
      <c r="G39" s="12" t="s">
        <v>436</v>
      </c>
      <c r="H39" s="13">
        <v>39191</v>
      </c>
      <c r="I39" s="15"/>
      <c r="J39" t="s">
        <v>798</v>
      </c>
    </row>
    <row r="40" spans="1:10" x14ac:dyDescent="0.2">
      <c r="A40" s="11" t="s">
        <v>592</v>
      </c>
      <c r="B40" s="8" t="s">
        <v>589</v>
      </c>
      <c r="C40" s="543" t="s">
        <v>590</v>
      </c>
      <c r="D40" s="544"/>
      <c r="E40" s="545"/>
      <c r="F40" s="12" t="s">
        <v>495</v>
      </c>
      <c r="G40" s="12" t="s">
        <v>436</v>
      </c>
      <c r="H40" s="13">
        <v>39195</v>
      </c>
      <c r="I40" s="15"/>
      <c r="J40" t="s">
        <v>798</v>
      </c>
    </row>
    <row r="41" spans="1:10" x14ac:dyDescent="0.2">
      <c r="A41" s="11" t="s">
        <v>595</v>
      </c>
      <c r="B41" s="8" t="s">
        <v>591</v>
      </c>
      <c r="C41" s="544" t="s">
        <v>515</v>
      </c>
      <c r="D41" s="544"/>
      <c r="E41" s="545"/>
      <c r="F41" s="12" t="s">
        <v>495</v>
      </c>
      <c r="G41" s="12" t="s">
        <v>436</v>
      </c>
      <c r="H41" s="13">
        <v>39204</v>
      </c>
      <c r="I41" s="15"/>
      <c r="J41" t="s">
        <v>798</v>
      </c>
    </row>
    <row r="42" spans="1:10" x14ac:dyDescent="0.2">
      <c r="A42" s="11" t="s">
        <v>597</v>
      </c>
      <c r="B42" s="8" t="s">
        <v>593</v>
      </c>
      <c r="C42" s="544" t="s">
        <v>515</v>
      </c>
      <c r="D42" s="544"/>
      <c r="E42" s="545"/>
      <c r="F42" s="12" t="s">
        <v>495</v>
      </c>
      <c r="G42" s="12" t="s">
        <v>436</v>
      </c>
      <c r="H42" s="13">
        <v>39205</v>
      </c>
      <c r="I42" s="15"/>
      <c r="J42" t="s">
        <v>798</v>
      </c>
    </row>
    <row r="43" spans="1:10" x14ac:dyDescent="0.2">
      <c r="A43" s="9" t="s">
        <v>598</v>
      </c>
      <c r="B43" s="9" t="s">
        <v>596</v>
      </c>
      <c r="C43" s="544" t="s">
        <v>515</v>
      </c>
      <c r="D43" s="544"/>
      <c r="E43" s="545"/>
      <c r="F43" s="12" t="s">
        <v>495</v>
      </c>
      <c r="G43" s="12" t="s">
        <v>436</v>
      </c>
      <c r="H43" s="10">
        <v>39211</v>
      </c>
      <c r="I43" s="15"/>
      <c r="J43" t="s">
        <v>798</v>
      </c>
    </row>
    <row r="44" spans="1:10" x14ac:dyDescent="0.2">
      <c r="A44" s="14" t="s">
        <v>599</v>
      </c>
      <c r="B44" s="7" t="s">
        <v>601</v>
      </c>
      <c r="C44" s="546" t="s">
        <v>515</v>
      </c>
      <c r="D44" s="546"/>
      <c r="E44" s="546"/>
      <c r="F44" s="14" t="s">
        <v>602</v>
      </c>
      <c r="G44" s="14" t="s">
        <v>516</v>
      </c>
      <c r="H44" s="15">
        <v>39227</v>
      </c>
      <c r="J44" t="s">
        <v>798</v>
      </c>
    </row>
    <row r="45" spans="1:10" x14ac:dyDescent="0.2">
      <c r="A45" s="14" t="s">
        <v>600</v>
      </c>
      <c r="B45" s="7" t="s">
        <v>603</v>
      </c>
      <c r="C45" s="546" t="s">
        <v>515</v>
      </c>
      <c r="D45" s="546"/>
      <c r="E45" s="546"/>
      <c r="F45" s="14" t="s">
        <v>604</v>
      </c>
      <c r="G45" s="14" t="s">
        <v>516</v>
      </c>
      <c r="H45" s="15">
        <v>39227</v>
      </c>
      <c r="J45" t="s">
        <v>798</v>
      </c>
    </row>
    <row r="46" spans="1:10" x14ac:dyDescent="0.2">
      <c r="A46" s="14" t="s">
        <v>605</v>
      </c>
      <c r="B46" s="7" t="s">
        <v>609</v>
      </c>
      <c r="C46" s="546" t="s">
        <v>515</v>
      </c>
      <c r="D46" s="546"/>
      <c r="E46" s="546"/>
      <c r="F46" s="14" t="s">
        <v>495</v>
      </c>
      <c r="G46" s="12" t="s">
        <v>436</v>
      </c>
      <c r="H46" s="15">
        <v>39227</v>
      </c>
      <c r="J46" t="s">
        <v>798</v>
      </c>
    </row>
    <row r="47" spans="1:10" x14ac:dyDescent="0.2">
      <c r="A47" s="14" t="s">
        <v>606</v>
      </c>
      <c r="B47" s="7" t="s">
        <v>610</v>
      </c>
      <c r="C47" s="546" t="s">
        <v>515</v>
      </c>
      <c r="D47" s="546"/>
      <c r="E47" s="546"/>
      <c r="F47" s="14" t="s">
        <v>495</v>
      </c>
      <c r="G47" s="12" t="s">
        <v>436</v>
      </c>
      <c r="H47" s="15">
        <v>39227</v>
      </c>
      <c r="J47" t="s">
        <v>798</v>
      </c>
    </row>
    <row r="48" spans="1:10" x14ac:dyDescent="0.2">
      <c r="A48" s="14" t="s">
        <v>607</v>
      </c>
      <c r="B48" s="7" t="s">
        <v>611</v>
      </c>
      <c r="C48" s="546" t="s">
        <v>515</v>
      </c>
      <c r="D48" s="546"/>
      <c r="E48" s="546"/>
      <c r="F48" s="14" t="s">
        <v>495</v>
      </c>
      <c r="G48" s="12" t="s">
        <v>436</v>
      </c>
      <c r="H48" s="15">
        <v>39227</v>
      </c>
      <c r="J48" t="s">
        <v>798</v>
      </c>
    </row>
    <row r="49" spans="1:10" x14ac:dyDescent="0.2">
      <c r="A49" s="14" t="s">
        <v>608</v>
      </c>
      <c r="B49" s="7" t="s">
        <v>612</v>
      </c>
      <c r="C49" s="546" t="s">
        <v>515</v>
      </c>
      <c r="D49" s="546"/>
      <c r="E49" s="546"/>
      <c r="F49" s="14" t="s">
        <v>495</v>
      </c>
      <c r="G49" s="12" t="s">
        <v>436</v>
      </c>
      <c r="H49" s="15">
        <v>39227</v>
      </c>
      <c r="J49" t="s">
        <v>798</v>
      </c>
    </row>
    <row r="50" spans="1:10" ht="25.5" x14ac:dyDescent="0.2">
      <c r="A50" s="14" t="s">
        <v>613</v>
      </c>
      <c r="B50" s="7" t="s">
        <v>614</v>
      </c>
      <c r="C50" s="546" t="s">
        <v>515</v>
      </c>
      <c r="D50" s="546"/>
      <c r="E50" s="546"/>
      <c r="F50" s="14" t="s">
        <v>615</v>
      </c>
      <c r="G50" s="14" t="s">
        <v>1139</v>
      </c>
      <c r="H50" s="15">
        <v>39232</v>
      </c>
      <c r="I50" s="13" t="s">
        <v>1139</v>
      </c>
      <c r="J50" s="103" t="s">
        <v>1636</v>
      </c>
    </row>
    <row r="51" spans="1:10" ht="25.5" x14ac:dyDescent="0.2">
      <c r="A51" s="14" t="s">
        <v>616</v>
      </c>
      <c r="B51" s="7" t="s">
        <v>617</v>
      </c>
      <c r="C51" s="546" t="s">
        <v>515</v>
      </c>
      <c r="D51" s="546"/>
      <c r="E51" s="546"/>
      <c r="F51" s="14" t="s">
        <v>615</v>
      </c>
      <c r="G51" s="14" t="s">
        <v>1139</v>
      </c>
      <c r="H51" s="15">
        <v>39232</v>
      </c>
      <c r="I51" s="13" t="s">
        <v>1139</v>
      </c>
      <c r="J51" s="82" t="s">
        <v>1637</v>
      </c>
    </row>
    <row r="52" spans="1:10" x14ac:dyDescent="0.2">
      <c r="A52" s="14" t="s">
        <v>618</v>
      </c>
      <c r="B52" s="7" t="s">
        <v>620</v>
      </c>
      <c r="C52" s="546" t="s">
        <v>515</v>
      </c>
      <c r="D52" s="546"/>
      <c r="E52" s="546"/>
      <c r="F52" s="14" t="s">
        <v>495</v>
      </c>
      <c r="G52" s="14" t="s">
        <v>436</v>
      </c>
      <c r="H52" s="15">
        <v>39233</v>
      </c>
      <c r="J52" t="s">
        <v>798</v>
      </c>
    </row>
    <row r="53" spans="1:10" x14ac:dyDescent="0.2">
      <c r="A53" s="14" t="s">
        <v>619</v>
      </c>
      <c r="B53" s="7" t="s">
        <v>621</v>
      </c>
      <c r="C53" s="546" t="s">
        <v>515</v>
      </c>
      <c r="D53" s="546"/>
      <c r="E53" s="546"/>
      <c r="F53" s="14" t="s">
        <v>495</v>
      </c>
      <c r="G53" s="14" t="s">
        <v>436</v>
      </c>
      <c r="H53" s="15">
        <v>39233</v>
      </c>
      <c r="J53" t="s">
        <v>798</v>
      </c>
    </row>
    <row r="54" spans="1:10" x14ac:dyDescent="0.2">
      <c r="A54" s="14" t="s">
        <v>622</v>
      </c>
      <c r="B54" s="7" t="s">
        <v>679</v>
      </c>
      <c r="C54" s="546" t="s">
        <v>623</v>
      </c>
      <c r="D54" s="546"/>
      <c r="E54" s="546"/>
      <c r="F54" s="14" t="s">
        <v>624</v>
      </c>
      <c r="G54" s="14" t="s">
        <v>516</v>
      </c>
      <c r="H54" s="15">
        <v>39237</v>
      </c>
      <c r="I54" s="13" t="s">
        <v>1173</v>
      </c>
      <c r="J54" s="7" t="s">
        <v>1173</v>
      </c>
    </row>
    <row r="55" spans="1:10" x14ac:dyDescent="0.2">
      <c r="A55" s="14" t="s">
        <v>625</v>
      </c>
      <c r="B55" s="7" t="s">
        <v>680</v>
      </c>
      <c r="C55" s="546" t="s">
        <v>623</v>
      </c>
      <c r="D55" s="546"/>
      <c r="E55" s="546"/>
      <c r="F55" s="14" t="s">
        <v>626</v>
      </c>
      <c r="G55" s="14" t="s">
        <v>627</v>
      </c>
      <c r="H55" s="15">
        <v>39238</v>
      </c>
      <c r="I55" s="13" t="s">
        <v>1173</v>
      </c>
      <c r="J55" s="7" t="s">
        <v>1173</v>
      </c>
    </row>
    <row r="56" spans="1:10" x14ac:dyDescent="0.2">
      <c r="A56" s="14" t="s">
        <v>628</v>
      </c>
      <c r="B56" s="9" t="s">
        <v>630</v>
      </c>
      <c r="C56" s="544" t="s">
        <v>525</v>
      </c>
      <c r="D56" s="544"/>
      <c r="E56" s="544"/>
      <c r="F56" s="9" t="s">
        <v>472</v>
      </c>
      <c r="G56" s="9" t="s">
        <v>436</v>
      </c>
      <c r="H56" s="16">
        <v>39239</v>
      </c>
    </row>
    <row r="57" spans="1:10" x14ac:dyDescent="0.2">
      <c r="A57" s="14" t="s">
        <v>629</v>
      </c>
      <c r="B57" s="7" t="s">
        <v>631</v>
      </c>
      <c r="C57" s="543" t="s">
        <v>525</v>
      </c>
      <c r="D57" s="544"/>
      <c r="E57" s="545"/>
      <c r="F57" s="9" t="s">
        <v>472</v>
      </c>
      <c r="G57" s="9" t="s">
        <v>436</v>
      </c>
      <c r="H57" s="16">
        <v>39240</v>
      </c>
      <c r="J57" t="s">
        <v>798</v>
      </c>
    </row>
    <row r="58" spans="1:10" x14ac:dyDescent="0.2">
      <c r="A58" s="14" t="s">
        <v>632</v>
      </c>
      <c r="B58" s="14" t="s">
        <v>633</v>
      </c>
      <c r="C58" s="543" t="s">
        <v>657</v>
      </c>
      <c r="D58" s="544"/>
      <c r="E58" s="545"/>
      <c r="F58" s="14" t="s">
        <v>495</v>
      </c>
      <c r="G58" s="14" t="s">
        <v>436</v>
      </c>
      <c r="H58" s="16">
        <v>39245</v>
      </c>
    </row>
    <row r="59" spans="1:10" x14ac:dyDescent="0.2">
      <c r="A59" s="14" t="s">
        <v>764</v>
      </c>
      <c r="B59" s="14" t="s">
        <v>676</v>
      </c>
      <c r="C59" s="546" t="s">
        <v>1159</v>
      </c>
      <c r="D59" s="546"/>
      <c r="E59" s="546"/>
      <c r="F59" s="14" t="s">
        <v>659</v>
      </c>
      <c r="G59" s="14" t="s">
        <v>627</v>
      </c>
      <c r="H59" s="15">
        <v>39246</v>
      </c>
      <c r="I59" s="13">
        <v>39605</v>
      </c>
      <c r="J59" t="s">
        <v>798</v>
      </c>
    </row>
    <row r="60" spans="1:10" x14ac:dyDescent="0.2">
      <c r="A60" s="14" t="s">
        <v>658</v>
      </c>
      <c r="B60" s="14" t="s">
        <v>677</v>
      </c>
      <c r="C60" s="546" t="s">
        <v>759</v>
      </c>
      <c r="D60" s="546"/>
      <c r="E60" s="546"/>
      <c r="F60" s="14" t="s">
        <v>659</v>
      </c>
      <c r="G60" s="14" t="s">
        <v>627</v>
      </c>
      <c r="H60" s="15">
        <v>39246</v>
      </c>
      <c r="I60" s="13">
        <v>39605</v>
      </c>
      <c r="J60" t="s">
        <v>798</v>
      </c>
    </row>
    <row r="61" spans="1:10" x14ac:dyDescent="0.2">
      <c r="A61" s="14" t="s">
        <v>660</v>
      </c>
      <c r="B61" s="7" t="s">
        <v>611</v>
      </c>
      <c r="C61" s="543" t="s">
        <v>525</v>
      </c>
      <c r="D61" s="544"/>
      <c r="E61" s="545"/>
      <c r="F61" s="14" t="s">
        <v>661</v>
      </c>
      <c r="G61" s="14" t="s">
        <v>436</v>
      </c>
      <c r="H61" s="15">
        <v>39248</v>
      </c>
      <c r="J61" t="s">
        <v>798</v>
      </c>
    </row>
    <row r="62" spans="1:10" x14ac:dyDescent="0.2">
      <c r="A62" s="14" t="s">
        <v>662</v>
      </c>
      <c r="B62" s="7" t="s">
        <v>678</v>
      </c>
      <c r="C62" s="546" t="s">
        <v>663</v>
      </c>
      <c r="D62" s="546"/>
      <c r="E62" s="546"/>
      <c r="F62" s="14" t="s">
        <v>570</v>
      </c>
      <c r="G62" s="14" t="s">
        <v>436</v>
      </c>
      <c r="H62" s="15">
        <v>39254</v>
      </c>
      <c r="I62" s="13" t="s">
        <v>1173</v>
      </c>
      <c r="J62" s="7" t="s">
        <v>1173</v>
      </c>
    </row>
    <row r="63" spans="1:10" x14ac:dyDescent="0.2">
      <c r="A63" s="14" t="s">
        <v>664</v>
      </c>
      <c r="B63" s="7" t="s">
        <v>522</v>
      </c>
      <c r="C63" s="546" t="s">
        <v>515</v>
      </c>
      <c r="D63" s="546"/>
      <c r="E63" s="546"/>
      <c r="F63" s="14" t="s">
        <v>436</v>
      </c>
      <c r="G63" s="14" t="s">
        <v>441</v>
      </c>
      <c r="H63" s="15">
        <v>39254</v>
      </c>
      <c r="I63" s="13">
        <v>39612</v>
      </c>
      <c r="J63" t="s">
        <v>798</v>
      </c>
    </row>
    <row r="64" spans="1:10" x14ac:dyDescent="0.2">
      <c r="A64" s="14" t="s">
        <v>665</v>
      </c>
      <c r="B64" s="130" t="s">
        <v>488</v>
      </c>
      <c r="C64" s="547" t="s">
        <v>666</v>
      </c>
      <c r="D64" s="547"/>
      <c r="E64" s="547"/>
      <c r="F64" s="14" t="s">
        <v>486</v>
      </c>
      <c r="G64" s="14" t="s">
        <v>627</v>
      </c>
      <c r="H64" s="15">
        <v>39258</v>
      </c>
      <c r="I64" s="13">
        <v>39607</v>
      </c>
      <c r="J64" t="s">
        <v>798</v>
      </c>
    </row>
    <row r="65" spans="1:11" x14ac:dyDescent="0.2">
      <c r="A65" s="14" t="s">
        <v>670</v>
      </c>
      <c r="B65" s="129" t="s">
        <v>673</v>
      </c>
      <c r="C65" s="17" t="s">
        <v>667</v>
      </c>
      <c r="F65" s="14" t="s">
        <v>472</v>
      </c>
      <c r="G65" s="14" t="s">
        <v>436</v>
      </c>
      <c r="H65" s="15">
        <v>39260</v>
      </c>
      <c r="J65" t="s">
        <v>798</v>
      </c>
    </row>
    <row r="66" spans="1:11" x14ac:dyDescent="0.2">
      <c r="A66" s="14" t="s">
        <v>671</v>
      </c>
      <c r="B66" s="129" t="s">
        <v>674</v>
      </c>
      <c r="C66" s="17" t="s">
        <v>668</v>
      </c>
      <c r="F66" s="14" t="s">
        <v>472</v>
      </c>
      <c r="G66" s="14" t="s">
        <v>436</v>
      </c>
      <c r="H66" s="15">
        <v>39260</v>
      </c>
      <c r="J66" t="s">
        <v>798</v>
      </c>
    </row>
    <row r="67" spans="1:11" x14ac:dyDescent="0.2">
      <c r="A67" s="14" t="s">
        <v>672</v>
      </c>
      <c r="B67" s="129" t="s">
        <v>675</v>
      </c>
      <c r="C67" s="17" t="s">
        <v>669</v>
      </c>
      <c r="F67" s="14" t="s">
        <v>472</v>
      </c>
      <c r="G67" s="14" t="s">
        <v>436</v>
      </c>
      <c r="H67" s="15">
        <v>39260</v>
      </c>
      <c r="J67" t="s">
        <v>798</v>
      </c>
    </row>
    <row r="68" spans="1:11" x14ac:dyDescent="0.2">
      <c r="A68" s="14" t="s">
        <v>681</v>
      </c>
      <c r="B68" s="129" t="s">
        <v>437</v>
      </c>
      <c r="C68" s="543" t="s">
        <v>525</v>
      </c>
      <c r="D68" s="544"/>
      <c r="E68" s="545"/>
      <c r="F68" s="14" t="s">
        <v>436</v>
      </c>
      <c r="G68" s="14" t="s">
        <v>441</v>
      </c>
      <c r="H68" s="15">
        <v>39261</v>
      </c>
      <c r="J68" t="s">
        <v>1503</v>
      </c>
      <c r="K68" s="14" t="s">
        <v>1504</v>
      </c>
    </row>
    <row r="69" spans="1:11" x14ac:dyDescent="0.2">
      <c r="A69" s="14" t="s">
        <v>682</v>
      </c>
      <c r="B69" s="129" t="s">
        <v>683</v>
      </c>
      <c r="C69" s="546" t="s">
        <v>515</v>
      </c>
      <c r="D69" s="546"/>
      <c r="E69" s="546"/>
      <c r="F69" s="14" t="s">
        <v>436</v>
      </c>
      <c r="G69" s="14" t="s">
        <v>441</v>
      </c>
      <c r="H69" s="15">
        <v>39261</v>
      </c>
      <c r="J69" t="s">
        <v>798</v>
      </c>
    </row>
    <row r="70" spans="1:11" ht="29.25" customHeight="1" x14ac:dyDescent="0.2">
      <c r="A70" s="14" t="s">
        <v>684</v>
      </c>
      <c r="B70" s="129" t="s">
        <v>776</v>
      </c>
      <c r="C70" s="548" t="s">
        <v>1737</v>
      </c>
      <c r="D70" s="548"/>
      <c r="E70" s="548"/>
      <c r="F70" s="14" t="s">
        <v>685</v>
      </c>
      <c r="G70" s="14" t="s">
        <v>436</v>
      </c>
      <c r="H70" s="15">
        <v>39273</v>
      </c>
      <c r="I70" s="13">
        <v>39966</v>
      </c>
      <c r="J70" s="7" t="s">
        <v>993</v>
      </c>
    </row>
    <row r="71" spans="1:11" ht="74.25" customHeight="1" x14ac:dyDescent="0.2">
      <c r="A71" s="14" t="s">
        <v>686</v>
      </c>
      <c r="B71" s="129" t="s">
        <v>687</v>
      </c>
      <c r="C71" s="548" t="s">
        <v>688</v>
      </c>
      <c r="D71" s="548"/>
      <c r="E71" s="548"/>
      <c r="F71" s="14" t="s">
        <v>615</v>
      </c>
      <c r="G71" s="14" t="s">
        <v>436</v>
      </c>
      <c r="H71" s="15">
        <v>39274</v>
      </c>
      <c r="I71" s="13">
        <v>39360</v>
      </c>
      <c r="J71" t="s">
        <v>795</v>
      </c>
    </row>
    <row r="72" spans="1:11" x14ac:dyDescent="0.2">
      <c r="A72" s="14" t="s">
        <v>689</v>
      </c>
      <c r="B72" s="129" t="s">
        <v>690</v>
      </c>
      <c r="C72" s="549" t="s">
        <v>691</v>
      </c>
      <c r="D72" s="549"/>
      <c r="E72" s="549"/>
      <c r="F72" s="14" t="s">
        <v>685</v>
      </c>
      <c r="G72" s="14" t="s">
        <v>627</v>
      </c>
      <c r="H72" s="15">
        <v>39275</v>
      </c>
      <c r="I72" s="13" t="s">
        <v>1173</v>
      </c>
      <c r="J72" s="7" t="s">
        <v>1173</v>
      </c>
    </row>
    <row r="73" spans="1:11" x14ac:dyDescent="0.2">
      <c r="A73" s="14" t="s">
        <v>692</v>
      </c>
      <c r="B73" s="129" t="s">
        <v>698</v>
      </c>
      <c r="C73" s="549" t="s">
        <v>691</v>
      </c>
      <c r="D73" s="549"/>
      <c r="E73" s="549"/>
      <c r="F73" s="14" t="s">
        <v>685</v>
      </c>
      <c r="G73" s="14" t="s">
        <v>627</v>
      </c>
      <c r="H73" s="15">
        <v>39275</v>
      </c>
      <c r="I73" s="13" t="s">
        <v>1173</v>
      </c>
      <c r="J73" s="7" t="s">
        <v>1173</v>
      </c>
    </row>
    <row r="74" spans="1:11" x14ac:dyDescent="0.2">
      <c r="A74" s="14" t="s">
        <v>693</v>
      </c>
      <c r="B74" s="129" t="s">
        <v>695</v>
      </c>
      <c r="C74" s="549" t="s">
        <v>691</v>
      </c>
      <c r="D74" s="549"/>
      <c r="E74" s="549"/>
      <c r="F74" s="14" t="s">
        <v>685</v>
      </c>
      <c r="G74" s="14" t="s">
        <v>627</v>
      </c>
      <c r="H74" s="15">
        <v>39275</v>
      </c>
      <c r="I74" s="13" t="s">
        <v>1173</v>
      </c>
      <c r="J74" s="7" t="s">
        <v>1173</v>
      </c>
    </row>
    <row r="75" spans="1:11" x14ac:dyDescent="0.2">
      <c r="A75" s="14" t="s">
        <v>694</v>
      </c>
      <c r="B75" s="129" t="s">
        <v>690</v>
      </c>
      <c r="C75" s="549" t="s">
        <v>691</v>
      </c>
      <c r="D75" s="549"/>
      <c r="E75" s="549"/>
      <c r="F75" s="14" t="s">
        <v>685</v>
      </c>
      <c r="G75" s="14" t="s">
        <v>627</v>
      </c>
      <c r="H75" s="15">
        <v>39275</v>
      </c>
      <c r="I75" s="13" t="s">
        <v>1173</v>
      </c>
      <c r="J75" s="7" t="s">
        <v>1173</v>
      </c>
    </row>
    <row r="76" spans="1:11" x14ac:dyDescent="0.2">
      <c r="A76" s="14" t="s">
        <v>696</v>
      </c>
      <c r="B76" s="129" t="s">
        <v>697</v>
      </c>
      <c r="C76" s="549" t="s">
        <v>691</v>
      </c>
      <c r="D76" s="549"/>
      <c r="E76" s="549"/>
      <c r="F76" s="14" t="s">
        <v>685</v>
      </c>
      <c r="G76" s="14" t="s">
        <v>627</v>
      </c>
      <c r="H76" s="15">
        <v>39275</v>
      </c>
      <c r="I76" s="13">
        <v>39787</v>
      </c>
      <c r="J76" s="7" t="s">
        <v>993</v>
      </c>
    </row>
    <row r="77" spans="1:11" x14ac:dyDescent="0.2">
      <c r="A77" s="14" t="s">
        <v>699</v>
      </c>
      <c r="B77" s="129" t="s">
        <v>700</v>
      </c>
      <c r="C77" s="549" t="s">
        <v>587</v>
      </c>
      <c r="D77" s="549"/>
      <c r="E77" s="549"/>
      <c r="F77" s="14" t="s">
        <v>495</v>
      </c>
      <c r="G77" s="14" t="s">
        <v>436</v>
      </c>
      <c r="H77" s="15">
        <v>39276</v>
      </c>
    </row>
    <row r="78" spans="1:11" x14ac:dyDescent="0.2">
      <c r="A78" s="14" t="s">
        <v>704</v>
      </c>
      <c r="B78" s="129" t="s">
        <v>701</v>
      </c>
      <c r="C78" s="549" t="s">
        <v>702</v>
      </c>
      <c r="D78" s="549"/>
      <c r="E78" s="549"/>
      <c r="F78" s="14" t="s">
        <v>703</v>
      </c>
      <c r="G78" s="14" t="s">
        <v>627</v>
      </c>
      <c r="H78" s="15">
        <v>39276</v>
      </c>
      <c r="I78" s="13">
        <v>39612</v>
      </c>
      <c r="J78" t="s">
        <v>798</v>
      </c>
    </row>
    <row r="79" spans="1:11" x14ac:dyDescent="0.2">
      <c r="A79" s="14" t="s">
        <v>707</v>
      </c>
      <c r="B79" s="8" t="s">
        <v>705</v>
      </c>
      <c r="C79" s="543" t="s">
        <v>706</v>
      </c>
      <c r="D79" s="544"/>
      <c r="E79" s="545"/>
      <c r="F79" s="12" t="s">
        <v>495</v>
      </c>
      <c r="G79" s="12" t="s">
        <v>436</v>
      </c>
      <c r="H79" s="15">
        <v>39276</v>
      </c>
    </row>
    <row r="80" spans="1:11" x14ac:dyDescent="0.2">
      <c r="A80" s="14" t="s">
        <v>708</v>
      </c>
      <c r="B80" s="7" t="s">
        <v>709</v>
      </c>
      <c r="C80" s="546" t="s">
        <v>515</v>
      </c>
      <c r="D80" s="546"/>
      <c r="E80" s="546"/>
      <c r="F80" s="12" t="s">
        <v>495</v>
      </c>
      <c r="G80" s="12" t="s">
        <v>436</v>
      </c>
      <c r="H80" s="15">
        <v>39276</v>
      </c>
    </row>
    <row r="81" spans="1:10" x14ac:dyDescent="0.2">
      <c r="A81" s="14" t="s">
        <v>710</v>
      </c>
      <c r="B81" s="7" t="s">
        <v>529</v>
      </c>
      <c r="C81" s="546" t="s">
        <v>525</v>
      </c>
      <c r="D81" s="546"/>
      <c r="E81" s="546"/>
      <c r="F81" s="14" t="s">
        <v>615</v>
      </c>
      <c r="G81" s="14" t="s">
        <v>441</v>
      </c>
      <c r="H81" s="15">
        <v>39279</v>
      </c>
      <c r="I81" s="13">
        <v>39290</v>
      </c>
      <c r="J81" t="s">
        <v>795</v>
      </c>
    </row>
    <row r="82" spans="1:10" ht="13.35" customHeight="1" x14ac:dyDescent="0.2">
      <c r="A82" s="554" t="s">
        <v>711</v>
      </c>
      <c r="B82" s="556" t="s">
        <v>712</v>
      </c>
      <c r="C82" s="555" t="s">
        <v>713</v>
      </c>
      <c r="D82" s="555"/>
      <c r="E82" s="555"/>
    </row>
    <row r="83" spans="1:10" x14ac:dyDescent="0.2">
      <c r="A83" s="554"/>
      <c r="B83" s="556"/>
      <c r="C83" s="555"/>
      <c r="D83" s="555"/>
      <c r="E83" s="555"/>
      <c r="F83" s="14" t="s">
        <v>615</v>
      </c>
      <c r="G83" s="14" t="s">
        <v>436</v>
      </c>
      <c r="H83" s="15">
        <v>39281</v>
      </c>
      <c r="I83" s="13">
        <v>39296</v>
      </c>
      <c r="J83" t="s">
        <v>795</v>
      </c>
    </row>
    <row r="84" spans="1:10" x14ac:dyDescent="0.2">
      <c r="A84" s="554"/>
      <c r="B84" s="556"/>
      <c r="C84" s="555"/>
      <c r="D84" s="555"/>
      <c r="E84" s="555"/>
    </row>
    <row r="85" spans="1:10" x14ac:dyDescent="0.2">
      <c r="A85" s="14" t="s">
        <v>714</v>
      </c>
      <c r="B85" s="7" t="s">
        <v>715</v>
      </c>
      <c r="C85" s="543" t="s">
        <v>558</v>
      </c>
      <c r="D85" s="544"/>
      <c r="E85" s="545"/>
      <c r="F85" s="12" t="s">
        <v>472</v>
      </c>
      <c r="G85" s="12" t="s">
        <v>436</v>
      </c>
      <c r="H85" s="15"/>
    </row>
    <row r="86" spans="1:10" x14ac:dyDescent="0.2">
      <c r="A86" s="14" t="s">
        <v>716</v>
      </c>
      <c r="B86" s="7" t="s">
        <v>717</v>
      </c>
      <c r="C86" s="546" t="s">
        <v>525</v>
      </c>
      <c r="D86" s="546"/>
      <c r="E86" s="546"/>
      <c r="F86" s="12" t="s">
        <v>472</v>
      </c>
      <c r="G86" s="12" t="s">
        <v>436</v>
      </c>
      <c r="H86" s="15">
        <v>39295</v>
      </c>
    </row>
    <row r="87" spans="1:10" x14ac:dyDescent="0.2">
      <c r="A87" s="14" t="s">
        <v>718</v>
      </c>
      <c r="B87" s="7" t="s">
        <v>721</v>
      </c>
      <c r="C87" s="546" t="s">
        <v>525</v>
      </c>
      <c r="D87" s="546"/>
      <c r="E87" s="546"/>
      <c r="F87" s="12" t="s">
        <v>472</v>
      </c>
      <c r="G87" s="12" t="s">
        <v>436</v>
      </c>
      <c r="H87" s="15">
        <v>39296</v>
      </c>
      <c r="I87" s="13">
        <v>39637</v>
      </c>
      <c r="J87" t="s">
        <v>798</v>
      </c>
    </row>
    <row r="88" spans="1:10" x14ac:dyDescent="0.2">
      <c r="A88" s="14" t="s">
        <v>719</v>
      </c>
      <c r="B88" s="7" t="s">
        <v>722</v>
      </c>
      <c r="C88" s="546" t="s">
        <v>558</v>
      </c>
      <c r="D88" s="546"/>
      <c r="E88" s="546"/>
      <c r="F88" s="12" t="s">
        <v>472</v>
      </c>
      <c r="G88" s="12" t="s">
        <v>436</v>
      </c>
      <c r="H88" s="15">
        <v>39296</v>
      </c>
      <c r="I88" s="13">
        <v>39637</v>
      </c>
      <c r="J88" s="14" t="s">
        <v>798</v>
      </c>
    </row>
    <row r="89" spans="1:10" x14ac:dyDescent="0.2">
      <c r="A89" s="14" t="s">
        <v>720</v>
      </c>
      <c r="B89" s="7" t="s">
        <v>723</v>
      </c>
      <c r="C89" s="546" t="s">
        <v>525</v>
      </c>
      <c r="D89" s="546"/>
      <c r="E89" s="546"/>
      <c r="F89" s="12" t="s">
        <v>472</v>
      </c>
      <c r="G89" s="12" t="s">
        <v>436</v>
      </c>
      <c r="H89" s="15">
        <v>39296</v>
      </c>
      <c r="I89" s="13">
        <v>39637</v>
      </c>
      <c r="J89" t="s">
        <v>798</v>
      </c>
    </row>
    <row r="90" spans="1:10" x14ac:dyDescent="0.2">
      <c r="A90" s="14" t="s">
        <v>724</v>
      </c>
      <c r="B90" s="7" t="s">
        <v>725</v>
      </c>
      <c r="C90" s="546" t="s">
        <v>726</v>
      </c>
      <c r="D90" s="546"/>
      <c r="E90" s="545"/>
      <c r="F90" s="12" t="s">
        <v>727</v>
      </c>
      <c r="G90" s="12" t="s">
        <v>436</v>
      </c>
      <c r="H90" s="15">
        <v>39296</v>
      </c>
      <c r="I90" s="13">
        <v>39597</v>
      </c>
      <c r="J90" t="s">
        <v>993</v>
      </c>
    </row>
    <row r="91" spans="1:10" x14ac:dyDescent="0.2">
      <c r="A91" s="14" t="s">
        <v>728</v>
      </c>
      <c r="B91" s="7" t="s">
        <v>731</v>
      </c>
      <c r="C91" s="553" t="s">
        <v>842</v>
      </c>
      <c r="D91" s="553"/>
      <c r="E91" s="553"/>
      <c r="F91" s="12" t="s">
        <v>626</v>
      </c>
      <c r="G91" s="12" t="s">
        <v>627</v>
      </c>
      <c r="H91" s="15">
        <v>39302</v>
      </c>
      <c r="I91" s="13" t="s">
        <v>847</v>
      </c>
      <c r="J91" s="14" t="s">
        <v>1139</v>
      </c>
    </row>
    <row r="92" spans="1:10" x14ac:dyDescent="0.2">
      <c r="A92" s="14" t="s">
        <v>729</v>
      </c>
      <c r="B92" s="7" t="s">
        <v>732</v>
      </c>
      <c r="C92" s="557"/>
      <c r="D92" s="557"/>
      <c r="E92" s="557"/>
      <c r="F92" s="12" t="s">
        <v>626</v>
      </c>
      <c r="G92" s="12" t="s">
        <v>627</v>
      </c>
      <c r="H92" s="15">
        <v>39302</v>
      </c>
      <c r="I92" s="13" t="s">
        <v>1056</v>
      </c>
      <c r="J92" s="14" t="s">
        <v>1056</v>
      </c>
    </row>
    <row r="93" spans="1:10" x14ac:dyDescent="0.2">
      <c r="A93" s="14" t="s">
        <v>730</v>
      </c>
      <c r="B93" s="7" t="s">
        <v>736</v>
      </c>
      <c r="C93" s="547" t="s">
        <v>737</v>
      </c>
      <c r="D93" s="547"/>
      <c r="E93" s="547"/>
      <c r="F93" s="12" t="s">
        <v>626</v>
      </c>
      <c r="G93" s="12" t="s">
        <v>627</v>
      </c>
      <c r="H93" s="15">
        <v>39302</v>
      </c>
      <c r="I93" s="13" t="s">
        <v>1056</v>
      </c>
      <c r="J93" s="14" t="s">
        <v>1056</v>
      </c>
    </row>
    <row r="94" spans="1:10" x14ac:dyDescent="0.2">
      <c r="A94" s="14" t="s">
        <v>738</v>
      </c>
      <c r="B94" s="7" t="s">
        <v>739</v>
      </c>
      <c r="C94" s="547" t="s">
        <v>737</v>
      </c>
      <c r="D94" s="547"/>
      <c r="E94" s="547"/>
      <c r="F94" s="12" t="s">
        <v>615</v>
      </c>
      <c r="G94" s="12" t="s">
        <v>436</v>
      </c>
      <c r="H94" s="15">
        <v>39303</v>
      </c>
      <c r="I94" s="13">
        <v>39596</v>
      </c>
      <c r="J94" t="s">
        <v>798</v>
      </c>
    </row>
    <row r="95" spans="1:10" x14ac:dyDescent="0.2">
      <c r="A95" s="14" t="s">
        <v>740</v>
      </c>
      <c r="B95" s="7" t="s">
        <v>741</v>
      </c>
      <c r="C95" s="546" t="s">
        <v>525</v>
      </c>
      <c r="D95" s="546"/>
      <c r="E95" s="545"/>
      <c r="F95" s="12" t="s">
        <v>615</v>
      </c>
      <c r="G95" s="12" t="s">
        <v>436</v>
      </c>
      <c r="H95" s="15">
        <v>39303</v>
      </c>
      <c r="I95" s="13">
        <v>39596</v>
      </c>
      <c r="J95" t="s">
        <v>798</v>
      </c>
    </row>
    <row r="96" spans="1:10" x14ac:dyDescent="0.2">
      <c r="A96" s="14" t="s">
        <v>742</v>
      </c>
      <c r="B96" s="7" t="s">
        <v>743</v>
      </c>
      <c r="C96" s="547" t="s">
        <v>737</v>
      </c>
      <c r="D96" s="547"/>
      <c r="E96" s="547"/>
      <c r="F96" s="12" t="s">
        <v>615</v>
      </c>
      <c r="G96" s="12" t="s">
        <v>436</v>
      </c>
      <c r="H96" s="15">
        <v>39303</v>
      </c>
      <c r="I96" s="13" t="s">
        <v>1139</v>
      </c>
      <c r="J96" t="s">
        <v>1056</v>
      </c>
    </row>
    <row r="97" spans="1:10" x14ac:dyDescent="0.2">
      <c r="A97" s="14" t="s">
        <v>744</v>
      </c>
      <c r="B97" s="7" t="s">
        <v>745</v>
      </c>
      <c r="C97" s="547" t="s">
        <v>737</v>
      </c>
      <c r="D97" s="547"/>
      <c r="E97" s="547"/>
      <c r="F97" s="12" t="s">
        <v>685</v>
      </c>
      <c r="G97" s="12" t="s">
        <v>436</v>
      </c>
      <c r="H97" s="15">
        <v>39309</v>
      </c>
      <c r="I97" s="13">
        <v>39675</v>
      </c>
      <c r="J97" t="s">
        <v>798</v>
      </c>
    </row>
    <row r="98" spans="1:10" x14ac:dyDescent="0.2">
      <c r="A98" s="14" t="s">
        <v>746</v>
      </c>
      <c r="B98" s="7" t="s">
        <v>747</v>
      </c>
      <c r="C98" s="547" t="s">
        <v>737</v>
      </c>
      <c r="D98" s="547"/>
      <c r="E98" s="547"/>
      <c r="F98" s="12" t="s">
        <v>615</v>
      </c>
      <c r="G98" s="12" t="s">
        <v>436</v>
      </c>
      <c r="H98" s="15">
        <v>39317</v>
      </c>
      <c r="J98" s="141"/>
    </row>
    <row r="99" spans="1:10" x14ac:dyDescent="0.2">
      <c r="A99" s="14" t="s">
        <v>748</v>
      </c>
      <c r="B99" s="7" t="s">
        <v>751</v>
      </c>
      <c r="C99" s="547" t="s">
        <v>737</v>
      </c>
      <c r="D99" s="547"/>
      <c r="E99" s="547"/>
      <c r="F99" s="12" t="s">
        <v>750</v>
      </c>
      <c r="G99" s="12" t="s">
        <v>436</v>
      </c>
      <c r="H99" s="15">
        <v>39318</v>
      </c>
      <c r="J99" t="s">
        <v>798</v>
      </c>
    </row>
    <row r="100" spans="1:10" x14ac:dyDescent="0.2">
      <c r="A100" s="14" t="s">
        <v>749</v>
      </c>
      <c r="B100" s="7" t="s">
        <v>752</v>
      </c>
      <c r="C100" s="547" t="s">
        <v>737</v>
      </c>
      <c r="D100" s="547"/>
      <c r="E100" s="547"/>
      <c r="F100" s="12" t="s">
        <v>750</v>
      </c>
      <c r="G100" s="12" t="s">
        <v>436</v>
      </c>
      <c r="H100" s="15">
        <v>39318</v>
      </c>
      <c r="J100" t="s">
        <v>798</v>
      </c>
    </row>
    <row r="101" spans="1:10" x14ac:dyDescent="0.2">
      <c r="A101" s="14" t="s">
        <v>753</v>
      </c>
      <c r="B101" s="7" t="s">
        <v>754</v>
      </c>
      <c r="C101" s="547" t="s">
        <v>737</v>
      </c>
      <c r="D101" s="547"/>
      <c r="E101" s="547"/>
      <c r="F101" s="12" t="s">
        <v>755</v>
      </c>
      <c r="G101" s="12" t="s">
        <v>436</v>
      </c>
      <c r="H101" s="15">
        <v>39318</v>
      </c>
      <c r="J101" t="s">
        <v>798</v>
      </c>
    </row>
    <row r="102" spans="1:10" x14ac:dyDescent="0.2">
      <c r="A102" s="14" t="s">
        <v>756</v>
      </c>
      <c r="B102" s="14" t="s">
        <v>757</v>
      </c>
      <c r="C102" s="553" t="s">
        <v>758</v>
      </c>
      <c r="D102" s="553"/>
      <c r="E102" s="553"/>
      <c r="F102" s="12" t="s">
        <v>486</v>
      </c>
      <c r="G102" s="12" t="s">
        <v>627</v>
      </c>
      <c r="H102" s="15">
        <v>39321</v>
      </c>
      <c r="J102" s="141"/>
    </row>
    <row r="103" spans="1:10" x14ac:dyDescent="0.2">
      <c r="A103" s="14" t="s">
        <v>760</v>
      </c>
      <c r="B103" s="7" t="s">
        <v>761</v>
      </c>
      <c r="C103" s="547" t="s">
        <v>737</v>
      </c>
      <c r="D103" s="547"/>
      <c r="E103" s="547"/>
      <c r="F103" s="12" t="s">
        <v>495</v>
      </c>
      <c r="G103" s="12" t="s">
        <v>436</v>
      </c>
      <c r="H103" s="15">
        <v>39325</v>
      </c>
      <c r="J103" t="s">
        <v>798</v>
      </c>
    </row>
    <row r="104" spans="1:10" x14ac:dyDescent="0.2">
      <c r="A104" s="14" t="s">
        <v>762</v>
      </c>
      <c r="B104" s="7" t="s">
        <v>763</v>
      </c>
      <c r="C104" s="547" t="s">
        <v>737</v>
      </c>
      <c r="D104" s="547"/>
      <c r="E104" s="547"/>
      <c r="F104" s="12" t="s">
        <v>750</v>
      </c>
      <c r="G104" s="12" t="s">
        <v>436</v>
      </c>
      <c r="H104" s="15">
        <v>39329</v>
      </c>
      <c r="J104" t="s">
        <v>798</v>
      </c>
    </row>
    <row r="105" spans="1:10" x14ac:dyDescent="0.2">
      <c r="A105" s="14" t="s">
        <v>765</v>
      </c>
      <c r="B105" s="7" t="s">
        <v>480</v>
      </c>
      <c r="C105" s="547" t="s">
        <v>737</v>
      </c>
      <c r="D105" s="547"/>
      <c r="E105" s="547"/>
      <c r="F105" s="12" t="s">
        <v>727</v>
      </c>
      <c r="G105" s="12" t="s">
        <v>436</v>
      </c>
      <c r="H105" s="15">
        <v>39336</v>
      </c>
      <c r="I105" s="13">
        <v>39241</v>
      </c>
      <c r="J105" t="s">
        <v>798</v>
      </c>
    </row>
    <row r="106" spans="1:10" x14ac:dyDescent="0.2">
      <c r="A106" s="14" t="s">
        <v>766</v>
      </c>
      <c r="B106" s="14" t="s">
        <v>767</v>
      </c>
      <c r="C106" s="553" t="s">
        <v>737</v>
      </c>
      <c r="D106" s="553"/>
      <c r="E106" s="553"/>
      <c r="F106" s="12" t="s">
        <v>526</v>
      </c>
      <c r="G106" s="12" t="s">
        <v>627</v>
      </c>
      <c r="H106" s="15">
        <v>39339</v>
      </c>
      <c r="I106" s="13">
        <v>39602</v>
      </c>
      <c r="J106" t="s">
        <v>798</v>
      </c>
    </row>
    <row r="107" spans="1:10" x14ac:dyDescent="0.2">
      <c r="A107" s="14" t="s">
        <v>768</v>
      </c>
      <c r="B107" s="7" t="s">
        <v>769</v>
      </c>
      <c r="C107" s="7" t="s">
        <v>558</v>
      </c>
      <c r="F107" s="12" t="s">
        <v>472</v>
      </c>
      <c r="G107" s="12" t="s">
        <v>755</v>
      </c>
      <c r="H107" s="15">
        <v>39342</v>
      </c>
      <c r="I107" s="13">
        <v>39637</v>
      </c>
      <c r="J107" s="106" t="s">
        <v>798</v>
      </c>
    </row>
    <row r="108" spans="1:10" x14ac:dyDescent="0.2">
      <c r="A108" s="14" t="s">
        <v>771</v>
      </c>
      <c r="B108" s="7" t="s">
        <v>770</v>
      </c>
      <c r="C108" s="7" t="s">
        <v>515</v>
      </c>
      <c r="F108" s="12" t="s">
        <v>750</v>
      </c>
      <c r="G108" s="12" t="s">
        <v>755</v>
      </c>
      <c r="H108" s="15">
        <v>39342</v>
      </c>
      <c r="J108" t="s">
        <v>798</v>
      </c>
    </row>
    <row r="109" spans="1:10" x14ac:dyDescent="0.2">
      <c r="A109" s="14" t="s">
        <v>772</v>
      </c>
      <c r="B109" s="7" t="s">
        <v>775</v>
      </c>
      <c r="C109" s="7" t="s">
        <v>515</v>
      </c>
      <c r="F109" s="12" t="s">
        <v>615</v>
      </c>
      <c r="G109" s="12" t="s">
        <v>436</v>
      </c>
      <c r="H109" s="15">
        <v>39343</v>
      </c>
      <c r="I109" s="13">
        <v>39359</v>
      </c>
      <c r="J109" t="s">
        <v>798</v>
      </c>
    </row>
    <row r="110" spans="1:10" x14ac:dyDescent="0.2">
      <c r="A110" s="14" t="s">
        <v>777</v>
      </c>
      <c r="B110" s="7" t="s">
        <v>778</v>
      </c>
      <c r="C110" s="7" t="s">
        <v>515</v>
      </c>
      <c r="F110" s="12" t="s">
        <v>779</v>
      </c>
      <c r="G110" s="12" t="s">
        <v>436</v>
      </c>
      <c r="H110" s="15">
        <v>39344</v>
      </c>
      <c r="I110" s="13" t="s">
        <v>1173</v>
      </c>
      <c r="J110" s="14" t="s">
        <v>1173</v>
      </c>
    </row>
    <row r="111" spans="1:10" x14ac:dyDescent="0.2">
      <c r="A111" s="14" t="s">
        <v>780</v>
      </c>
      <c r="B111" s="7" t="s">
        <v>783</v>
      </c>
      <c r="C111" s="546" t="s">
        <v>525</v>
      </c>
      <c r="D111" s="546"/>
      <c r="E111" s="545"/>
      <c r="F111" s="12" t="s">
        <v>781</v>
      </c>
      <c r="G111" s="12" t="s">
        <v>782</v>
      </c>
      <c r="H111" s="15">
        <v>39346</v>
      </c>
      <c r="J111" t="s">
        <v>798</v>
      </c>
    </row>
    <row r="112" spans="1:10" x14ac:dyDescent="0.2">
      <c r="A112" s="14" t="s">
        <v>785</v>
      </c>
      <c r="B112" s="7" t="s">
        <v>784</v>
      </c>
      <c r="C112" s="7" t="s">
        <v>515</v>
      </c>
      <c r="F112" s="12" t="s">
        <v>472</v>
      </c>
      <c r="G112" s="12" t="s">
        <v>436</v>
      </c>
      <c r="H112" s="15">
        <v>39349</v>
      </c>
      <c r="J112" s="141"/>
    </row>
    <row r="113" spans="1:10" x14ac:dyDescent="0.2">
      <c r="A113" s="14" t="s">
        <v>786</v>
      </c>
      <c r="B113" s="7" t="s">
        <v>787</v>
      </c>
      <c r="C113" s="7" t="s">
        <v>623</v>
      </c>
      <c r="F113" s="12" t="s">
        <v>661</v>
      </c>
      <c r="G113" s="12" t="s">
        <v>755</v>
      </c>
      <c r="H113" s="15">
        <v>39353</v>
      </c>
      <c r="J113" t="s">
        <v>798</v>
      </c>
    </row>
    <row r="114" spans="1:10" x14ac:dyDescent="0.2">
      <c r="A114" s="14" t="s">
        <v>788</v>
      </c>
      <c r="B114" s="7" t="s">
        <v>901</v>
      </c>
      <c r="C114" s="7" t="s">
        <v>558</v>
      </c>
      <c r="F114" s="12" t="s">
        <v>750</v>
      </c>
      <c r="G114" s="12" t="s">
        <v>755</v>
      </c>
      <c r="H114" s="15">
        <v>39356</v>
      </c>
      <c r="J114" t="s">
        <v>798</v>
      </c>
    </row>
    <row r="115" spans="1:10" x14ac:dyDescent="0.2">
      <c r="A115" s="14" t="s">
        <v>789</v>
      </c>
      <c r="B115" s="7" t="s">
        <v>831</v>
      </c>
      <c r="C115" s="7" t="s">
        <v>515</v>
      </c>
      <c r="F115" s="12" t="s">
        <v>791</v>
      </c>
      <c r="G115" s="12" t="s">
        <v>755</v>
      </c>
      <c r="H115" s="15">
        <v>39359</v>
      </c>
      <c r="J115" t="s">
        <v>798</v>
      </c>
    </row>
    <row r="116" spans="1:10" x14ac:dyDescent="0.2">
      <c r="A116" s="14" t="s">
        <v>792</v>
      </c>
      <c r="B116" s="7" t="s">
        <v>793</v>
      </c>
      <c r="C116" s="7" t="s">
        <v>515</v>
      </c>
      <c r="F116" s="12" t="s">
        <v>794</v>
      </c>
      <c r="G116" s="12" t="s">
        <v>441</v>
      </c>
      <c r="H116" s="15">
        <v>39360</v>
      </c>
      <c r="I116" s="13">
        <v>40141</v>
      </c>
      <c r="J116" t="s">
        <v>798</v>
      </c>
    </row>
    <row r="117" spans="1:10" x14ac:dyDescent="0.2">
      <c r="A117" s="14" t="s">
        <v>796</v>
      </c>
      <c r="B117" s="7" t="s">
        <v>797</v>
      </c>
      <c r="C117" s="7" t="s">
        <v>587</v>
      </c>
      <c r="F117" s="12" t="s">
        <v>495</v>
      </c>
      <c r="G117" s="12" t="s">
        <v>755</v>
      </c>
      <c r="H117" s="15">
        <v>39372</v>
      </c>
      <c r="J117" t="s">
        <v>798</v>
      </c>
    </row>
    <row r="118" spans="1:10" x14ac:dyDescent="0.2">
      <c r="A118" s="14" t="s">
        <v>799</v>
      </c>
      <c r="B118" s="7" t="s">
        <v>800</v>
      </c>
      <c r="C118" s="7" t="s">
        <v>515</v>
      </c>
      <c r="F118" s="12" t="s">
        <v>495</v>
      </c>
      <c r="G118" s="12" t="s">
        <v>755</v>
      </c>
      <c r="H118" s="15">
        <v>39377</v>
      </c>
      <c r="J118" t="s">
        <v>798</v>
      </c>
    </row>
    <row r="119" spans="1:10" x14ac:dyDescent="0.2">
      <c r="A119" s="14" t="s">
        <v>801</v>
      </c>
      <c r="B119" s="7" t="s">
        <v>802</v>
      </c>
      <c r="C119" s="7" t="s">
        <v>803</v>
      </c>
      <c r="F119" s="12" t="s">
        <v>804</v>
      </c>
      <c r="G119" s="12" t="s">
        <v>794</v>
      </c>
      <c r="H119" s="15">
        <v>39379</v>
      </c>
      <c r="J119" t="s">
        <v>798</v>
      </c>
    </row>
    <row r="120" spans="1:10" x14ac:dyDescent="0.2">
      <c r="A120" s="14" t="s">
        <v>805</v>
      </c>
      <c r="B120" s="7" t="s">
        <v>514</v>
      </c>
      <c r="C120" s="7" t="s">
        <v>807</v>
      </c>
      <c r="F120" s="12" t="s">
        <v>794</v>
      </c>
      <c r="G120" s="12" t="s">
        <v>436</v>
      </c>
      <c r="H120" s="15">
        <v>39383</v>
      </c>
      <c r="I120" s="13">
        <v>39428</v>
      </c>
      <c r="J120" t="s">
        <v>798</v>
      </c>
    </row>
    <row r="121" spans="1:10" x14ac:dyDescent="0.2">
      <c r="A121" s="14" t="s">
        <v>806</v>
      </c>
      <c r="B121" s="7" t="s">
        <v>800</v>
      </c>
      <c r="C121" s="7" t="s">
        <v>525</v>
      </c>
      <c r="F121" s="12" t="s">
        <v>495</v>
      </c>
      <c r="G121" s="19" t="s">
        <v>755</v>
      </c>
      <c r="H121" s="15">
        <v>39384</v>
      </c>
      <c r="J121" t="s">
        <v>798</v>
      </c>
    </row>
    <row r="122" spans="1:10" x14ac:dyDescent="0.2">
      <c r="A122" s="14" t="s">
        <v>808</v>
      </c>
      <c r="B122" s="7" t="s">
        <v>802</v>
      </c>
      <c r="C122" s="7" t="s">
        <v>525</v>
      </c>
      <c r="F122" s="12" t="s">
        <v>436</v>
      </c>
      <c r="G122" s="19" t="s">
        <v>495</v>
      </c>
      <c r="H122" s="15">
        <v>39385</v>
      </c>
      <c r="J122" t="s">
        <v>798</v>
      </c>
    </row>
    <row r="123" spans="1:10" x14ac:dyDescent="0.2">
      <c r="A123" s="14" t="s">
        <v>809</v>
      </c>
      <c r="B123" s="7" t="s">
        <v>800</v>
      </c>
      <c r="C123" s="7" t="s">
        <v>558</v>
      </c>
      <c r="F123" s="12" t="s">
        <v>436</v>
      </c>
      <c r="G123" s="19" t="s">
        <v>495</v>
      </c>
      <c r="H123" s="15">
        <v>39386</v>
      </c>
      <c r="J123" t="s">
        <v>798</v>
      </c>
    </row>
    <row r="124" spans="1:10" x14ac:dyDescent="0.2">
      <c r="A124" s="14" t="s">
        <v>810</v>
      </c>
      <c r="B124" s="7" t="s">
        <v>818</v>
      </c>
      <c r="C124" s="7" t="s">
        <v>803</v>
      </c>
      <c r="F124" s="12" t="s">
        <v>794</v>
      </c>
      <c r="G124" s="19" t="s">
        <v>436</v>
      </c>
      <c r="H124" s="15">
        <v>39392</v>
      </c>
      <c r="I124" s="13">
        <v>39428</v>
      </c>
      <c r="J124" t="s">
        <v>798</v>
      </c>
    </row>
    <row r="125" spans="1:10" x14ac:dyDescent="0.2">
      <c r="A125" s="14" t="s">
        <v>819</v>
      </c>
      <c r="B125" s="7" t="s">
        <v>820</v>
      </c>
      <c r="C125" s="7" t="s">
        <v>821</v>
      </c>
      <c r="F125" s="12" t="s">
        <v>512</v>
      </c>
      <c r="G125" s="19" t="s">
        <v>436</v>
      </c>
      <c r="H125" s="15">
        <v>39393</v>
      </c>
      <c r="I125" s="13" t="s">
        <v>1173</v>
      </c>
      <c r="J125" s="14" t="s">
        <v>1173</v>
      </c>
    </row>
    <row r="126" spans="1:10" x14ac:dyDescent="0.2">
      <c r="A126" s="14" t="s">
        <v>822</v>
      </c>
      <c r="B126" s="7" t="s">
        <v>522</v>
      </c>
      <c r="C126" s="7" t="s">
        <v>803</v>
      </c>
      <c r="F126" s="12" t="s">
        <v>615</v>
      </c>
      <c r="G126" s="19" t="s">
        <v>441</v>
      </c>
      <c r="H126" s="15">
        <v>39395</v>
      </c>
      <c r="I126" s="13">
        <v>39785</v>
      </c>
      <c r="J126" t="s">
        <v>798</v>
      </c>
    </row>
    <row r="127" spans="1:10" x14ac:dyDescent="0.2">
      <c r="A127" s="14" t="s">
        <v>823</v>
      </c>
      <c r="B127" s="7" t="s">
        <v>529</v>
      </c>
      <c r="C127" s="7" t="s">
        <v>525</v>
      </c>
      <c r="F127" s="12" t="s">
        <v>615</v>
      </c>
      <c r="G127" s="19" t="s">
        <v>441</v>
      </c>
      <c r="H127" s="15">
        <v>39395</v>
      </c>
      <c r="I127" s="13">
        <v>39787</v>
      </c>
      <c r="J127" t="s">
        <v>798</v>
      </c>
    </row>
    <row r="128" spans="1:10" x14ac:dyDescent="0.2">
      <c r="A128" s="14" t="s">
        <v>824</v>
      </c>
      <c r="B128" s="7" t="s">
        <v>825</v>
      </c>
      <c r="C128" s="7" t="s">
        <v>525</v>
      </c>
      <c r="F128" s="12" t="s">
        <v>750</v>
      </c>
      <c r="G128" s="19" t="s">
        <v>436</v>
      </c>
      <c r="H128" s="15">
        <v>39398</v>
      </c>
      <c r="J128" t="s">
        <v>798</v>
      </c>
    </row>
    <row r="129" spans="1:11" x14ac:dyDescent="0.2">
      <c r="A129" s="14" t="s">
        <v>826</v>
      </c>
      <c r="B129" s="7" t="s">
        <v>827</v>
      </c>
      <c r="C129" s="7" t="s">
        <v>803</v>
      </c>
      <c r="F129" s="12" t="s">
        <v>750</v>
      </c>
      <c r="G129" s="19" t="s">
        <v>436</v>
      </c>
      <c r="H129" s="15">
        <v>39401</v>
      </c>
      <c r="J129" t="s">
        <v>798</v>
      </c>
    </row>
    <row r="130" spans="1:11" x14ac:dyDescent="0.2">
      <c r="A130" s="14" t="s">
        <v>828</v>
      </c>
      <c r="B130" s="7" t="s">
        <v>790</v>
      </c>
      <c r="C130" s="7" t="s">
        <v>803</v>
      </c>
      <c r="F130" s="12" t="s">
        <v>791</v>
      </c>
      <c r="G130" s="19" t="s">
        <v>436</v>
      </c>
      <c r="H130" s="15">
        <v>39402</v>
      </c>
      <c r="I130" s="13">
        <v>41401</v>
      </c>
      <c r="J130" s="221" t="s">
        <v>798</v>
      </c>
    </row>
    <row r="131" spans="1:11" x14ac:dyDescent="0.2">
      <c r="A131" s="14" t="s">
        <v>829</v>
      </c>
      <c r="B131" s="7" t="s">
        <v>830</v>
      </c>
      <c r="C131" s="7" t="s">
        <v>803</v>
      </c>
      <c r="F131" s="12" t="s">
        <v>791</v>
      </c>
      <c r="G131" s="19" t="s">
        <v>436</v>
      </c>
      <c r="H131" s="15">
        <v>39402</v>
      </c>
      <c r="J131" t="s">
        <v>798</v>
      </c>
    </row>
    <row r="132" spans="1:11" x14ac:dyDescent="0.2">
      <c r="A132" s="14" t="s">
        <v>832</v>
      </c>
      <c r="B132" s="7" t="s">
        <v>1316</v>
      </c>
      <c r="C132" s="7" t="s">
        <v>833</v>
      </c>
      <c r="F132" s="12" t="s">
        <v>834</v>
      </c>
      <c r="G132" s="19" t="s">
        <v>615</v>
      </c>
      <c r="H132" s="15">
        <v>39405</v>
      </c>
      <c r="I132" s="13">
        <v>40109</v>
      </c>
      <c r="J132" t="s">
        <v>798</v>
      </c>
      <c r="K132" t="s">
        <v>91</v>
      </c>
    </row>
    <row r="133" spans="1:11" x14ac:dyDescent="0.2">
      <c r="A133" s="14" t="s">
        <v>835</v>
      </c>
      <c r="B133" s="7" t="s">
        <v>836</v>
      </c>
      <c r="C133" s="7" t="s">
        <v>803</v>
      </c>
      <c r="F133" s="12" t="s">
        <v>472</v>
      </c>
      <c r="G133" s="19" t="s">
        <v>436</v>
      </c>
      <c r="H133" s="15">
        <v>39406</v>
      </c>
      <c r="I133" s="13">
        <v>39637</v>
      </c>
      <c r="J133" s="106" t="s">
        <v>798</v>
      </c>
    </row>
    <row r="134" spans="1:11" x14ac:dyDescent="0.2">
      <c r="A134" s="14" t="s">
        <v>837</v>
      </c>
      <c r="B134" s="7" t="s">
        <v>838</v>
      </c>
      <c r="C134" s="7" t="s">
        <v>558</v>
      </c>
      <c r="F134" s="12" t="s">
        <v>750</v>
      </c>
      <c r="G134" s="19" t="s">
        <v>436</v>
      </c>
      <c r="H134" s="15">
        <v>39407</v>
      </c>
      <c r="J134" s="141"/>
    </row>
    <row r="135" spans="1:11" x14ac:dyDescent="0.2">
      <c r="A135" s="14" t="s">
        <v>839</v>
      </c>
      <c r="B135" s="7" t="s">
        <v>840</v>
      </c>
      <c r="C135" s="7" t="s">
        <v>841</v>
      </c>
      <c r="F135" s="12" t="s">
        <v>750</v>
      </c>
      <c r="G135" s="19" t="s">
        <v>436</v>
      </c>
      <c r="H135" s="15">
        <v>39413</v>
      </c>
      <c r="J135" s="141"/>
    </row>
    <row r="136" spans="1:11" x14ac:dyDescent="0.2">
      <c r="A136" s="14" t="s">
        <v>843</v>
      </c>
      <c r="B136" s="7" t="s">
        <v>844</v>
      </c>
      <c r="C136" s="7" t="s">
        <v>845</v>
      </c>
      <c r="F136" s="12" t="s">
        <v>846</v>
      </c>
      <c r="G136" s="19" t="s">
        <v>441</v>
      </c>
      <c r="H136" s="15">
        <v>39419</v>
      </c>
      <c r="I136" s="13">
        <v>39961</v>
      </c>
      <c r="J136" s="14" t="s">
        <v>993</v>
      </c>
    </row>
    <row r="137" spans="1:11" x14ac:dyDescent="0.2">
      <c r="A137" s="14" t="s">
        <v>848</v>
      </c>
      <c r="B137" s="7" t="s">
        <v>849</v>
      </c>
      <c r="C137" s="7" t="s">
        <v>845</v>
      </c>
      <c r="F137" s="12" t="s">
        <v>495</v>
      </c>
      <c r="G137" s="19" t="s">
        <v>436</v>
      </c>
      <c r="H137" s="15">
        <v>39422</v>
      </c>
      <c r="J137" t="s">
        <v>798</v>
      </c>
    </row>
    <row r="138" spans="1:11" x14ac:dyDescent="0.2">
      <c r="A138" s="14" t="s">
        <v>850</v>
      </c>
      <c r="B138" s="7" t="s">
        <v>852</v>
      </c>
      <c r="C138" s="7" t="s">
        <v>845</v>
      </c>
      <c r="F138" s="12" t="s">
        <v>851</v>
      </c>
      <c r="G138" s="19" t="s">
        <v>627</v>
      </c>
      <c r="H138" s="15">
        <v>39422</v>
      </c>
      <c r="J138" s="141"/>
    </row>
    <row r="139" spans="1:11" x14ac:dyDescent="0.2">
      <c r="A139" s="14" t="s">
        <v>853</v>
      </c>
      <c r="B139" s="7" t="s">
        <v>854</v>
      </c>
      <c r="C139" s="7" t="s">
        <v>1177</v>
      </c>
      <c r="F139" s="12" t="s">
        <v>851</v>
      </c>
      <c r="G139" s="19" t="s">
        <v>627</v>
      </c>
      <c r="H139" s="15">
        <v>39422</v>
      </c>
      <c r="I139" s="13">
        <v>41401</v>
      </c>
      <c r="J139" s="221" t="s">
        <v>798</v>
      </c>
    </row>
    <row r="140" spans="1:11" x14ac:dyDescent="0.2">
      <c r="A140" s="14" t="s">
        <v>855</v>
      </c>
      <c r="B140" s="7" t="s">
        <v>856</v>
      </c>
      <c r="C140" s="7" t="s">
        <v>845</v>
      </c>
      <c r="F140" s="12" t="s">
        <v>834</v>
      </c>
      <c r="G140" s="19" t="s">
        <v>627</v>
      </c>
      <c r="H140" s="15">
        <v>39422</v>
      </c>
      <c r="I140" s="13">
        <v>39598</v>
      </c>
      <c r="J140" t="s">
        <v>993</v>
      </c>
    </row>
    <row r="141" spans="1:11" x14ac:dyDescent="0.2">
      <c r="A141" s="14" t="s">
        <v>857</v>
      </c>
      <c r="B141" s="7" t="s">
        <v>1212</v>
      </c>
      <c r="C141" s="7" t="s">
        <v>845</v>
      </c>
      <c r="F141" s="12" t="s">
        <v>834</v>
      </c>
      <c r="G141" s="19" t="s">
        <v>627</v>
      </c>
      <c r="H141" s="15">
        <v>39422</v>
      </c>
      <c r="I141" s="13">
        <v>39651</v>
      </c>
      <c r="J141" t="s">
        <v>993</v>
      </c>
    </row>
    <row r="142" spans="1:11" x14ac:dyDescent="0.2">
      <c r="A142" s="14" t="s">
        <v>858</v>
      </c>
      <c r="B142" s="7" t="s">
        <v>859</v>
      </c>
      <c r="C142" s="7" t="s">
        <v>845</v>
      </c>
      <c r="F142" s="12" t="s">
        <v>834</v>
      </c>
      <c r="G142" s="19" t="s">
        <v>627</v>
      </c>
      <c r="H142" s="15">
        <v>39422</v>
      </c>
      <c r="I142" s="13">
        <v>39598</v>
      </c>
      <c r="J142" t="s">
        <v>993</v>
      </c>
    </row>
    <row r="143" spans="1:11" x14ac:dyDescent="0.2">
      <c r="A143" s="14" t="s">
        <v>860</v>
      </c>
      <c r="B143" s="7" t="s">
        <v>861</v>
      </c>
      <c r="C143" s="7" t="s">
        <v>845</v>
      </c>
      <c r="F143" s="12" t="s">
        <v>834</v>
      </c>
      <c r="G143" s="19" t="s">
        <v>627</v>
      </c>
      <c r="H143" s="15">
        <v>39423</v>
      </c>
      <c r="I143" s="13">
        <v>39750</v>
      </c>
      <c r="J143" t="s">
        <v>993</v>
      </c>
    </row>
    <row r="144" spans="1:11" x14ac:dyDescent="0.2">
      <c r="A144" s="14" t="s">
        <v>863</v>
      </c>
      <c r="B144" s="7" t="s">
        <v>862</v>
      </c>
      <c r="C144" s="7" t="s">
        <v>845</v>
      </c>
      <c r="F144" s="12" t="s">
        <v>834</v>
      </c>
      <c r="G144" s="19" t="s">
        <v>627</v>
      </c>
      <c r="H144" s="15">
        <v>39423</v>
      </c>
      <c r="I144" s="13">
        <v>39598</v>
      </c>
      <c r="J144" t="s">
        <v>798</v>
      </c>
    </row>
    <row r="145" spans="1:11" x14ac:dyDescent="0.2">
      <c r="A145" s="14" t="s">
        <v>864</v>
      </c>
      <c r="B145" s="7" t="s">
        <v>865</v>
      </c>
      <c r="C145" s="7" t="s">
        <v>845</v>
      </c>
      <c r="F145" s="12" t="s">
        <v>866</v>
      </c>
      <c r="G145" s="19" t="s">
        <v>436</v>
      </c>
      <c r="H145" s="15">
        <v>39426</v>
      </c>
      <c r="I145" s="13">
        <v>39603</v>
      </c>
      <c r="J145" t="s">
        <v>798</v>
      </c>
    </row>
    <row r="146" spans="1:11" x14ac:dyDescent="0.2">
      <c r="A146" s="14" t="s">
        <v>867</v>
      </c>
      <c r="B146" s="7" t="s">
        <v>935</v>
      </c>
      <c r="C146" s="7" t="s">
        <v>868</v>
      </c>
      <c r="F146" s="12" t="s">
        <v>851</v>
      </c>
      <c r="G146" s="19" t="s">
        <v>627</v>
      </c>
      <c r="H146" s="15">
        <v>39427</v>
      </c>
      <c r="J146" t="s">
        <v>798</v>
      </c>
      <c r="K146" s="14" t="s">
        <v>977</v>
      </c>
    </row>
    <row r="147" spans="1:11" s="70" customFormat="1" x14ac:dyDescent="0.2">
      <c r="A147" s="71" t="s">
        <v>869</v>
      </c>
      <c r="B147" s="72" t="s">
        <v>870</v>
      </c>
      <c r="C147" s="72" t="s">
        <v>845</v>
      </c>
      <c r="F147" s="73" t="s">
        <v>495</v>
      </c>
      <c r="G147" s="74" t="s">
        <v>436</v>
      </c>
      <c r="H147" s="75">
        <v>39427</v>
      </c>
      <c r="I147" s="224"/>
      <c r="J147" s="70" t="s">
        <v>798</v>
      </c>
    </row>
    <row r="148" spans="1:11" x14ac:dyDescent="0.2">
      <c r="A148" s="14" t="s">
        <v>871</v>
      </c>
      <c r="B148" s="7" t="s">
        <v>818</v>
      </c>
      <c r="C148" s="7" t="s">
        <v>845</v>
      </c>
      <c r="F148" s="12" t="s">
        <v>834</v>
      </c>
      <c r="G148" s="19" t="s">
        <v>627</v>
      </c>
      <c r="H148" s="15">
        <v>39427</v>
      </c>
      <c r="I148" s="13" t="s">
        <v>1173</v>
      </c>
      <c r="J148" s="14" t="s">
        <v>1056</v>
      </c>
    </row>
    <row r="149" spans="1:11" x14ac:dyDescent="0.2">
      <c r="A149" s="14" t="s">
        <v>872</v>
      </c>
      <c r="B149" s="7" t="s">
        <v>873</v>
      </c>
      <c r="C149" s="7" t="s">
        <v>587</v>
      </c>
      <c r="F149" s="12" t="s">
        <v>495</v>
      </c>
      <c r="G149" s="19" t="s">
        <v>436</v>
      </c>
      <c r="H149" s="15">
        <v>39433</v>
      </c>
      <c r="J149" t="s">
        <v>798</v>
      </c>
    </row>
    <row r="150" spans="1:11" x14ac:dyDescent="0.2">
      <c r="A150" s="14" t="s">
        <v>874</v>
      </c>
      <c r="B150" s="7" t="s">
        <v>875</v>
      </c>
      <c r="C150" s="7" t="s">
        <v>525</v>
      </c>
      <c r="F150" s="12" t="s">
        <v>495</v>
      </c>
      <c r="G150" s="19" t="s">
        <v>436</v>
      </c>
      <c r="H150" s="15">
        <v>39433</v>
      </c>
      <c r="J150" t="s">
        <v>798</v>
      </c>
    </row>
    <row r="151" spans="1:11" x14ac:dyDescent="0.2">
      <c r="A151" s="14" t="s">
        <v>876</v>
      </c>
      <c r="B151" s="7" t="s">
        <v>878</v>
      </c>
      <c r="C151" s="7" t="s">
        <v>515</v>
      </c>
      <c r="F151" s="12" t="s">
        <v>851</v>
      </c>
      <c r="G151" s="19" t="s">
        <v>627</v>
      </c>
      <c r="H151" s="15">
        <v>39434</v>
      </c>
      <c r="J151" t="s">
        <v>798</v>
      </c>
      <c r="K151" s="14" t="s">
        <v>1072</v>
      </c>
    </row>
    <row r="152" spans="1:11" x14ac:dyDescent="0.2">
      <c r="A152" s="14" t="s">
        <v>877</v>
      </c>
      <c r="B152" s="7" t="s">
        <v>879</v>
      </c>
      <c r="C152" s="7" t="s">
        <v>515</v>
      </c>
      <c r="F152" s="12" t="s">
        <v>851</v>
      </c>
      <c r="G152" s="19" t="s">
        <v>627</v>
      </c>
      <c r="H152" s="15">
        <v>39434</v>
      </c>
      <c r="J152" t="s">
        <v>798</v>
      </c>
    </row>
    <row r="153" spans="1:11" x14ac:dyDescent="0.2">
      <c r="A153" s="14" t="s">
        <v>880</v>
      </c>
      <c r="B153" s="7" t="s">
        <v>910</v>
      </c>
      <c r="C153" s="7" t="s">
        <v>882</v>
      </c>
      <c r="F153" s="12" t="s">
        <v>851</v>
      </c>
      <c r="G153" s="19" t="s">
        <v>627</v>
      </c>
      <c r="H153" s="15">
        <v>39435</v>
      </c>
      <c r="J153" t="s">
        <v>798</v>
      </c>
    </row>
    <row r="154" spans="1:11" x14ac:dyDescent="0.2">
      <c r="A154" s="14" t="s">
        <v>881</v>
      </c>
      <c r="B154" s="7" t="s">
        <v>911</v>
      </c>
      <c r="C154" s="7" t="s">
        <v>821</v>
      </c>
      <c r="F154" s="12" t="s">
        <v>851</v>
      </c>
      <c r="G154" s="19" t="s">
        <v>627</v>
      </c>
      <c r="H154" s="15">
        <v>39435</v>
      </c>
      <c r="J154" t="s">
        <v>798</v>
      </c>
    </row>
    <row r="155" spans="1:11" x14ac:dyDescent="0.2">
      <c r="A155" s="14" t="s">
        <v>883</v>
      </c>
      <c r="B155" s="7" t="s">
        <v>884</v>
      </c>
      <c r="C155" s="7" t="s">
        <v>803</v>
      </c>
      <c r="F155" s="12" t="s">
        <v>834</v>
      </c>
      <c r="G155" s="19" t="s">
        <v>627</v>
      </c>
      <c r="H155" s="15">
        <v>39443</v>
      </c>
      <c r="I155" s="13">
        <v>39826</v>
      </c>
      <c r="J155" s="14" t="s">
        <v>798</v>
      </c>
    </row>
    <row r="156" spans="1:11" x14ac:dyDescent="0.2">
      <c r="A156" s="14" t="s">
        <v>885</v>
      </c>
      <c r="B156" s="7" t="s">
        <v>886</v>
      </c>
      <c r="C156" s="7" t="s">
        <v>803</v>
      </c>
      <c r="F156" s="12" t="s">
        <v>834</v>
      </c>
      <c r="G156" s="19" t="s">
        <v>627</v>
      </c>
      <c r="H156" s="15">
        <v>39443</v>
      </c>
      <c r="I156" s="13" t="s">
        <v>1173</v>
      </c>
      <c r="J156" s="14" t="s">
        <v>1173</v>
      </c>
    </row>
    <row r="157" spans="1:11" x14ac:dyDescent="0.2">
      <c r="A157" s="14" t="s">
        <v>887</v>
      </c>
      <c r="B157" s="7" t="s">
        <v>888</v>
      </c>
      <c r="C157" s="7" t="s">
        <v>803</v>
      </c>
      <c r="F157" s="12" t="s">
        <v>834</v>
      </c>
      <c r="G157" s="19" t="s">
        <v>627</v>
      </c>
      <c r="H157" s="15">
        <v>39443</v>
      </c>
      <c r="J157" t="s">
        <v>993</v>
      </c>
    </row>
    <row r="158" spans="1:11" s="144" customFormat="1" x14ac:dyDescent="0.2">
      <c r="A158" s="539" t="s">
        <v>890</v>
      </c>
      <c r="B158" s="539"/>
      <c r="C158" s="539"/>
      <c r="D158" s="539"/>
      <c r="E158" s="539"/>
      <c r="F158" s="539"/>
      <c r="G158" s="539"/>
      <c r="H158" s="539"/>
      <c r="I158" s="539"/>
      <c r="J158" s="539"/>
    </row>
    <row r="159" spans="1:11" s="144" customFormat="1" x14ac:dyDescent="0.2">
      <c r="A159" s="539"/>
      <c r="B159" s="539"/>
      <c r="C159" s="539"/>
      <c r="D159" s="539"/>
      <c r="E159" s="539"/>
      <c r="F159" s="539"/>
      <c r="G159" s="539"/>
      <c r="H159" s="539"/>
      <c r="I159" s="539"/>
      <c r="J159" s="539"/>
    </row>
  </sheetData>
  <mergeCells count="105">
    <mergeCell ref="A158:J159"/>
    <mergeCell ref="C103:E103"/>
    <mergeCell ref="C102:E102"/>
    <mergeCell ref="C111:E111"/>
    <mergeCell ref="C105:E105"/>
    <mergeCell ref="C104:E104"/>
    <mergeCell ref="C106:E106"/>
    <mergeCell ref="A82:A84"/>
    <mergeCell ref="C82:E84"/>
    <mergeCell ref="B82:B84"/>
    <mergeCell ref="C88:E88"/>
    <mergeCell ref="C87:E87"/>
    <mergeCell ref="C85:E85"/>
    <mergeCell ref="C86:E86"/>
    <mergeCell ref="C96:E96"/>
    <mergeCell ref="C89:E89"/>
    <mergeCell ref="C91:E91"/>
    <mergeCell ref="C93:E93"/>
    <mergeCell ref="C92:E92"/>
    <mergeCell ref="C90:E90"/>
    <mergeCell ref="C98:E98"/>
    <mergeCell ref="C24:E24"/>
    <mergeCell ref="C25:E25"/>
    <mergeCell ref="C15:E15"/>
    <mergeCell ref="C12:E12"/>
    <mergeCell ref="A1:J1"/>
    <mergeCell ref="C2:E2"/>
    <mergeCell ref="C3:E3"/>
    <mergeCell ref="C4:E4"/>
    <mergeCell ref="C11:E11"/>
    <mergeCell ref="C9:E9"/>
    <mergeCell ref="C6:E6"/>
    <mergeCell ref="C5:E5"/>
    <mergeCell ref="C30:E30"/>
    <mergeCell ref="C31:E31"/>
    <mergeCell ref="C33:E33"/>
    <mergeCell ref="C34:E34"/>
    <mergeCell ref="C37:E37"/>
    <mergeCell ref="C35:E35"/>
    <mergeCell ref="C36:E36"/>
    <mergeCell ref="C7:E7"/>
    <mergeCell ref="C8:E8"/>
    <mergeCell ref="C10:E10"/>
    <mergeCell ref="C22:E22"/>
    <mergeCell ref="C23:E23"/>
    <mergeCell ref="C20:E20"/>
    <mergeCell ref="C14:E14"/>
    <mergeCell ref="C28:E28"/>
    <mergeCell ref="C29:E29"/>
    <mergeCell ref="C27:E27"/>
    <mergeCell ref="C26:E26"/>
    <mergeCell ref="C21:E21"/>
    <mergeCell ref="C13:E13"/>
    <mergeCell ref="C18:E18"/>
    <mergeCell ref="C19:E19"/>
    <mergeCell ref="C16:E16"/>
    <mergeCell ref="C17:E17"/>
    <mergeCell ref="C32:E32"/>
    <mergeCell ref="C40:E40"/>
    <mergeCell ref="C50:E50"/>
    <mergeCell ref="C41:E41"/>
    <mergeCell ref="C44:E44"/>
    <mergeCell ref="C45:E45"/>
    <mergeCell ref="C46:E46"/>
    <mergeCell ref="C47:E47"/>
    <mergeCell ref="C49:E49"/>
    <mergeCell ref="C43:E43"/>
    <mergeCell ref="C38:E38"/>
    <mergeCell ref="C39:E39"/>
    <mergeCell ref="C42:E42"/>
    <mergeCell ref="C56:E56"/>
    <mergeCell ref="C55:E55"/>
    <mergeCell ref="C62:E62"/>
    <mergeCell ref="C48:E48"/>
    <mergeCell ref="C51:E51"/>
    <mergeCell ref="C57:E57"/>
    <mergeCell ref="C60:E60"/>
    <mergeCell ref="C52:E52"/>
    <mergeCell ref="C53:E53"/>
    <mergeCell ref="C58:E58"/>
    <mergeCell ref="C54:E54"/>
    <mergeCell ref="C64:E64"/>
    <mergeCell ref="C68:E68"/>
    <mergeCell ref="C69:E69"/>
    <mergeCell ref="C70:E70"/>
    <mergeCell ref="C63:E63"/>
    <mergeCell ref="C59:E59"/>
    <mergeCell ref="C61:E61"/>
    <mergeCell ref="C77:E77"/>
    <mergeCell ref="C78:E78"/>
    <mergeCell ref="C72:E72"/>
    <mergeCell ref="C73:E73"/>
    <mergeCell ref="C74:E74"/>
    <mergeCell ref="C71:E71"/>
    <mergeCell ref="C75:E75"/>
    <mergeCell ref="C76:E76"/>
    <mergeCell ref="C79:E79"/>
    <mergeCell ref="C80:E80"/>
    <mergeCell ref="C81:E81"/>
    <mergeCell ref="C101:E101"/>
    <mergeCell ref="C97:E97"/>
    <mergeCell ref="C100:E100"/>
    <mergeCell ref="C94:E94"/>
    <mergeCell ref="C95:E95"/>
    <mergeCell ref="C99:E99"/>
  </mergeCells>
  <phoneticPr fontId="4" type="noConversion"/>
  <pageMargins left="0.75" right="0.7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K27"/>
  <sheetViews>
    <sheetView workbookViewId="0">
      <selection activeCell="B10" sqref="B10:C10"/>
    </sheetView>
  </sheetViews>
  <sheetFormatPr defaultRowHeight="12.75" x14ac:dyDescent="0.2"/>
  <cols>
    <col min="1" max="1" width="11.5703125" customWidth="1"/>
    <col min="3" max="3" width="20.5703125" customWidth="1"/>
    <col min="6" max="6" width="11.5703125" customWidth="1"/>
    <col min="7" max="7" width="9.5703125" customWidth="1"/>
    <col min="8" max="8" width="10.5703125" customWidth="1"/>
    <col min="9" max="9" width="12.5703125" customWidth="1"/>
    <col min="10" max="10" width="15.42578125" customWidth="1"/>
  </cols>
  <sheetData>
    <row r="1" spans="1:11" ht="42" customHeight="1" x14ac:dyDescent="0.6">
      <c r="A1" s="541" t="s">
        <v>454</v>
      </c>
      <c r="B1" s="541"/>
      <c r="C1" s="541"/>
      <c r="D1" s="541"/>
      <c r="E1" s="541"/>
      <c r="F1" s="541"/>
      <c r="G1" s="541"/>
      <c r="H1" s="541"/>
      <c r="I1" s="541"/>
      <c r="J1" s="541"/>
      <c r="K1" s="541"/>
    </row>
    <row r="2" spans="1:11" ht="38.25" x14ac:dyDescent="0.2">
      <c r="A2" s="5" t="s">
        <v>423</v>
      </c>
      <c r="B2" s="561" t="s">
        <v>432</v>
      </c>
      <c r="C2" s="562"/>
      <c r="D2" s="550" t="s">
        <v>426</v>
      </c>
      <c r="E2" s="551"/>
      <c r="F2" s="552"/>
      <c r="G2" s="5" t="s">
        <v>427</v>
      </c>
      <c r="H2" s="5" t="s">
        <v>428</v>
      </c>
      <c r="I2" s="5" t="s">
        <v>429</v>
      </c>
      <c r="J2" s="6" t="s">
        <v>430</v>
      </c>
      <c r="K2" s="5" t="s">
        <v>452</v>
      </c>
    </row>
    <row r="3" spans="1:11" x14ac:dyDescent="0.2">
      <c r="A3" s="1" t="s">
        <v>424</v>
      </c>
      <c r="B3" s="543" t="s">
        <v>433</v>
      </c>
      <c r="C3" s="545"/>
      <c r="D3" s="543" t="s">
        <v>435</v>
      </c>
      <c r="E3" s="544"/>
      <c r="F3" s="545"/>
      <c r="G3" s="1" t="s">
        <v>436</v>
      </c>
      <c r="H3" s="1" t="s">
        <v>441</v>
      </c>
      <c r="I3" s="4">
        <v>38839</v>
      </c>
      <c r="J3" s="4">
        <v>38842</v>
      </c>
      <c r="K3" s="1" t="s">
        <v>453</v>
      </c>
    </row>
    <row r="4" spans="1:11" x14ac:dyDescent="0.2">
      <c r="A4" s="1" t="s">
        <v>425</v>
      </c>
      <c r="B4" s="543" t="s">
        <v>437</v>
      </c>
      <c r="C4" s="545"/>
      <c r="D4" s="543" t="s">
        <v>438</v>
      </c>
      <c r="E4" s="544"/>
      <c r="F4" s="545"/>
      <c r="G4" s="1" t="s">
        <v>436</v>
      </c>
      <c r="H4" s="1" t="s">
        <v>441</v>
      </c>
      <c r="I4" s="4">
        <v>38839</v>
      </c>
      <c r="J4" s="4">
        <v>38842</v>
      </c>
      <c r="K4" s="1" t="s">
        <v>453</v>
      </c>
    </row>
    <row r="5" spans="1:11" x14ac:dyDescent="0.2">
      <c r="A5" s="1" t="s">
        <v>431</v>
      </c>
      <c r="B5" s="543" t="s">
        <v>439</v>
      </c>
      <c r="C5" s="545"/>
      <c r="D5" s="543" t="s">
        <v>435</v>
      </c>
      <c r="E5" s="544"/>
      <c r="F5" s="545"/>
      <c r="G5" s="1" t="s">
        <v>436</v>
      </c>
      <c r="H5" s="1" t="s">
        <v>441</v>
      </c>
      <c r="I5" s="4">
        <v>38839</v>
      </c>
      <c r="J5" s="4">
        <v>38869</v>
      </c>
      <c r="K5" s="1" t="s">
        <v>453</v>
      </c>
    </row>
    <row r="6" spans="1:11" x14ac:dyDescent="0.2">
      <c r="A6" s="1" t="s">
        <v>440</v>
      </c>
      <c r="B6" s="543" t="s">
        <v>442</v>
      </c>
      <c r="C6" s="545"/>
      <c r="D6" s="543" t="s">
        <v>447</v>
      </c>
      <c r="E6" s="544"/>
      <c r="F6" s="545"/>
      <c r="G6" s="1" t="s">
        <v>436</v>
      </c>
      <c r="H6" s="1" t="s">
        <v>441</v>
      </c>
      <c r="I6" s="4">
        <v>38875</v>
      </c>
      <c r="J6" s="35">
        <v>39612</v>
      </c>
      <c r="K6" s="1" t="s">
        <v>798</v>
      </c>
    </row>
    <row r="7" spans="1:11" x14ac:dyDescent="0.2">
      <c r="A7" s="1" t="s">
        <v>443</v>
      </c>
      <c r="B7" s="543" t="s">
        <v>444</v>
      </c>
      <c r="C7" s="545"/>
      <c r="D7" s="543" t="s">
        <v>447</v>
      </c>
      <c r="E7" s="544"/>
      <c r="F7" s="545"/>
      <c r="G7" s="1" t="s">
        <v>436</v>
      </c>
      <c r="H7" s="1" t="s">
        <v>441</v>
      </c>
      <c r="I7" s="4">
        <v>38875</v>
      </c>
      <c r="J7" s="35">
        <v>39612</v>
      </c>
      <c r="K7" s="1" t="s">
        <v>798</v>
      </c>
    </row>
    <row r="8" spans="1:11" x14ac:dyDescent="0.2">
      <c r="A8" s="1" t="s">
        <v>445</v>
      </c>
      <c r="B8" s="543" t="s">
        <v>446</v>
      </c>
      <c r="C8" s="545"/>
      <c r="D8" s="543" t="s">
        <v>447</v>
      </c>
      <c r="E8" s="544"/>
      <c r="F8" s="545"/>
      <c r="G8" s="1" t="s">
        <v>436</v>
      </c>
      <c r="H8" s="1" t="s">
        <v>441</v>
      </c>
      <c r="I8" s="4">
        <v>38883</v>
      </c>
      <c r="J8" s="4">
        <v>38887</v>
      </c>
      <c r="K8" s="1" t="s">
        <v>453</v>
      </c>
    </row>
    <row r="9" spans="1:11" x14ac:dyDescent="0.2">
      <c r="A9" s="1" t="s">
        <v>448</v>
      </c>
      <c r="B9" s="543" t="s">
        <v>449</v>
      </c>
      <c r="C9" s="545"/>
      <c r="D9" s="543" t="s">
        <v>438</v>
      </c>
      <c r="E9" s="544"/>
      <c r="F9" s="545"/>
      <c r="G9" s="1" t="s">
        <v>436</v>
      </c>
      <c r="H9" s="1" t="s">
        <v>441</v>
      </c>
      <c r="I9" s="4">
        <v>38915</v>
      </c>
      <c r="J9" s="4">
        <v>39014</v>
      </c>
      <c r="K9" s="1" t="s">
        <v>453</v>
      </c>
    </row>
    <row r="10" spans="1:11" x14ac:dyDescent="0.2">
      <c r="A10" s="1" t="s">
        <v>450</v>
      </c>
      <c r="B10" s="543" t="s">
        <v>451</v>
      </c>
      <c r="C10" s="545"/>
      <c r="D10" s="543" t="s">
        <v>438</v>
      </c>
      <c r="E10" s="544"/>
      <c r="F10" s="545"/>
      <c r="G10" s="1" t="s">
        <v>436</v>
      </c>
      <c r="H10" s="1" t="s">
        <v>441</v>
      </c>
      <c r="I10" s="4">
        <v>38915</v>
      </c>
      <c r="J10" s="1" t="s">
        <v>1173</v>
      </c>
      <c r="K10" s="1" t="s">
        <v>1173</v>
      </c>
    </row>
    <row r="11" spans="1:11" x14ac:dyDescent="0.2">
      <c r="A11" s="1" t="s">
        <v>455</v>
      </c>
      <c r="B11" s="543" t="s">
        <v>456</v>
      </c>
      <c r="C11" s="545"/>
      <c r="D11" s="543" t="s">
        <v>438</v>
      </c>
      <c r="E11" s="544"/>
      <c r="F11" s="545"/>
      <c r="G11" s="1" t="s">
        <v>457</v>
      </c>
      <c r="H11" s="1" t="s">
        <v>436</v>
      </c>
      <c r="I11" s="4">
        <v>38931</v>
      </c>
      <c r="J11" s="4">
        <v>38932</v>
      </c>
      <c r="K11" s="1" t="s">
        <v>453</v>
      </c>
    </row>
    <row r="12" spans="1:11" s="7" customFormat="1" x14ac:dyDescent="0.2">
      <c r="A12" s="1" t="s">
        <v>459</v>
      </c>
      <c r="B12" s="543" t="s">
        <v>460</v>
      </c>
      <c r="C12" s="545"/>
      <c r="D12" s="543" t="s">
        <v>461</v>
      </c>
      <c r="E12" s="544"/>
      <c r="F12" s="545"/>
      <c r="G12" s="1" t="s">
        <v>441</v>
      </c>
      <c r="H12" s="1" t="s">
        <v>441</v>
      </c>
      <c r="I12" s="4">
        <v>38959</v>
      </c>
      <c r="J12" s="4">
        <v>39607</v>
      </c>
      <c r="K12" s="1" t="s">
        <v>798</v>
      </c>
    </row>
    <row r="13" spans="1:11" ht="33" customHeight="1" x14ac:dyDescent="0.2">
      <c r="A13" s="1" t="s">
        <v>462</v>
      </c>
      <c r="B13" s="565" t="s">
        <v>467</v>
      </c>
      <c r="C13" s="566"/>
      <c r="D13" s="543" t="s">
        <v>464</v>
      </c>
      <c r="E13" s="544"/>
      <c r="F13" s="545"/>
      <c r="G13" s="1" t="s">
        <v>457</v>
      </c>
      <c r="H13" s="1" t="s">
        <v>436</v>
      </c>
      <c r="I13" s="4">
        <v>38974</v>
      </c>
      <c r="J13" s="4">
        <v>39000</v>
      </c>
      <c r="K13" s="1" t="s">
        <v>453</v>
      </c>
    </row>
    <row r="14" spans="1:11" ht="27" customHeight="1" x14ac:dyDescent="0.2">
      <c r="A14" s="1" t="s">
        <v>463</v>
      </c>
      <c r="B14" s="563" t="s">
        <v>466</v>
      </c>
      <c r="C14" s="564"/>
      <c r="D14" s="543" t="s">
        <v>465</v>
      </c>
      <c r="E14" s="544"/>
      <c r="F14" s="545"/>
      <c r="G14" s="1" t="s">
        <v>457</v>
      </c>
      <c r="H14" s="1" t="s">
        <v>436</v>
      </c>
      <c r="I14" s="4">
        <v>38974</v>
      </c>
      <c r="J14" s="4">
        <v>39000</v>
      </c>
      <c r="K14" s="1" t="s">
        <v>453</v>
      </c>
    </row>
    <row r="15" spans="1:11" ht="27.75" customHeight="1" x14ac:dyDescent="0.2">
      <c r="A15" s="1" t="s">
        <v>468</v>
      </c>
      <c r="B15" s="563" t="s">
        <v>466</v>
      </c>
      <c r="C15" s="564"/>
      <c r="D15" s="543" t="s">
        <v>469</v>
      </c>
      <c r="E15" s="544"/>
      <c r="F15" s="545"/>
      <c r="G15" s="1" t="s">
        <v>457</v>
      </c>
      <c r="H15" s="1" t="s">
        <v>436</v>
      </c>
      <c r="I15" s="4">
        <v>38974</v>
      </c>
      <c r="J15" s="4">
        <v>39000</v>
      </c>
      <c r="K15" s="1" t="s">
        <v>453</v>
      </c>
    </row>
    <row r="16" spans="1:11" x14ac:dyDescent="0.2">
      <c r="A16" s="1" t="s">
        <v>470</v>
      </c>
      <c r="B16" s="543" t="s">
        <v>475</v>
      </c>
      <c r="C16" s="545"/>
      <c r="D16" s="543" t="s">
        <v>471</v>
      </c>
      <c r="E16" s="544"/>
      <c r="F16" s="545"/>
      <c r="G16" s="1" t="s">
        <v>472</v>
      </c>
      <c r="H16" s="1" t="s">
        <v>436</v>
      </c>
      <c r="I16" s="1"/>
      <c r="J16" s="1"/>
      <c r="K16" s="1" t="s">
        <v>505</v>
      </c>
    </row>
    <row r="17" spans="1:11" x14ac:dyDescent="0.2">
      <c r="A17" s="1" t="s">
        <v>476</v>
      </c>
      <c r="B17" s="543" t="s">
        <v>477</v>
      </c>
      <c r="C17" s="545"/>
      <c r="D17" s="543" t="s">
        <v>478</v>
      </c>
      <c r="E17" s="544"/>
      <c r="F17" s="545"/>
      <c r="G17" s="1" t="s">
        <v>472</v>
      </c>
      <c r="H17" s="1" t="s">
        <v>436</v>
      </c>
      <c r="I17" s="4">
        <v>39000</v>
      </c>
      <c r="J17" s="4">
        <v>39001</v>
      </c>
      <c r="K17" s="1" t="s">
        <v>453</v>
      </c>
    </row>
    <row r="18" spans="1:11" x14ac:dyDescent="0.2">
      <c r="A18" s="1" t="s">
        <v>479</v>
      </c>
      <c r="B18" s="543" t="s">
        <v>480</v>
      </c>
      <c r="C18" s="545"/>
      <c r="D18" s="543" t="s">
        <v>438</v>
      </c>
      <c r="E18" s="544"/>
      <c r="F18" s="545"/>
      <c r="G18" s="1" t="s">
        <v>481</v>
      </c>
      <c r="H18" s="1" t="s">
        <v>436</v>
      </c>
      <c r="I18" s="4">
        <v>38982</v>
      </c>
      <c r="J18" s="2" t="s">
        <v>1173</v>
      </c>
      <c r="K18" s="2" t="s">
        <v>1173</v>
      </c>
    </row>
    <row r="19" spans="1:11" x14ac:dyDescent="0.2">
      <c r="A19" s="1" t="s">
        <v>482</v>
      </c>
      <c r="B19" s="543" t="s">
        <v>483</v>
      </c>
      <c r="C19" s="545"/>
      <c r="D19" s="543" t="s">
        <v>438</v>
      </c>
      <c r="E19" s="544"/>
      <c r="F19" s="545"/>
      <c r="G19" s="1" t="s">
        <v>436</v>
      </c>
      <c r="H19" s="1" t="s">
        <v>441</v>
      </c>
      <c r="I19" s="4">
        <v>39023</v>
      </c>
      <c r="J19" s="4">
        <v>39023</v>
      </c>
      <c r="K19" s="1" t="s">
        <v>453</v>
      </c>
    </row>
    <row r="20" spans="1:11" x14ac:dyDescent="0.2">
      <c r="A20" s="1" t="s">
        <v>484</v>
      </c>
      <c r="B20" s="543" t="s">
        <v>485</v>
      </c>
      <c r="C20" s="545"/>
      <c r="D20" s="543" t="s">
        <v>438</v>
      </c>
      <c r="E20" s="544"/>
      <c r="F20" s="545"/>
      <c r="G20" s="1" t="s">
        <v>486</v>
      </c>
      <c r="H20" s="1" t="s">
        <v>436</v>
      </c>
      <c r="I20" s="4">
        <v>39021</v>
      </c>
      <c r="J20" s="4">
        <v>39056</v>
      </c>
      <c r="K20" s="1" t="s">
        <v>453</v>
      </c>
    </row>
    <row r="21" spans="1:11" x14ac:dyDescent="0.2">
      <c r="A21" s="1" t="s">
        <v>487</v>
      </c>
      <c r="B21" s="543" t="s">
        <v>488</v>
      </c>
      <c r="C21" s="545"/>
      <c r="D21" s="543" t="s">
        <v>438</v>
      </c>
      <c r="E21" s="544"/>
      <c r="F21" s="545"/>
      <c r="G21" s="1" t="s">
        <v>489</v>
      </c>
      <c r="H21" s="1" t="s">
        <v>436</v>
      </c>
      <c r="I21" s="4">
        <v>39029</v>
      </c>
      <c r="J21" s="1" t="s">
        <v>1173</v>
      </c>
      <c r="K21" s="1" t="s">
        <v>1173</v>
      </c>
    </row>
    <row r="22" spans="1:11" x14ac:dyDescent="0.2">
      <c r="A22" s="1" t="s">
        <v>490</v>
      </c>
      <c r="B22" s="543" t="s">
        <v>491</v>
      </c>
      <c r="C22" s="545"/>
      <c r="D22" s="543" t="s">
        <v>438</v>
      </c>
      <c r="E22" s="544"/>
      <c r="F22" s="545"/>
      <c r="G22" s="1" t="s">
        <v>436</v>
      </c>
      <c r="H22" s="1" t="s">
        <v>441</v>
      </c>
      <c r="I22" s="4">
        <v>39049</v>
      </c>
      <c r="J22" s="1" t="s">
        <v>1173</v>
      </c>
      <c r="K22" s="1" t="s">
        <v>1173</v>
      </c>
    </row>
    <row r="23" spans="1:11" x14ac:dyDescent="0.2">
      <c r="A23" s="1" t="s">
        <v>492</v>
      </c>
      <c r="B23" s="543" t="s">
        <v>493</v>
      </c>
      <c r="C23" s="545"/>
      <c r="D23" s="543" t="s">
        <v>499</v>
      </c>
      <c r="E23" s="544"/>
      <c r="F23" s="545"/>
      <c r="G23" s="1" t="s">
        <v>457</v>
      </c>
      <c r="H23" s="1" t="s">
        <v>436</v>
      </c>
      <c r="I23" s="4">
        <v>39064</v>
      </c>
      <c r="J23" s="4">
        <v>39069</v>
      </c>
      <c r="K23" s="1" t="s">
        <v>453</v>
      </c>
    </row>
    <row r="24" spans="1:11" x14ac:dyDescent="0.2">
      <c r="A24" s="1" t="s">
        <v>494</v>
      </c>
      <c r="B24" s="543" t="s">
        <v>496</v>
      </c>
      <c r="C24" s="545"/>
      <c r="D24" s="543" t="s">
        <v>497</v>
      </c>
      <c r="E24" s="544"/>
      <c r="F24" s="545"/>
      <c r="G24" s="1" t="s">
        <v>495</v>
      </c>
      <c r="H24" s="1" t="s">
        <v>436</v>
      </c>
      <c r="I24" s="4">
        <v>39065</v>
      </c>
      <c r="J24" s="4">
        <v>39084</v>
      </c>
      <c r="K24" s="1" t="s">
        <v>453</v>
      </c>
    </row>
    <row r="25" spans="1:11" x14ac:dyDescent="0.2">
      <c r="A25" s="1"/>
      <c r="B25" s="543"/>
      <c r="C25" s="545"/>
      <c r="D25" s="543"/>
      <c r="E25" s="544"/>
      <c r="F25" s="545"/>
      <c r="G25" s="1"/>
      <c r="H25" s="1"/>
      <c r="I25" s="4"/>
      <c r="J25" s="2"/>
      <c r="K25" s="2"/>
    </row>
    <row r="26" spans="1:11" x14ac:dyDescent="0.2">
      <c r="A26" s="3"/>
      <c r="B26" s="558"/>
      <c r="C26" s="560"/>
      <c r="D26" s="558"/>
      <c r="E26" s="559"/>
      <c r="F26" s="560"/>
      <c r="G26" s="3"/>
      <c r="H26" s="3"/>
      <c r="I26" s="3"/>
      <c r="J26" s="3"/>
      <c r="K26" s="3"/>
    </row>
    <row r="27" spans="1:11" x14ac:dyDescent="0.2">
      <c r="D27" s="546" t="s">
        <v>458</v>
      </c>
      <c r="E27" s="546"/>
      <c r="F27" s="546"/>
    </row>
  </sheetData>
  <mergeCells count="52">
    <mergeCell ref="B15:C15"/>
    <mergeCell ref="D15:F15"/>
    <mergeCell ref="B13:C13"/>
    <mergeCell ref="D13:F13"/>
    <mergeCell ref="B14:C14"/>
    <mergeCell ref="D14:F14"/>
    <mergeCell ref="B6:C6"/>
    <mergeCell ref="D6:F6"/>
    <mergeCell ref="B10:C10"/>
    <mergeCell ref="D10:F10"/>
    <mergeCell ref="B7:C7"/>
    <mergeCell ref="D7:F7"/>
    <mergeCell ref="B9:C9"/>
    <mergeCell ref="D9:F9"/>
    <mergeCell ref="D22:F22"/>
    <mergeCell ref="B20:C20"/>
    <mergeCell ref="B21:C21"/>
    <mergeCell ref="B22:C22"/>
    <mergeCell ref="B8:C8"/>
    <mergeCell ref="D8:F8"/>
    <mergeCell ref="B17:C17"/>
    <mergeCell ref="B18:C18"/>
    <mergeCell ref="B11:C11"/>
    <mergeCell ref="D11:F11"/>
    <mergeCell ref="D19:F19"/>
    <mergeCell ref="D20:F20"/>
    <mergeCell ref="B19:C19"/>
    <mergeCell ref="D21:F21"/>
    <mergeCell ref="B12:C12"/>
    <mergeCell ref="D12:F12"/>
    <mergeCell ref="B2:C2"/>
    <mergeCell ref="D2:F2"/>
    <mergeCell ref="B3:C3"/>
    <mergeCell ref="B4:C4"/>
    <mergeCell ref="D3:F3"/>
    <mergeCell ref="D4:F4"/>
    <mergeCell ref="B5:C5"/>
    <mergeCell ref="D5:F5"/>
    <mergeCell ref="D27:F27"/>
    <mergeCell ref="A1:K1"/>
    <mergeCell ref="D23:F23"/>
    <mergeCell ref="D24:F24"/>
    <mergeCell ref="D25:F25"/>
    <mergeCell ref="D26:F26"/>
    <mergeCell ref="B23:C23"/>
    <mergeCell ref="B16:C16"/>
    <mergeCell ref="B24:C24"/>
    <mergeCell ref="B25:C25"/>
    <mergeCell ref="B26:C26"/>
    <mergeCell ref="D16:F16"/>
    <mergeCell ref="D17:F17"/>
    <mergeCell ref="D18:F18"/>
  </mergeCells>
  <phoneticPr fontId="4" type="noConversion"/>
  <pageMargins left="0.75" right="0.75" top="1" bottom="1" header="0.5" footer="0.5"/>
  <pageSetup orientation="landscape" r:id="rId1"/>
  <headerFooter alignWithMargins="0">
    <oddFooter>&amp;R&amp;D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B2:Y43"/>
  <sheetViews>
    <sheetView workbookViewId="0">
      <selection activeCell="R11" sqref="R11"/>
    </sheetView>
  </sheetViews>
  <sheetFormatPr defaultRowHeight="12.75" x14ac:dyDescent="0.2"/>
  <cols>
    <col min="8" max="8" width="13.42578125" customWidth="1"/>
    <col min="9" max="9" width="9.5703125" bestFit="1" customWidth="1"/>
  </cols>
  <sheetData>
    <row r="2" spans="2:25" x14ac:dyDescent="0.2">
      <c r="B2" s="387" t="s">
        <v>5869</v>
      </c>
    </row>
    <row r="4" spans="2:25" ht="38.25" x14ac:dyDescent="0.2">
      <c r="B4" s="450" t="s">
        <v>5870</v>
      </c>
      <c r="C4" s="450" t="s">
        <v>5871</v>
      </c>
      <c r="D4" s="450" t="s">
        <v>3220</v>
      </c>
      <c r="E4" s="450" t="s">
        <v>3226</v>
      </c>
      <c r="F4" s="450" t="s">
        <v>2847</v>
      </c>
      <c r="G4" s="450" t="s">
        <v>2853</v>
      </c>
      <c r="H4" s="451" t="s">
        <v>5872</v>
      </c>
      <c r="I4" s="450" t="s">
        <v>6000</v>
      </c>
      <c r="J4" s="450" t="s">
        <v>6001</v>
      </c>
      <c r="K4" s="450" t="s">
        <v>6002</v>
      </c>
    </row>
    <row r="5" spans="2:25" x14ac:dyDescent="0.2">
      <c r="B5" s="34">
        <v>2016</v>
      </c>
      <c r="C5" s="34">
        <f>COUNTIF('Q011-04 (2016)'!A:A, "C*")</f>
        <v>99</v>
      </c>
      <c r="D5" s="34">
        <f>COUNTIF('Q011-04 (2016)'!F:F, 1)</f>
        <v>91</v>
      </c>
      <c r="E5" s="34">
        <f>COUNTIF('Q011-04 (2016)'!F:F, 2)</f>
        <v>8</v>
      </c>
      <c r="F5" s="34">
        <f>COUNTIF('Q011-04 (2016)'!M:M, "Open")</f>
        <v>0</v>
      </c>
      <c r="G5" s="34">
        <f>COUNTIF('Q011-04 (2016)'!M:M, "Closed")</f>
        <v>95</v>
      </c>
      <c r="H5" s="452">
        <f>SUMIFS('Q011-04 (2016)'!S:S,'Q011-04 (2016)'!S:S, "&gt;=0")/COUNTIF('Q011-04 (2016)'!S:S, "&gt;=0")</f>
        <v>36.166666666666664</v>
      </c>
      <c r="I5" s="453">
        <f>COUNTIF('Q011-04 (2016)'!P:P, "y")/COUNTIF('Q011-04 (2016)'!M:M, "Closed")</f>
        <v>0.62105263157894741</v>
      </c>
      <c r="J5" s="453"/>
      <c r="K5" s="453"/>
    </row>
    <row r="6" spans="2:25" x14ac:dyDescent="0.2">
      <c r="B6" s="34">
        <v>2017</v>
      </c>
      <c r="C6" s="34">
        <f>COUNTIF('Q011-05 (2017)'!A:A, "C*")</f>
        <v>147</v>
      </c>
      <c r="D6" s="34">
        <f>COUNTIF('Q011-05 (2017)'!F:F, 1)</f>
        <v>138</v>
      </c>
      <c r="E6" s="34">
        <f>COUNTIF('Q011-05 (2017)'!F:F, 2)</f>
        <v>9</v>
      </c>
      <c r="F6" s="34">
        <f>COUNTIF('Q011-05 (2017)'!M:M, "Open")</f>
        <v>0</v>
      </c>
      <c r="G6" s="34">
        <f>COUNTIF('Q011-05 (2017)'!M:M, "Closed")</f>
        <v>142</v>
      </c>
      <c r="H6" s="452">
        <f>SUMIFS('Q011-05 (2017)'!S:S,'Q011-05 (2017)'!S:S, "&gt;=0")/COUNTIF('Q011-05 (2017)'!S:S, "&gt;=0")</f>
        <v>42.75</v>
      </c>
      <c r="I6" s="453">
        <f>COUNTIF('Q011-05 (2017)'!P:P, "Yes")/COUNTIF('Q011-05 (2017)'!M:M, "Closed")</f>
        <v>0.84507042253521125</v>
      </c>
      <c r="J6" s="453"/>
      <c r="K6" s="453"/>
      <c r="R6" t="s">
        <v>6014</v>
      </c>
      <c r="S6">
        <v>2018</v>
      </c>
      <c r="T6">
        <v>2019</v>
      </c>
      <c r="U6">
        <v>2020</v>
      </c>
      <c r="V6">
        <v>2021</v>
      </c>
      <c r="W6">
        <v>2017</v>
      </c>
      <c r="X6">
        <v>2016</v>
      </c>
      <c r="Y6" t="s">
        <v>2828</v>
      </c>
    </row>
    <row r="7" spans="2:25" x14ac:dyDescent="0.2">
      <c r="B7" s="34">
        <v>2018</v>
      </c>
      <c r="C7" s="34">
        <f>COUNTIF('Q011-06 (2018)'!A:A, "C*")</f>
        <v>203</v>
      </c>
      <c r="D7" s="34">
        <f>COUNTIF('Q011-06 (2018)'!F:F, 1)</f>
        <v>199</v>
      </c>
      <c r="E7" s="34">
        <f>COUNTIF('Q011-06 (2018)'!F:F, 2)</f>
        <v>4</v>
      </c>
      <c r="F7" s="34">
        <f>COUNTIF('Q011-06 (2018)'!M:M, "Open")</f>
        <v>0</v>
      </c>
      <c r="G7" s="34">
        <f>COUNTIF('Q011-06 (2018)'!M:M, "Closed")</f>
        <v>199</v>
      </c>
      <c r="H7" s="452">
        <f>SUMIFS('Q011-06 (2018)'!S:S,'Q011-06 (2018)'!S:S, "&gt;=0")/COUNTIF('Q011-06 (2018)'!S:S, "&gt;=0")</f>
        <v>49.758793969849243</v>
      </c>
      <c r="I7" s="453">
        <f>COUNTIF('Q011-06 (2018)'!P:P, "yes")/COUNTIF('Q011-06 (2018)'!M:M, "Closed")</f>
        <v>0.77386934673366836</v>
      </c>
      <c r="J7" s="453">
        <f>COUNTIF(Table7[FIRST EXTENSION], "&gt;0")/COUNTIF(Table7[CURRENT STATUS], "Closed")</f>
        <v>0</v>
      </c>
      <c r="K7" s="453">
        <f>COUNTIF(Table7[FINAL EXTENSION], "&gt;0")/COUNTIF(Table7[CURRENT STATUS], "Closed")</f>
        <v>0</v>
      </c>
      <c r="R7" t="s">
        <v>2828</v>
      </c>
      <c r="S7">
        <f>COUNTIF(Table7[SYSTEM], 'Yearly Metrics'!R7)</f>
        <v>106</v>
      </c>
      <c r="T7">
        <f>COUNTIF(Table137[SYSTEM], 'Yearly Metrics'!$R7)</f>
        <v>78</v>
      </c>
      <c r="U7">
        <f>COUNTIF(Table1372[SYSTEM], 'Yearly Metrics'!$R7)</f>
        <v>86</v>
      </c>
      <c r="V7">
        <f>COUNTIF(Table13723[SYSTEM], 'Yearly Metrics'!$R7)</f>
        <v>63</v>
      </c>
      <c r="W7">
        <f>COUNTIF(Table5[SYSTEM], 'Yearly Metrics'!$R7)</f>
        <v>68</v>
      </c>
      <c r="X7">
        <f>COUNTIF(Table4[SYSTEM], "a")</f>
        <v>49</v>
      </c>
      <c r="Y7" t="s">
        <v>2831</v>
      </c>
    </row>
    <row r="8" spans="2:25" x14ac:dyDescent="0.2">
      <c r="B8" s="34">
        <v>2019</v>
      </c>
      <c r="C8" s="34">
        <f>COUNTIF('Q011-07 (2019)'!A:A, "C*")</f>
        <v>195</v>
      </c>
      <c r="D8" s="34">
        <f>COUNTIF('Q011-07 (2019)'!F:F, 1)</f>
        <v>190</v>
      </c>
      <c r="E8" s="34">
        <f>COUNTIF('Q011-07 (2019)'!F:F, 2)</f>
        <v>5</v>
      </c>
      <c r="F8" s="34">
        <f>COUNTIF('Q011-07 (2019)'!M:M, "Open")</f>
        <v>5</v>
      </c>
      <c r="G8" s="34">
        <f>COUNTIF('Q011-07 (2019)'!M:M, "Closed")</f>
        <v>189</v>
      </c>
      <c r="H8" s="452">
        <f>SUMIFS('Q011-07 (2019)'!S:S, 'Q011-07 (2019)'!S:S, "&gt;=0")/COUNTIF('Q011-07 (2019)'!S:S, "&gt;=0")</f>
        <v>43.550264550264551</v>
      </c>
      <c r="I8" s="453">
        <f>COUNTIF('Q011-07 (2019)'!P:P,"Yes")/COUNTIF('Q011-07 (2019)'!M:M,"Closed")</f>
        <v>0.8835978835978836</v>
      </c>
      <c r="J8" s="453">
        <f>COUNTIF(Table137[FIRST EXTENSION], "&gt;0")/COUNTIF(Table137[CURRENT STATUS], "Closed")</f>
        <v>6.8783068783068779E-2</v>
      </c>
      <c r="K8" s="453">
        <f>COUNTIF(Table137[FINAL EXTENSION], "&gt;0")/COUNTIF(Table137[CURRENT STATUS], "Closed")</f>
        <v>1.5873015873015872E-2</v>
      </c>
      <c r="R8" t="s">
        <v>2831</v>
      </c>
      <c r="S8">
        <f>COUNTIF(Table7[SYSTEM], 'Yearly Metrics'!R8)</f>
        <v>0</v>
      </c>
      <c r="T8">
        <f>COUNTIF(Table137[SYSTEM], 'Yearly Metrics'!$R8)</f>
        <v>1</v>
      </c>
      <c r="U8">
        <f>COUNTIF(Table1372[SYSTEM], 'Yearly Metrics'!$R8)</f>
        <v>0</v>
      </c>
      <c r="V8">
        <f>COUNTIF(Table13723[SYSTEM], 'Yearly Metrics'!$R8)</f>
        <v>2</v>
      </c>
      <c r="W8">
        <f>COUNTIF(Table5[SYSTEM], 'Yearly Metrics'!$R8)</f>
        <v>1</v>
      </c>
      <c r="X8">
        <f>COUNTIF(Table4[SYSTEM], "br")</f>
        <v>0</v>
      </c>
      <c r="Y8" t="s">
        <v>2834</v>
      </c>
    </row>
    <row r="9" spans="2:25" x14ac:dyDescent="0.2">
      <c r="B9" s="34">
        <v>2020</v>
      </c>
      <c r="C9" s="34">
        <f>COUNTIF('Q011-08 (2020)'!A:A, "C*")</f>
        <v>227</v>
      </c>
      <c r="D9" s="34">
        <f>COUNTIF('Q011-08 (2020)'!F:F, 1)</f>
        <v>225</v>
      </c>
      <c r="E9" s="34">
        <f>COUNTIF('Q011-08 (2020)'!F:F, 2)</f>
        <v>2</v>
      </c>
      <c r="F9" s="34">
        <f>COUNTIF(Table1372[CURRENT STATUS], "Open")</f>
        <v>7</v>
      </c>
      <c r="G9" s="34">
        <f>COUNTIF(Table1372[CURRENT STATUS], "Closed")</f>
        <v>216</v>
      </c>
      <c r="H9" s="452">
        <f>SUMIFS('Q011-08 (2020)'!S:S, 'Q011-08 (2020)'!S:S, "&gt;=0")/COUNTIF('Q011-08 (2020)'!S:S, "&gt;=0")</f>
        <v>28.585253456221199</v>
      </c>
      <c r="I9" s="453">
        <f>COUNTIF(Table1372[TARGET DATE MET?], "Yes")/COUNTIF(Table1372[CURRENT STATUS], "Closed")</f>
        <v>0.93518518518518523</v>
      </c>
      <c r="J9" s="453">
        <f>COUNTIF(Table1372[FIRST EXTENSION], "&gt;0")/COUNTIF(Table1372[CURRENT STATUS], "Closed")</f>
        <v>7.8703703703703706E-2</v>
      </c>
      <c r="K9" s="453">
        <f>COUNTIF(Table1372[FINAL EXTENSION], "&gt;0")/COUNTIF(Table1372[CURRENT STATUS], "Closed")</f>
        <v>1.8518518518518517E-2</v>
      </c>
      <c r="R9" t="s">
        <v>2834</v>
      </c>
      <c r="S9">
        <f>COUNTIF(Table7[SYSTEM], 'Yearly Metrics'!R9)</f>
        <v>0</v>
      </c>
      <c r="T9">
        <f>COUNTIF(Table137[SYSTEM], 'Yearly Metrics'!$R9)</f>
        <v>3</v>
      </c>
      <c r="U9">
        <f>COUNTIF(Table1372[SYSTEM], 'Yearly Metrics'!$R9)</f>
        <v>1</v>
      </c>
      <c r="V9">
        <f>COUNTIF(Table13723[SYSTEM], 'Yearly Metrics'!$R9)</f>
        <v>6</v>
      </c>
      <c r="W9">
        <f>COUNTIF(Table5[SYSTEM], 'Yearly Metrics'!$R9)</f>
        <v>0</v>
      </c>
      <c r="X9">
        <f>COUNTIF(Table4[SYSTEM], "se")</f>
        <v>3</v>
      </c>
      <c r="Y9" t="s">
        <v>2836</v>
      </c>
    </row>
    <row r="10" spans="2:25" x14ac:dyDescent="0.2">
      <c r="B10" s="34">
        <v>2021</v>
      </c>
      <c r="C10" s="34">
        <f>COUNTIF('Q011-09 (2021)'!A:A, "C*")</f>
        <v>172</v>
      </c>
      <c r="D10" s="34">
        <f>COUNTIF('Q011-09 (2021)'!F:F, 1)</f>
        <v>171</v>
      </c>
      <c r="E10" s="34">
        <f>COUNTIF('Q011-09 (2021)'!F:F, 2)</f>
        <v>1</v>
      </c>
      <c r="F10" s="34">
        <f>COUNTIF(Table13723[CURRENT STATUS], "Open")</f>
        <v>46</v>
      </c>
      <c r="G10" s="34">
        <f>COUNTIF(Table13723[CURRENT STATUS], "Closed")</f>
        <v>126</v>
      </c>
      <c r="H10" s="452">
        <f>SUMIFS('Q011-09 (2021)'!S:S, 'Q011-09 (2021)'!S:S, "&gt;=0")/COUNTIF('Q011-09 (2021)'!S:S, "&gt;=0")</f>
        <v>15.948905109489051</v>
      </c>
      <c r="I10" s="453">
        <f>COUNTIF(Table13723[TARGET DATE MET?], "Yes")/COUNTIF(Table13723[CURRENT STATUS], "Closed")</f>
        <v>0.96031746031746035</v>
      </c>
      <c r="J10" s="453">
        <f>COUNTIF(Table13723[FIRST EXTENSION], "&gt;0")/COUNTIF(Table13723[CURRENT STATUS], "Closed")</f>
        <v>4.7619047619047616E-2</v>
      </c>
      <c r="K10" s="453">
        <f>COUNTIF(Table13723[FINAL EXTENSION], "&gt;0")/COUNTIF(Table13723[CURRENT STATUS], "Closed")</f>
        <v>0</v>
      </c>
      <c r="R10" t="s">
        <v>2836</v>
      </c>
      <c r="S10">
        <f>COUNTIF(Table7[SYSTEM], 'Yearly Metrics'!R10)</f>
        <v>12</v>
      </c>
      <c r="T10">
        <f>COUNTIF(Table137[SYSTEM], 'Yearly Metrics'!$R10)</f>
        <v>28</v>
      </c>
      <c r="U10">
        <f>COUNTIF(Table1372[SYSTEM], 'Yearly Metrics'!$R10)</f>
        <v>16</v>
      </c>
      <c r="V10">
        <f>COUNTIF(Table13723[SYSTEM], 'Yearly Metrics'!$R10)</f>
        <v>27</v>
      </c>
      <c r="W10">
        <f>COUNTIF(Table5[SYSTEM], 'Yearly Metrics'!$R10)</f>
        <v>12</v>
      </c>
      <c r="X10">
        <f>COUNTIF(Table4[SYSTEM], "e")</f>
        <v>1</v>
      </c>
      <c r="Y10" t="s">
        <v>2838</v>
      </c>
    </row>
    <row r="11" spans="2:25" x14ac:dyDescent="0.2">
      <c r="R11" t="s">
        <v>2838</v>
      </c>
      <c r="S11">
        <f>COUNTIF(Table7[SYSTEM], 'Yearly Metrics'!R11)</f>
        <v>13</v>
      </c>
      <c r="T11">
        <f>COUNTIF(Table137[SYSTEM], 'Yearly Metrics'!$R11)</f>
        <v>17</v>
      </c>
      <c r="U11">
        <f>COUNTIF(Table1372[SYSTEM], 'Yearly Metrics'!$R11)</f>
        <v>16</v>
      </c>
      <c r="V11">
        <f>COUNTIF(Table13723[SYSTEM], 'Yearly Metrics'!$R11)</f>
        <v>17</v>
      </c>
      <c r="W11">
        <f>COUNTIF(Table5[SYSTEM], 'Yearly Metrics'!$R11)</f>
        <v>15</v>
      </c>
      <c r="X11">
        <f>COUNTIF(Table4[SYSTEM], "f")</f>
        <v>14</v>
      </c>
      <c r="Y11" t="s">
        <v>2840</v>
      </c>
    </row>
    <row r="12" spans="2:25" x14ac:dyDescent="0.2">
      <c r="B12" t="s">
        <v>5927</v>
      </c>
      <c r="R12" t="s">
        <v>2840</v>
      </c>
      <c r="S12">
        <f>COUNTIF(Table7[SYSTEM], 'Yearly Metrics'!R12)</f>
        <v>0</v>
      </c>
      <c r="T12">
        <f>COUNTIF(Table137[SYSTEM], 'Yearly Metrics'!$R12)</f>
        <v>7</v>
      </c>
      <c r="U12">
        <f>COUNTIF(Table1372[SYSTEM], 'Yearly Metrics'!$R12)</f>
        <v>20</v>
      </c>
      <c r="V12">
        <f>COUNTIF(Table13723[SYSTEM], 'Yearly Metrics'!$R12)</f>
        <v>13</v>
      </c>
      <c r="W12">
        <f>COUNTIF(Table5[SYSTEM], 'Yearly Metrics'!$R12)</f>
        <v>3</v>
      </c>
      <c r="X12">
        <f>COUNTIF(Table4[SYSTEM], "d")</f>
        <v>3</v>
      </c>
      <c r="Y12" t="s">
        <v>2841</v>
      </c>
    </row>
    <row r="13" spans="2:25" x14ac:dyDescent="0.2">
      <c r="R13" t="s">
        <v>2841</v>
      </c>
      <c r="S13">
        <f>COUNTIF(Table7[SYSTEM], 'Yearly Metrics'!R13)</f>
        <v>61</v>
      </c>
      <c r="T13">
        <f>COUNTIF(Table137[SYSTEM], 'Yearly Metrics'!$R13)</f>
        <v>61</v>
      </c>
      <c r="U13">
        <f>COUNTIF(Table1372[SYSTEM], 'Yearly Metrics'!$R13)</f>
        <v>88</v>
      </c>
      <c r="V13">
        <f>COUNTIF(Table13723[SYSTEM], 'Yearly Metrics'!$R13)</f>
        <v>44</v>
      </c>
      <c r="W13">
        <f>COUNTIF(Table5[SYSTEM], 'Yearly Metrics'!$R13)</f>
        <v>48</v>
      </c>
      <c r="X13">
        <f>COUNTIF(Table4[SYSTEM], "sop")</f>
        <v>29</v>
      </c>
    </row>
    <row r="36" spans="19:20" x14ac:dyDescent="0.2">
      <c r="S36" s="454" t="s">
        <v>6014</v>
      </c>
      <c r="T36" s="454">
        <v>2021</v>
      </c>
    </row>
    <row r="37" spans="19:20" x14ac:dyDescent="0.2">
      <c r="S37" s="454" t="s">
        <v>2828</v>
      </c>
      <c r="T37" s="454">
        <v>32</v>
      </c>
    </row>
    <row r="38" spans="19:20" x14ac:dyDescent="0.2">
      <c r="S38" s="454" t="s">
        <v>2831</v>
      </c>
      <c r="T38" s="454">
        <v>2</v>
      </c>
    </row>
    <row r="39" spans="19:20" x14ac:dyDescent="0.2">
      <c r="S39" s="454" t="s">
        <v>2834</v>
      </c>
      <c r="T39" s="454">
        <v>4</v>
      </c>
    </row>
    <row r="40" spans="19:20" x14ac:dyDescent="0.2">
      <c r="S40" s="454" t="s">
        <v>2836</v>
      </c>
      <c r="T40" s="454">
        <v>21</v>
      </c>
    </row>
    <row r="41" spans="19:20" x14ac:dyDescent="0.2">
      <c r="S41" s="454" t="s">
        <v>2838</v>
      </c>
      <c r="T41" s="454">
        <v>8</v>
      </c>
    </row>
    <row r="42" spans="19:20" x14ac:dyDescent="0.2">
      <c r="S42" s="454" t="s">
        <v>2840</v>
      </c>
      <c r="T42" s="454">
        <v>10</v>
      </c>
    </row>
    <row r="43" spans="19:20" x14ac:dyDescent="0.2">
      <c r="S43" s="454" t="s">
        <v>2841</v>
      </c>
      <c r="T43" s="454">
        <v>22</v>
      </c>
    </row>
  </sheetData>
  <autoFilter ref="B4:K9" xr:uid="{07DE9657-4229-4B06-83CC-4DE8642ABCD8}">
    <sortState xmlns:xlrd2="http://schemas.microsoft.com/office/spreadsheetml/2017/richdata2" ref="B5:K9">
      <sortCondition ref="B4"/>
    </sortState>
  </autoFilter>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349A3-141A-4AE2-B680-6ADB26F0B7AC}">
  <dimension ref="B3:T24"/>
  <sheetViews>
    <sheetView workbookViewId="0">
      <selection activeCell="V12" sqref="V12"/>
    </sheetView>
  </sheetViews>
  <sheetFormatPr defaultRowHeight="12.75" x14ac:dyDescent="0.2"/>
  <cols>
    <col min="3" max="3" width="9.28515625" bestFit="1" customWidth="1"/>
    <col min="4" max="4" width="10.140625" bestFit="1" customWidth="1"/>
  </cols>
  <sheetData>
    <row r="3" spans="2:13" ht="25.5" x14ac:dyDescent="0.2">
      <c r="B3" s="476">
        <v>2021</v>
      </c>
      <c r="C3" s="476" t="s">
        <v>6243</v>
      </c>
      <c r="D3" s="476" t="s">
        <v>6244</v>
      </c>
      <c r="E3" s="450" t="s">
        <v>5871</v>
      </c>
      <c r="F3" s="450" t="s">
        <v>3220</v>
      </c>
      <c r="G3" s="450" t="s">
        <v>3226</v>
      </c>
      <c r="H3" s="450" t="s">
        <v>2847</v>
      </c>
      <c r="I3" s="450" t="s">
        <v>2853</v>
      </c>
      <c r="J3" s="451" t="s">
        <v>6250</v>
      </c>
      <c r="K3" s="450" t="s">
        <v>6000</v>
      </c>
      <c r="L3" s="450" t="s">
        <v>6001</v>
      </c>
      <c r="M3" s="450" t="s">
        <v>6002</v>
      </c>
    </row>
    <row r="4" spans="2:13" x14ac:dyDescent="0.2">
      <c r="B4" s="476" t="s">
        <v>6245</v>
      </c>
      <c r="C4" s="477">
        <v>44197</v>
      </c>
      <c r="D4" s="477">
        <v>44561</v>
      </c>
      <c r="E4" s="34">
        <f>COUNTIFS('Q011-09 (2021)'!$A:$A, "C*",'Q011-09 (2021)'!$B:$B, CONCATENATE("&gt;=", 'Quarterly Metrics'!C4), 'Q011-09 (2021)'!$B:$B, CONCATENATE("&lt;", 'Quarterly Metrics'!D4+1))</f>
        <v>172</v>
      </c>
      <c r="F4" s="34">
        <f>COUNTIFS('Q011-09 (2021)'!F:F, 1, 'Q011-09 (2021)'!$B:$B, CONCATENATE("&gt;=", 'Quarterly Metrics'!C4), 'Q011-09 (2021)'!$B:$B, CONCATENATE("&lt;", 'Quarterly Metrics'!D4+1))</f>
        <v>171</v>
      </c>
      <c r="G4" s="34">
        <f>COUNTIFS('Q011-09 (2021)'!F:F, 2, 'Q011-09 (2021)'!$B:$B, CONCATENATE("&gt;=", 'Quarterly Metrics'!C4), 'Q011-09 (2021)'!$B:$B, CONCATENATE("&lt;", 'Quarterly Metrics'!D4+1))</f>
        <v>1</v>
      </c>
      <c r="H4" s="34">
        <f>COUNTIFS('Q011-09 (2021)'!$M:$M, "Open", 'Q011-09 (2021)'!$B:$B, CONCATENATE("&gt;=", 'Quarterly Metrics'!C4), 'Q011-09 (2021)'!$B:$B, CONCATENATE("&lt;", 'Quarterly Metrics'!D4+1))</f>
        <v>46</v>
      </c>
      <c r="I4" s="34">
        <f>COUNTIFS('Q011-09 (2021)'!$M:$M, "closed", 'Q011-09 (2021)'!$B:$B, CONCATENATE("&gt;=", 'Quarterly Metrics'!C4), 'Q011-09 (2021)'!$B:$B, CONCATENATE("&lt;", 'Quarterly Metrics'!D4+1))</f>
        <v>126</v>
      </c>
      <c r="J4" s="452">
        <f>SUMIFS('Q011-09 (2021)'!S:S, 'Q011-09 (2021)'!S:S, "&gt;=0", 'Q011-09 (2021)'!$B:$B, CONCATENATE("&gt;=", 'Quarterly Metrics'!C4), 'Q011-09 (2021)'!$B:$B, CONCATENATE("&lt;", 'Quarterly Metrics'!D4+1))/COUNTIFS('Q011-09 (2021)'!S:S, "&gt;=0", 'Q011-09 (2021)'!$B:$B, CONCATENATE("&gt;=", 'Quarterly Metrics'!C4), 'Q011-09 (2021)'!$B:$B, CONCATENATE("&lt;", 'Quarterly Metrics'!D4+1))</f>
        <v>17.341269841269842</v>
      </c>
      <c r="K4" s="453">
        <f>COUNTIFS('Q011-09 (2021)'!P:P, "Yes", 'Q011-09 (2021)'!$B:$B, CONCATENATE("&gt;=", 'Quarterly Metrics'!C4), 'Q011-09 (2021)'!$B:$B, CONCATENATE("&lt;", 'Quarterly Metrics'!D4+1))/COUNTIFS('Q011-09 (2021)'!M:M, "Closed", 'Q011-09 (2021)'!$B:$B, CONCATENATE("&gt;=", 'Quarterly Metrics'!C4), 'Q011-09 (2021)'!$B:$B, CONCATENATE("&lt;", 'Quarterly Metrics'!D4+1))</f>
        <v>0.96031746031746035</v>
      </c>
      <c r="L4" s="453">
        <f>COUNTIFS('Q011-09 (2021)'!K:K, "&gt;0", 'Q011-09 (2021)'!$B:$B, CONCATENATE("&gt;=", 'Quarterly Metrics'!C4), 'Q011-09 (2021)'!$B:$B, CONCATENATE("&lt;", 'Quarterly Metrics'!D4+1))/COUNTIFS('Q011-09 (2021)'!M:M, "Closed", 'Q011-09 (2021)'!$B:$B, CONCATENATE("&gt;=", 'Quarterly Metrics'!C4), 'Q011-09 (2021)'!$B:$B, CONCATENATE("&lt;", 'Quarterly Metrics'!D4+1))</f>
        <v>4.7619047619047616E-2</v>
      </c>
      <c r="M4" s="453">
        <f>COUNTIFS('Q011-09 (2021)'!L:L, "&gt;0", 'Q011-09 (2021)'!$B:$B, CONCATENATE("&gt;=", 'Quarterly Metrics'!C4), 'Q011-09 (2021)'!$B:$B, CONCATENATE("&lt;", 'Quarterly Metrics'!D4+1))/COUNTIFS('Q011-09 (2021)'!M:M, "Closed", 'Q011-09 (2021)'!$B:$B, CONCATENATE("&gt;=", 'Quarterly Metrics'!C4), 'Q011-09 (2021)'!$B:$B, CONCATENATE("&lt;", 'Quarterly Metrics'!D4+1))</f>
        <v>0</v>
      </c>
    </row>
    <row r="5" spans="2:13" x14ac:dyDescent="0.2">
      <c r="B5" s="476" t="s">
        <v>6246</v>
      </c>
      <c r="C5" s="477">
        <v>44197</v>
      </c>
      <c r="D5" s="477">
        <v>44286</v>
      </c>
      <c r="E5" s="34">
        <f>COUNTIFS('Q011-09 (2021)'!$A:$A, "C*",'Q011-09 (2021)'!$B:$B, CONCATENATE("&gt;=", 'Quarterly Metrics'!C5), 'Q011-09 (2021)'!$B:$B, CONCATENATE("&lt;", 'Quarterly Metrics'!D5+1))</f>
        <v>58</v>
      </c>
      <c r="F5" s="34">
        <f>COUNTIFS('Q011-09 (2021)'!F:F, 1, 'Q011-09 (2021)'!$B:$B, CONCATENATE("&gt;=", 'Quarterly Metrics'!C5), 'Q011-09 (2021)'!$B:$B, CONCATENATE("&lt;", 'Quarterly Metrics'!D5+1))</f>
        <v>58</v>
      </c>
      <c r="G5" s="34">
        <f>COUNTIFS('Q011-09 (2021)'!F:F, 2, 'Q011-09 (2021)'!$B:$B, CONCATENATE("&gt;=", 'Quarterly Metrics'!C5), 'Q011-09 (2021)'!$B:$B, CONCATENATE("&lt;", 'Quarterly Metrics'!D5+1))</f>
        <v>0</v>
      </c>
      <c r="H5" s="34">
        <f>COUNTIFS('Q011-09 (2021)'!$M:$M, "Open", 'Q011-09 (2021)'!$B:$B, CONCATENATE("&gt;=", 'Quarterly Metrics'!C5), 'Q011-09 (2021)'!$B:$B, CONCATENATE("&lt;", 'Quarterly Metrics'!D5+1))</f>
        <v>3</v>
      </c>
      <c r="I5" s="34">
        <f>COUNTIFS('Q011-09 (2021)'!$M:$M, "closed", 'Q011-09 (2021)'!$B:$B, CONCATENATE("&gt;=", 'Quarterly Metrics'!C5), 'Q011-09 (2021)'!$B:$B, CONCATENATE("&lt;", 'Quarterly Metrics'!D5+1))</f>
        <v>55</v>
      </c>
      <c r="J5" s="452">
        <f>SUMIFS('Q011-09 (2021)'!S:S, 'Q011-09 (2021)'!S:S, "&gt;=0", 'Q011-09 (2021)'!$B:$B, CONCATENATE("&gt;=", 'Quarterly Metrics'!C5), 'Q011-09 (2021)'!$B:$B, CONCATENATE("&lt;", 'Quarterly Metrics'!D5+1))/COUNTIFS('Q011-09 (2021)'!S:S, "&gt;=0", 'Q011-09 (2021)'!$B:$B, CONCATENATE("&gt;=", 'Quarterly Metrics'!C5), 'Q011-09 (2021)'!$B:$B, CONCATENATE("&lt;", 'Quarterly Metrics'!D5+1))</f>
        <v>18.09090909090909</v>
      </c>
      <c r="K5" s="453">
        <f>COUNTIFS('Q011-09 (2021)'!P:P, "Yes", 'Q011-09 (2021)'!$B:$B, CONCATENATE("&gt;=", 'Quarterly Metrics'!C5), 'Q011-09 (2021)'!$B:$B, CONCATENATE("&lt;", 'Quarterly Metrics'!D5+1))/COUNTIFS('Q011-09 (2021)'!M:M, "Closed", 'Q011-09 (2021)'!$B:$B, CONCATENATE("&gt;=", 'Quarterly Metrics'!C5), 'Q011-09 (2021)'!$B:$B, CONCATENATE("&lt;", 'Quarterly Metrics'!D5+1))</f>
        <v>0.96363636363636362</v>
      </c>
      <c r="L5" s="453">
        <f>COUNTIFS('Q011-09 (2021)'!K:K, "&gt;0", 'Q011-09 (2021)'!$B:$B, CONCATENATE("&gt;=", 'Quarterly Metrics'!C5), 'Q011-09 (2021)'!$B:$B, CONCATENATE("&lt;", 'Quarterly Metrics'!D5+1))/COUNTIFS('Q011-09 (2021)'!M:M, "Closed", 'Q011-09 (2021)'!$B:$B, CONCATENATE("&gt;=", 'Quarterly Metrics'!C5), 'Q011-09 (2021)'!$B:$B, CONCATENATE("&lt;", 'Quarterly Metrics'!D5+1))</f>
        <v>1.8181818181818181E-2</v>
      </c>
      <c r="M5" s="453">
        <f>COUNTIFS('Q011-09 (2021)'!L:L, "&gt;0", 'Q011-09 (2021)'!$B:$B, CONCATENATE("&gt;=", 'Quarterly Metrics'!C5), 'Q011-09 (2021)'!$B:$B, CONCATENATE("&lt;", 'Quarterly Metrics'!D5+1))/COUNTIFS('Q011-09 (2021)'!M:M, "Closed", 'Q011-09 (2021)'!$B:$B, CONCATENATE("&gt;=", 'Quarterly Metrics'!C5), 'Q011-09 (2021)'!$B:$B, CONCATENATE("&lt;", 'Quarterly Metrics'!D5+1))</f>
        <v>0</v>
      </c>
    </row>
    <row r="6" spans="2:13" x14ac:dyDescent="0.2">
      <c r="B6" s="476" t="s">
        <v>6247</v>
      </c>
      <c r="C6" s="477">
        <v>44287</v>
      </c>
      <c r="D6" s="477">
        <v>44377</v>
      </c>
      <c r="E6" s="34">
        <f>COUNTIFS('Q011-09 (2021)'!$A:$A, "C*",'Q011-09 (2021)'!$B:$B, CONCATENATE("&gt;=", 'Quarterly Metrics'!C6), 'Q011-09 (2021)'!$B:$B, CONCATENATE("&lt;", 'Quarterly Metrics'!D6+1))</f>
        <v>62</v>
      </c>
      <c r="F6" s="34">
        <f>COUNTIFS('Q011-09 (2021)'!F:F, 1, 'Q011-09 (2021)'!$B:$B, CONCATENATE("&gt;=", 'Quarterly Metrics'!C6), 'Q011-09 (2021)'!$B:$B, CONCATENATE("&lt;", 'Quarterly Metrics'!D6+1))</f>
        <v>61</v>
      </c>
      <c r="G6" s="34">
        <f>COUNTIFS('Q011-09 (2021)'!F:F, 2, 'Q011-09 (2021)'!$B:$B, CONCATENATE("&gt;=", 'Quarterly Metrics'!C6), 'Q011-09 (2021)'!$B:$B, CONCATENATE("&lt;", 'Quarterly Metrics'!D6+1))</f>
        <v>1</v>
      </c>
      <c r="H6" s="34">
        <f>COUNTIFS('Q011-09 (2021)'!$M:$M, "Open", 'Q011-09 (2021)'!$B:$B, CONCATENATE("&gt;=", 'Quarterly Metrics'!C6), 'Q011-09 (2021)'!$B:$B, CONCATENATE("&lt;", 'Quarterly Metrics'!D6+1))</f>
        <v>15</v>
      </c>
      <c r="I6" s="34">
        <f>COUNTIFS('Q011-09 (2021)'!$M:$M, "closed", 'Q011-09 (2021)'!$B:$B, CONCATENATE("&gt;=", 'Quarterly Metrics'!C6), 'Q011-09 (2021)'!$B:$B, CONCATENATE("&lt;", 'Quarterly Metrics'!D6+1))</f>
        <v>47</v>
      </c>
      <c r="J6" s="452">
        <f>SUMIFS('Q011-09 (2021)'!S:S, 'Q011-09 (2021)'!S:S, "&gt;=0", 'Q011-09 (2021)'!$B:$B, CONCATENATE("&gt;=", 'Quarterly Metrics'!C6), 'Q011-09 (2021)'!$B:$B, CONCATENATE("&lt;", 'Quarterly Metrics'!D6+1))/COUNTIFS('Q011-09 (2021)'!S:S, "&gt;=0", 'Q011-09 (2021)'!$B:$B, CONCATENATE("&gt;=", 'Quarterly Metrics'!C6), 'Q011-09 (2021)'!$B:$B, CONCATENATE("&lt;", 'Quarterly Metrics'!D6+1))</f>
        <v>16.957446808510639</v>
      </c>
      <c r="K6" s="453">
        <f>COUNTIFS('Q011-09 (2021)'!P:P, "Yes", 'Q011-09 (2021)'!$B:$B, CONCATENATE("&gt;=", 'Quarterly Metrics'!C6), 'Q011-09 (2021)'!$B:$B, CONCATENATE("&lt;", 'Quarterly Metrics'!D6+1))/COUNTIFS('Q011-09 (2021)'!M:M, "Closed", 'Q011-09 (2021)'!$B:$B, CONCATENATE("&gt;=", 'Quarterly Metrics'!C6), 'Q011-09 (2021)'!$B:$B, CONCATENATE("&lt;", 'Quarterly Metrics'!D6+1))</f>
        <v>0.97872340425531912</v>
      </c>
      <c r="L6" s="453">
        <f>COUNTIFS('Q011-09 (2021)'!K:K, "&gt;0", 'Q011-09 (2021)'!$B:$B, CONCATENATE("&gt;=", 'Quarterly Metrics'!C6), 'Q011-09 (2021)'!$B:$B, CONCATENATE("&lt;", 'Quarterly Metrics'!D6+1))/COUNTIFS('Q011-09 (2021)'!M:M, "Closed", 'Q011-09 (2021)'!$B:$B, CONCATENATE("&gt;=", 'Quarterly Metrics'!C6), 'Q011-09 (2021)'!$B:$B, CONCATENATE("&lt;", 'Quarterly Metrics'!D6+1))</f>
        <v>0.10638297872340426</v>
      </c>
      <c r="M6" s="453">
        <f>COUNTIFS('Q011-09 (2021)'!L:L, "&gt;0", 'Q011-09 (2021)'!$B:$B, CONCATENATE("&gt;=", 'Quarterly Metrics'!C6), 'Q011-09 (2021)'!$B:$B, CONCATENATE("&lt;", 'Quarterly Metrics'!D6+1))/COUNTIFS('Q011-09 (2021)'!M:M, "Closed", 'Q011-09 (2021)'!$B:$B, CONCATENATE("&gt;=", 'Quarterly Metrics'!C6), 'Q011-09 (2021)'!$B:$B, CONCATENATE("&lt;", 'Quarterly Metrics'!D6+1))</f>
        <v>0</v>
      </c>
    </row>
    <row r="7" spans="2:13" x14ac:dyDescent="0.2">
      <c r="B7" s="476" t="s">
        <v>6248</v>
      </c>
      <c r="C7" s="477">
        <v>44378</v>
      </c>
      <c r="D7" s="477">
        <v>44469</v>
      </c>
      <c r="E7" s="34">
        <f>COUNTIFS('Q011-09 (2021)'!$A:$A, "C*",'Q011-09 (2021)'!$B:$B, CONCATENATE("&gt;=", 'Quarterly Metrics'!C7), 'Q011-09 (2021)'!$B:$B, CONCATENATE("&lt;", 'Quarterly Metrics'!D7+1))</f>
        <v>50</v>
      </c>
      <c r="F7" s="34">
        <f>COUNTIFS('Q011-09 (2021)'!F:F, 1, 'Q011-09 (2021)'!$B:$B, CONCATENATE("&gt;=", 'Quarterly Metrics'!C7), 'Q011-09 (2021)'!$B:$B, CONCATENATE("&lt;", 'Quarterly Metrics'!D7+1))</f>
        <v>50</v>
      </c>
      <c r="G7" s="34">
        <f>COUNTIFS('Q011-09 (2021)'!F:F, 2, 'Q011-09 (2021)'!$B:$B, CONCATENATE("&gt;=", 'Quarterly Metrics'!C7), 'Q011-09 (2021)'!$B:$B, CONCATENATE("&lt;", 'Quarterly Metrics'!D7+1))</f>
        <v>0</v>
      </c>
      <c r="H7" s="34">
        <f>COUNTIFS('Q011-09 (2021)'!$M:$M, "Open", 'Q011-09 (2021)'!$B:$B, CONCATENATE("&gt;=", 'Quarterly Metrics'!C7), 'Q011-09 (2021)'!$B:$B, CONCATENATE("&lt;", 'Quarterly Metrics'!D7+1))</f>
        <v>26</v>
      </c>
      <c r="I7" s="34">
        <f>COUNTIFS('Q011-09 (2021)'!$M:$M, "closed", 'Q011-09 (2021)'!$B:$B, CONCATENATE("&gt;=", 'Quarterly Metrics'!C7), 'Q011-09 (2021)'!$B:$B, CONCATENATE("&lt;", 'Quarterly Metrics'!D7+1))</f>
        <v>24</v>
      </c>
      <c r="J7" s="452">
        <f>SUMIFS('Q011-09 (2021)'!S:S, 'Q011-09 (2021)'!S:S, "&gt;=0", 'Q011-09 (2021)'!$B:$B, CONCATENATE("&gt;=", 'Quarterly Metrics'!C7), 'Q011-09 (2021)'!$B:$B, CONCATENATE("&lt;", 'Quarterly Metrics'!D7+1))/COUNTIFS('Q011-09 (2021)'!S:S, "&gt;=0", 'Q011-09 (2021)'!$B:$B, CONCATENATE("&gt;=", 'Quarterly Metrics'!C7), 'Q011-09 (2021)'!$B:$B, CONCATENATE("&lt;", 'Quarterly Metrics'!D7+1))</f>
        <v>16.375</v>
      </c>
      <c r="K7" s="453">
        <f>COUNTIFS('Q011-09 (2021)'!P:P, "Yes", 'Q011-09 (2021)'!$B:$B, CONCATENATE("&gt;=", 'Quarterly Metrics'!C7), 'Q011-09 (2021)'!$B:$B, CONCATENATE("&lt;", 'Quarterly Metrics'!D7+1))/COUNTIFS('Q011-09 (2021)'!M:M, "Closed", 'Q011-09 (2021)'!$B:$B, CONCATENATE("&gt;=", 'Quarterly Metrics'!C7), 'Q011-09 (2021)'!$B:$B, CONCATENATE("&lt;", 'Quarterly Metrics'!D7+1))</f>
        <v>0.91666666666666663</v>
      </c>
      <c r="L7" s="453">
        <f>COUNTIFS('Q011-09 (2021)'!K:K, "&gt;0", 'Q011-09 (2021)'!$B:$B, CONCATENATE("&gt;=", 'Quarterly Metrics'!C7), 'Q011-09 (2021)'!$B:$B, CONCATENATE("&lt;", 'Quarterly Metrics'!D7+1))/COUNTIFS('Q011-09 (2021)'!M:M, "Closed", 'Q011-09 (2021)'!$B:$B, CONCATENATE("&gt;=", 'Quarterly Metrics'!C7), 'Q011-09 (2021)'!$B:$B, CONCATENATE("&lt;", 'Quarterly Metrics'!D7+1))</f>
        <v>0</v>
      </c>
      <c r="M7" s="453">
        <f>COUNTIFS('Q011-09 (2021)'!L:L, "&gt;0", 'Q011-09 (2021)'!$B:$B, CONCATENATE("&gt;=", 'Quarterly Metrics'!C7), 'Q011-09 (2021)'!$B:$B, CONCATENATE("&lt;", 'Quarterly Metrics'!D7+1))/COUNTIFS('Q011-09 (2021)'!M:M, "Closed", 'Q011-09 (2021)'!$B:$B, CONCATENATE("&gt;=", 'Quarterly Metrics'!C7), 'Q011-09 (2021)'!$B:$B, CONCATENATE("&lt;", 'Quarterly Metrics'!D7+1))</f>
        <v>0</v>
      </c>
    </row>
    <row r="8" spans="2:13" x14ac:dyDescent="0.2">
      <c r="B8" s="476" t="s">
        <v>6249</v>
      </c>
      <c r="C8" s="477">
        <v>44470</v>
      </c>
      <c r="D8" s="477">
        <v>44561</v>
      </c>
      <c r="E8" s="34">
        <f>COUNTIFS('Q011-09 (2021)'!$A:$A, "C*",'Q011-09 (2021)'!$B:$B, CONCATENATE("&gt;=", 'Quarterly Metrics'!C8), 'Q011-09 (2021)'!$B:$B, CONCATENATE("&lt;", 'Quarterly Metrics'!D8+1))</f>
        <v>2</v>
      </c>
      <c r="F8" s="34">
        <f>COUNTIFS('Q011-09 (2021)'!F:F, 1, 'Q011-09 (2021)'!$B:$B, CONCATENATE("&gt;=", 'Quarterly Metrics'!C8), 'Q011-09 (2021)'!$B:$B, CONCATENATE("&lt;", 'Quarterly Metrics'!D8+1))</f>
        <v>2</v>
      </c>
      <c r="G8" s="34">
        <f>COUNTIFS('Q011-09 (2021)'!F:F, 2, 'Q011-09 (2021)'!$B:$B, CONCATENATE("&gt;=", 'Quarterly Metrics'!C8), 'Q011-09 (2021)'!$B:$B, CONCATENATE("&lt;", 'Quarterly Metrics'!D8+1))</f>
        <v>0</v>
      </c>
      <c r="H8" s="34">
        <f>COUNTIFS('Q011-09 (2021)'!$M:$M, "Open", 'Q011-09 (2021)'!$B:$B, CONCATENATE("&gt;=", 'Quarterly Metrics'!C8), 'Q011-09 (2021)'!$B:$B, CONCATENATE("&lt;", 'Quarterly Metrics'!D8+1))</f>
        <v>2</v>
      </c>
      <c r="I8" s="34">
        <f>COUNTIFS('Q011-09 (2021)'!$M:$M, "closed", 'Q011-09 (2021)'!$B:$B, CONCATENATE("&gt;=", 'Quarterly Metrics'!C8), 'Q011-09 (2021)'!$B:$B, CONCATENATE("&lt;", 'Quarterly Metrics'!D8+1))</f>
        <v>0</v>
      </c>
      <c r="J8" s="452" t="e">
        <f>SUMIFS('Q011-09 (2021)'!S:S, 'Q011-09 (2021)'!S:S, "&gt;=0", 'Q011-09 (2021)'!$B:$B, CONCATENATE("&gt;=", 'Quarterly Metrics'!C8), 'Q011-09 (2021)'!$B:$B, CONCATENATE("&lt;", 'Quarterly Metrics'!D8+1))/COUNTIFS('Q011-09 (2021)'!S:S, "&gt;=0", 'Q011-09 (2021)'!$B:$B, CONCATENATE("&gt;=", 'Quarterly Metrics'!C8), 'Q011-09 (2021)'!$B:$B, CONCATENATE("&lt;", 'Quarterly Metrics'!D8+1))</f>
        <v>#DIV/0!</v>
      </c>
      <c r="K8" s="453" t="e">
        <f>COUNTIFS('Q011-09 (2021)'!P:P, "Yes", 'Q011-09 (2021)'!$B:$B, CONCATENATE("&gt;=", 'Quarterly Metrics'!C8), 'Q011-09 (2021)'!$B:$B, CONCATENATE("&lt;", 'Quarterly Metrics'!D8+1))/COUNTIFS('Q011-09 (2021)'!M:M, "Closed", 'Q011-09 (2021)'!$B:$B, CONCATENATE("&gt;=", 'Quarterly Metrics'!C8), 'Q011-09 (2021)'!$B:$B, CONCATENATE("&lt;", 'Quarterly Metrics'!D8+1))</f>
        <v>#DIV/0!</v>
      </c>
      <c r="L8" s="453" t="e">
        <f>COUNTIFS('Q011-09 (2021)'!K:K, "&gt;0", 'Q011-09 (2021)'!$B:$B, CONCATENATE("&gt;=", 'Quarterly Metrics'!C8), 'Q011-09 (2021)'!$B:$B, CONCATENATE("&lt;", 'Quarterly Metrics'!D8+1))/COUNTIFS('Q011-09 (2021)'!M:M, "Closed", 'Q011-09 (2021)'!$B:$B, CONCATENATE("&gt;=", 'Quarterly Metrics'!C8), 'Q011-09 (2021)'!$B:$B, CONCATENATE("&lt;", 'Quarterly Metrics'!D8+1))</f>
        <v>#DIV/0!</v>
      </c>
      <c r="M8" s="453" t="e">
        <f>COUNTIFS('Q011-09 (2021)'!L:L, "&gt;0", 'Q011-09 (2021)'!$B:$B, CONCATENATE("&gt;=", 'Quarterly Metrics'!C8), 'Q011-09 (2021)'!$B:$B, CONCATENATE("&lt;", 'Quarterly Metrics'!D8+1))/COUNTIFS('Q011-09 (2021)'!M:M, "Closed", 'Q011-09 (2021)'!$B:$B, CONCATENATE("&gt;=", 'Quarterly Metrics'!C8), 'Q011-09 (2021)'!$B:$B, CONCATENATE("&lt;", 'Quarterly Metrics'!D8+1))</f>
        <v>#DIV/0!</v>
      </c>
    </row>
    <row r="9" spans="2:13" x14ac:dyDescent="0.2">
      <c r="B9" s="486"/>
      <c r="C9" s="16"/>
      <c r="D9" s="16"/>
      <c r="E9" s="349"/>
      <c r="F9" s="349"/>
      <c r="G9" s="349"/>
      <c r="H9" s="349"/>
      <c r="I9" s="349"/>
      <c r="J9" s="487"/>
      <c r="K9" s="488"/>
      <c r="L9" s="488"/>
      <c r="M9" s="488"/>
    </row>
    <row r="10" spans="2:13" x14ac:dyDescent="0.2">
      <c r="B10" s="476" t="s">
        <v>6014</v>
      </c>
      <c r="C10" s="491" t="s">
        <v>6271</v>
      </c>
      <c r="D10" s="450" t="s">
        <v>6246</v>
      </c>
      <c r="E10" s="450" t="s">
        <v>6247</v>
      </c>
      <c r="F10" s="450" t="s">
        <v>6248</v>
      </c>
      <c r="G10" s="492" t="s">
        <v>6249</v>
      </c>
      <c r="I10" s="488"/>
      <c r="J10" s="488"/>
    </row>
    <row r="11" spans="2:13" x14ac:dyDescent="0.2">
      <c r="B11" s="476" t="s">
        <v>2828</v>
      </c>
      <c r="C11" s="489">
        <f>COUNTIFS('Q011-09 (2021)'!$G:$G, $B11, 'Q011-09 (2021)'!$B:$B, CONCATENATE("&gt;=", 'Quarterly Metrics'!$C$4), 'Q011-09 (2021)'!$B:$B, CONCATENATE("&lt;", 'Quarterly Metrics'!$D$4+1))</f>
        <v>63</v>
      </c>
      <c r="D11" s="34">
        <f>COUNTIFS('Q011-09 (2021)'!$G:$G, $B11, 'Q011-09 (2021)'!$B:$B, CONCATENATE("&gt;=", 'Quarterly Metrics'!$C$5), 'Q011-09 (2021)'!$B:$B, CONCATENATE("&lt;", 'Quarterly Metrics'!$D$5+1))</f>
        <v>18</v>
      </c>
      <c r="E11" s="34">
        <f>COUNTIFS('Q011-09 (2021)'!$G:$G, $B11, 'Q011-09 (2021)'!$B:$B, CONCATENATE("&gt;=", 'Quarterly Metrics'!$C$6), 'Q011-09 (2021)'!$B:$B, CONCATENATE("&lt;", 'Quarterly Metrics'!$D$6+1))</f>
        <v>19</v>
      </c>
      <c r="F11" s="34">
        <f>COUNTIFS('Q011-09 (2021)'!$G:$G, $B11, 'Q011-09 (2021)'!$B:$B, CONCATENATE("&gt;=", 'Quarterly Metrics'!$C$7), 'Q011-09 (2021)'!$B:$B, CONCATENATE("&lt;", 'Quarterly Metrics'!$D$7+1))</f>
        <v>24</v>
      </c>
      <c r="G11" s="452">
        <f>COUNTIFS('Q011-09 (2021)'!$G:$G, $B11, 'Q011-09 (2021)'!$B:$B, CONCATENATE("&gt;=", 'Quarterly Metrics'!$C$8), 'Q011-09 (2021)'!$B:$B, CONCATENATE("&lt;", 'Quarterly Metrics'!$D$8+1))</f>
        <v>2</v>
      </c>
      <c r="I11" s="488"/>
      <c r="J11" s="488"/>
    </row>
    <row r="12" spans="2:13" x14ac:dyDescent="0.2">
      <c r="B12" s="476" t="s">
        <v>2831</v>
      </c>
      <c r="C12" s="489">
        <f>COUNTIFS('Q011-09 (2021)'!$G:$G, $B12, 'Q011-09 (2021)'!$B:$B, CONCATENATE("&gt;=", 'Quarterly Metrics'!$C$4), 'Q011-09 (2021)'!$B:$B, CONCATENATE("&lt;", 'Quarterly Metrics'!$D$4+1))</f>
        <v>2</v>
      </c>
      <c r="D12" s="34">
        <f>COUNTIFS('Q011-09 (2021)'!$G:$G, $B12, 'Q011-09 (2021)'!$B:$B, CONCATENATE("&gt;=", 'Quarterly Metrics'!$C$5), 'Q011-09 (2021)'!$B:$B, CONCATENATE("&lt;", 'Quarterly Metrics'!$D$5+1))</f>
        <v>2</v>
      </c>
      <c r="E12" s="34">
        <f>COUNTIFS('Q011-09 (2021)'!$G:$G, $B12, 'Q011-09 (2021)'!$B:$B, CONCATENATE("&gt;=", 'Quarterly Metrics'!$C$6), 'Q011-09 (2021)'!$B:$B, CONCATENATE("&lt;", 'Quarterly Metrics'!$D$6+1))</f>
        <v>0</v>
      </c>
      <c r="F12" s="34">
        <f>COUNTIFS('Q011-09 (2021)'!$G:$G, $B12, 'Q011-09 (2021)'!$B:$B, CONCATENATE("&gt;=", 'Quarterly Metrics'!$C$7), 'Q011-09 (2021)'!$B:$B, CONCATENATE("&lt;", 'Quarterly Metrics'!$D$7+1))</f>
        <v>0</v>
      </c>
      <c r="G12" s="452">
        <f>COUNTIFS('Q011-09 (2021)'!$G:$G, $B12, 'Q011-09 (2021)'!$B:$B, CONCATENATE("&gt;=", 'Quarterly Metrics'!$C$8), 'Q011-09 (2021)'!$B:$B, CONCATENATE("&lt;", 'Quarterly Metrics'!$D$8+1))</f>
        <v>0</v>
      </c>
      <c r="I12" s="488"/>
      <c r="J12" s="488"/>
    </row>
    <row r="13" spans="2:13" x14ac:dyDescent="0.2">
      <c r="B13" s="476" t="s">
        <v>2834</v>
      </c>
      <c r="C13" s="489">
        <f>COUNTIFS('Q011-09 (2021)'!$G:$G, $B13, 'Q011-09 (2021)'!$B:$B, CONCATENATE("&gt;=", 'Quarterly Metrics'!$C$4), 'Q011-09 (2021)'!$B:$B, CONCATENATE("&lt;", 'Quarterly Metrics'!$D$4+1))</f>
        <v>6</v>
      </c>
      <c r="D13" s="34">
        <f>COUNTIFS('Q011-09 (2021)'!$G:$G, $B13, 'Q011-09 (2021)'!$B:$B, CONCATENATE("&gt;=", 'Quarterly Metrics'!$C$5), 'Q011-09 (2021)'!$B:$B, CONCATENATE("&lt;", 'Quarterly Metrics'!$D$5+1))</f>
        <v>2</v>
      </c>
      <c r="E13" s="34">
        <f>COUNTIFS('Q011-09 (2021)'!$G:$G, $B13, 'Q011-09 (2021)'!$B:$B, CONCATENATE("&gt;=", 'Quarterly Metrics'!$C$6), 'Q011-09 (2021)'!$B:$B, CONCATENATE("&lt;", 'Quarterly Metrics'!$D$6+1))</f>
        <v>4</v>
      </c>
      <c r="F13" s="34">
        <f>COUNTIFS('Q011-09 (2021)'!$G:$G, $B13, 'Q011-09 (2021)'!$B:$B, CONCATENATE("&gt;=", 'Quarterly Metrics'!$C$7), 'Q011-09 (2021)'!$B:$B, CONCATENATE("&lt;", 'Quarterly Metrics'!$D$7+1))</f>
        <v>0</v>
      </c>
      <c r="G13" s="452">
        <f>COUNTIFS('Q011-09 (2021)'!$G:$G, $B13, 'Q011-09 (2021)'!$B:$B, CONCATENATE("&gt;=", 'Quarterly Metrics'!$C$8), 'Q011-09 (2021)'!$B:$B, CONCATENATE("&lt;", 'Quarterly Metrics'!$D$8+1))</f>
        <v>0</v>
      </c>
      <c r="I13" s="488"/>
      <c r="J13" s="488"/>
    </row>
    <row r="14" spans="2:13" x14ac:dyDescent="0.2">
      <c r="B14" s="476" t="s">
        <v>2836</v>
      </c>
      <c r="C14" s="489">
        <f>COUNTIFS('Q011-09 (2021)'!$G:$G, $B14, 'Q011-09 (2021)'!$B:$B, CONCATENATE("&gt;=", 'Quarterly Metrics'!$C$4), 'Q011-09 (2021)'!$B:$B, CONCATENATE("&lt;", 'Quarterly Metrics'!$D$4+1))</f>
        <v>27</v>
      </c>
      <c r="D14" s="34">
        <f>COUNTIFS('Q011-09 (2021)'!$G:$G, $B14, 'Q011-09 (2021)'!$B:$B, CONCATENATE("&gt;=", 'Quarterly Metrics'!$C$5), 'Q011-09 (2021)'!$B:$B, CONCATENATE("&lt;", 'Quarterly Metrics'!$D$5+1))</f>
        <v>17</v>
      </c>
      <c r="E14" s="34">
        <f>COUNTIFS('Q011-09 (2021)'!$G:$G, $B14, 'Q011-09 (2021)'!$B:$B, CONCATENATE("&gt;=", 'Quarterly Metrics'!$C$6), 'Q011-09 (2021)'!$B:$B, CONCATENATE("&lt;", 'Quarterly Metrics'!$D$6+1))</f>
        <v>5</v>
      </c>
      <c r="F14" s="34">
        <f>COUNTIFS('Q011-09 (2021)'!$G:$G, $B14, 'Q011-09 (2021)'!$B:$B, CONCATENATE("&gt;=", 'Quarterly Metrics'!$C$7), 'Q011-09 (2021)'!$B:$B, CONCATENATE("&lt;", 'Quarterly Metrics'!$D$7+1))</f>
        <v>5</v>
      </c>
      <c r="G14" s="452">
        <f>COUNTIFS('Q011-09 (2021)'!$G:$G, $B14, 'Q011-09 (2021)'!$B:$B, CONCATENATE("&gt;=", 'Quarterly Metrics'!$C$8), 'Q011-09 (2021)'!$B:$B, CONCATENATE("&lt;", 'Quarterly Metrics'!$D$8+1))</f>
        <v>0</v>
      </c>
      <c r="I14" s="488"/>
      <c r="J14" s="488"/>
    </row>
    <row r="15" spans="2:13" x14ac:dyDescent="0.2">
      <c r="B15" s="476" t="s">
        <v>2838</v>
      </c>
      <c r="C15" s="489">
        <f>COUNTIFS('Q011-09 (2021)'!$G:$G, $B15, 'Q011-09 (2021)'!$B:$B, CONCATENATE("&gt;=", 'Quarterly Metrics'!$C$4), 'Q011-09 (2021)'!$B:$B, CONCATENATE("&lt;", 'Quarterly Metrics'!$D$4+1))</f>
        <v>17</v>
      </c>
      <c r="D15" s="34">
        <f>COUNTIFS('Q011-09 (2021)'!$G:$G, $B15, 'Q011-09 (2021)'!$B:$B, CONCATENATE("&gt;=", 'Quarterly Metrics'!$C$5), 'Q011-09 (2021)'!$B:$B, CONCATENATE("&lt;", 'Quarterly Metrics'!$D$5+1))</f>
        <v>1</v>
      </c>
      <c r="E15" s="34">
        <f>COUNTIFS('Q011-09 (2021)'!$G:$G, $B15, 'Q011-09 (2021)'!$B:$B, CONCATENATE("&gt;=", 'Quarterly Metrics'!$C$6), 'Q011-09 (2021)'!$B:$B, CONCATENATE("&lt;", 'Quarterly Metrics'!$D$6+1))</f>
        <v>10</v>
      </c>
      <c r="F15" s="34">
        <f>COUNTIFS('Q011-09 (2021)'!$G:$G, $B15, 'Q011-09 (2021)'!$B:$B, CONCATENATE("&gt;=", 'Quarterly Metrics'!$C$7), 'Q011-09 (2021)'!$B:$B, CONCATENATE("&lt;", 'Quarterly Metrics'!$D$7+1))</f>
        <v>6</v>
      </c>
      <c r="G15" s="452">
        <f>COUNTIFS('Q011-09 (2021)'!$G:$G, $B15, 'Q011-09 (2021)'!$B:$B, CONCATENATE("&gt;=", 'Quarterly Metrics'!$C$8), 'Q011-09 (2021)'!$B:$B, CONCATENATE("&lt;", 'Quarterly Metrics'!$D$8+1))</f>
        <v>0</v>
      </c>
      <c r="I15" s="488"/>
      <c r="J15" s="488"/>
    </row>
    <row r="16" spans="2:13" x14ac:dyDescent="0.2">
      <c r="B16" s="476" t="s">
        <v>2840</v>
      </c>
      <c r="C16" s="489">
        <f>COUNTIFS('Q011-09 (2021)'!$G:$G, $B16, 'Q011-09 (2021)'!$B:$B, CONCATENATE("&gt;=", 'Quarterly Metrics'!$C$4), 'Q011-09 (2021)'!$B:$B, CONCATENATE("&lt;", 'Quarterly Metrics'!$D$4+1))</f>
        <v>13</v>
      </c>
      <c r="D16" s="34">
        <f>COUNTIFS('Q011-09 (2021)'!$G:$G, $B16, 'Q011-09 (2021)'!$B:$B, CONCATENATE("&gt;=", 'Quarterly Metrics'!$C$5), 'Q011-09 (2021)'!$B:$B, CONCATENATE("&lt;", 'Quarterly Metrics'!$D$5+1))</f>
        <v>8</v>
      </c>
      <c r="E16" s="34">
        <f>COUNTIFS('Q011-09 (2021)'!$G:$G, $B16, 'Q011-09 (2021)'!$B:$B, CONCATENATE("&gt;=", 'Quarterly Metrics'!$C$6), 'Q011-09 (2021)'!$B:$B, CONCATENATE("&lt;", 'Quarterly Metrics'!$D$6+1))</f>
        <v>3</v>
      </c>
      <c r="F16" s="34">
        <f>COUNTIFS('Q011-09 (2021)'!$G:$G, $B16, 'Q011-09 (2021)'!$B:$B, CONCATENATE("&gt;=", 'Quarterly Metrics'!$C$7), 'Q011-09 (2021)'!$B:$B, CONCATENATE("&lt;", 'Quarterly Metrics'!$D$7+1))</f>
        <v>2</v>
      </c>
      <c r="G16" s="452">
        <f>COUNTIFS('Q011-09 (2021)'!$G:$G, $B16, 'Q011-09 (2021)'!$B:$B, CONCATENATE("&gt;=", 'Quarterly Metrics'!$C$8), 'Q011-09 (2021)'!$B:$B, CONCATENATE("&lt;", 'Quarterly Metrics'!$D$8+1))</f>
        <v>0</v>
      </c>
      <c r="I16" s="488"/>
      <c r="J16" s="488"/>
    </row>
    <row r="17" spans="2:20" x14ac:dyDescent="0.2">
      <c r="B17" s="476" t="s">
        <v>2841</v>
      </c>
      <c r="C17" s="489">
        <f>COUNTIFS('Q011-09 (2021)'!$G:$G, $B17, 'Q011-09 (2021)'!$B:$B, CONCATENATE("&gt;=", 'Quarterly Metrics'!$C$4), 'Q011-09 (2021)'!$B:$B, CONCATENATE("&lt;", 'Quarterly Metrics'!$D$4+1))</f>
        <v>44</v>
      </c>
      <c r="D17" s="34">
        <f>COUNTIFS('Q011-09 (2021)'!$G:$G, $B17, 'Q011-09 (2021)'!$B:$B, CONCATENATE("&gt;=", 'Quarterly Metrics'!$C$5), 'Q011-09 (2021)'!$B:$B, CONCATENATE("&lt;", 'Quarterly Metrics'!$D$5+1))</f>
        <v>10</v>
      </c>
      <c r="E17" s="34">
        <f>COUNTIFS('Q011-09 (2021)'!$G:$G, $B17, 'Q011-09 (2021)'!$B:$B, CONCATENATE("&gt;=", 'Quarterly Metrics'!$C$6), 'Q011-09 (2021)'!$B:$B, CONCATENATE("&lt;", 'Quarterly Metrics'!$D$6+1))</f>
        <v>21</v>
      </c>
      <c r="F17" s="34">
        <f>COUNTIFS('Q011-09 (2021)'!$G:$G, $B17, 'Q011-09 (2021)'!$B:$B, CONCATENATE("&gt;=", 'Quarterly Metrics'!$C$7), 'Q011-09 (2021)'!$B:$B, CONCATENATE("&lt;", 'Quarterly Metrics'!$D$7+1))</f>
        <v>13</v>
      </c>
      <c r="G17" s="452">
        <f>COUNTIFS('Q011-09 (2021)'!$G:$G, $B17, 'Q011-09 (2021)'!$B:$B, CONCATENATE("&gt;=", 'Quarterly Metrics'!$C$8), 'Q011-09 (2021)'!$B:$B, CONCATENATE("&lt;", 'Quarterly Metrics'!$D$8+1))</f>
        <v>0</v>
      </c>
      <c r="I17" s="488"/>
      <c r="J17" s="488"/>
    </row>
    <row r="18" spans="2:20" x14ac:dyDescent="0.2">
      <c r="B18" s="476" t="s">
        <v>6272</v>
      </c>
      <c r="C18" s="490">
        <f>SUM(C11:C17)</f>
        <v>172</v>
      </c>
      <c r="D18" s="490">
        <f t="shared" ref="D18:G18" si="0">SUM(D11:D17)</f>
        <v>58</v>
      </c>
      <c r="E18" s="490">
        <f t="shared" si="0"/>
        <v>62</v>
      </c>
      <c r="F18" s="490">
        <f t="shared" si="0"/>
        <v>50</v>
      </c>
      <c r="G18" s="490">
        <f t="shared" si="0"/>
        <v>2</v>
      </c>
      <c r="H18" s="349"/>
      <c r="I18" s="349"/>
      <c r="J18" s="487"/>
      <c r="K18" s="488"/>
      <c r="L18" s="488"/>
      <c r="M18" s="488"/>
    </row>
    <row r="19" spans="2:20" x14ac:dyDescent="0.2">
      <c r="B19" s="486"/>
      <c r="C19" s="16"/>
      <c r="D19" s="16"/>
      <c r="E19" s="349"/>
      <c r="F19" s="349"/>
      <c r="G19" s="349"/>
      <c r="H19" s="349"/>
      <c r="I19" s="349"/>
      <c r="J19" s="487"/>
      <c r="K19" s="488"/>
      <c r="L19" s="488"/>
      <c r="M19" s="488"/>
    </row>
    <row r="20" spans="2:20" x14ac:dyDescent="0.2">
      <c r="B20" s="485" t="s">
        <v>6269</v>
      </c>
    </row>
    <row r="21" spans="2:20" x14ac:dyDescent="0.2">
      <c r="B21" s="70" t="s">
        <v>6251</v>
      </c>
      <c r="C21" s="70" t="s">
        <v>6252</v>
      </c>
      <c r="D21" s="70" t="s">
        <v>6253</v>
      </c>
      <c r="E21" s="70" t="s">
        <v>1072</v>
      </c>
      <c r="F21" s="70" t="s">
        <v>6254</v>
      </c>
      <c r="G21" s="70" t="s">
        <v>6255</v>
      </c>
      <c r="H21" s="70" t="s">
        <v>6256</v>
      </c>
      <c r="I21" s="70" t="s">
        <v>6257</v>
      </c>
      <c r="J21" s="70" t="s">
        <v>6258</v>
      </c>
      <c r="K21" s="70" t="s">
        <v>6259</v>
      </c>
      <c r="L21" s="70" t="s">
        <v>6260</v>
      </c>
      <c r="M21" s="70" t="s">
        <v>6261</v>
      </c>
      <c r="N21" s="70" t="s">
        <v>6262</v>
      </c>
      <c r="O21" s="70" t="s">
        <v>6263</v>
      </c>
      <c r="P21" s="70" t="s">
        <v>6264</v>
      </c>
      <c r="Q21" s="70" t="s">
        <v>6265</v>
      </c>
      <c r="R21" s="70" t="s">
        <v>6266</v>
      </c>
      <c r="S21" s="70" t="s">
        <v>6267</v>
      </c>
      <c r="T21" s="70" t="s">
        <v>6268</v>
      </c>
    </row>
    <row r="22" spans="2:20" ht="76.5" x14ac:dyDescent="0.2">
      <c r="B22" s="478" t="s">
        <v>2808</v>
      </c>
      <c r="C22" s="479" t="s">
        <v>2809</v>
      </c>
      <c r="D22" s="480" t="s">
        <v>2810</v>
      </c>
      <c r="E22" s="480" t="s">
        <v>2811</v>
      </c>
      <c r="F22" s="480" t="s">
        <v>2812</v>
      </c>
      <c r="G22" s="480" t="s">
        <v>3408</v>
      </c>
      <c r="H22" s="480" t="s">
        <v>2814</v>
      </c>
      <c r="I22" s="480" t="s">
        <v>5528</v>
      </c>
      <c r="J22" s="480" t="s">
        <v>2816</v>
      </c>
      <c r="K22" s="479" t="s">
        <v>2817</v>
      </c>
      <c r="L22" s="479" t="s">
        <v>5011</v>
      </c>
      <c r="M22" s="479" t="s">
        <v>5012</v>
      </c>
      <c r="N22" s="480" t="s">
        <v>2818</v>
      </c>
      <c r="O22" s="481" t="s">
        <v>2819</v>
      </c>
      <c r="P22" s="482" t="s">
        <v>2820</v>
      </c>
      <c r="Q22" s="481" t="s">
        <v>2821</v>
      </c>
      <c r="R22" s="481" t="s">
        <v>2822</v>
      </c>
      <c r="S22" s="483" t="s">
        <v>2823</v>
      </c>
      <c r="T22" s="484" t="s">
        <v>4213</v>
      </c>
    </row>
    <row r="24" spans="2:20" x14ac:dyDescent="0.2">
      <c r="B24" s="387" t="s">
        <v>6270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A1:S1061"/>
  <sheetViews>
    <sheetView zoomScale="80" zoomScaleNormal="80" workbookViewId="0">
      <selection activeCell="A2" sqref="A2"/>
    </sheetView>
  </sheetViews>
  <sheetFormatPr defaultRowHeight="12.75" x14ac:dyDescent="0.2"/>
  <cols>
    <col min="2" max="2" width="18.42578125" customWidth="1"/>
    <col min="4" max="4" width="26.42578125" customWidth="1"/>
    <col min="5" max="5" width="19.5703125" customWidth="1"/>
    <col min="7" max="7" width="9.5703125" customWidth="1"/>
    <col min="8" max="8" width="12.5703125" customWidth="1"/>
    <col min="9" max="9" width="16" customWidth="1"/>
    <col min="10" max="10" width="15.42578125" style="15" customWidth="1"/>
    <col min="11" max="11" width="17.5703125" style="15" customWidth="1"/>
    <col min="12" max="12" width="18.5703125" style="15" customWidth="1"/>
    <col min="13" max="13" width="18.42578125" customWidth="1"/>
    <col min="14" max="14" width="16.42578125" customWidth="1"/>
    <col min="15" max="15" width="16.42578125" style="15" customWidth="1"/>
    <col min="16" max="16" width="20.5703125" customWidth="1"/>
    <col min="17" max="17" width="24" customWidth="1"/>
    <col min="18" max="18" width="14.42578125" customWidth="1"/>
  </cols>
  <sheetData>
    <row r="1" spans="1:19" ht="25.35" customHeight="1" x14ac:dyDescent="0.2">
      <c r="A1" s="351" t="s">
        <v>2808</v>
      </c>
      <c r="B1" s="320" t="s">
        <v>2809</v>
      </c>
      <c r="C1" s="319" t="s">
        <v>2810</v>
      </c>
      <c r="D1" s="319" t="s">
        <v>2811</v>
      </c>
      <c r="E1" s="319" t="s">
        <v>2812</v>
      </c>
      <c r="F1" s="319" t="s">
        <v>3408</v>
      </c>
      <c r="G1" s="319" t="s">
        <v>2814</v>
      </c>
      <c r="H1" s="319" t="s">
        <v>5528</v>
      </c>
      <c r="I1" s="319" t="s">
        <v>2816</v>
      </c>
      <c r="J1" s="320" t="s">
        <v>2817</v>
      </c>
      <c r="K1" s="320" t="s">
        <v>5011</v>
      </c>
      <c r="L1" s="320" t="s">
        <v>5012</v>
      </c>
      <c r="M1" s="319" t="s">
        <v>2818</v>
      </c>
      <c r="N1" s="321" t="s">
        <v>2819</v>
      </c>
      <c r="O1" s="322" t="s">
        <v>2820</v>
      </c>
      <c r="P1" s="321" t="s">
        <v>2821</v>
      </c>
      <c r="Q1" s="321" t="s">
        <v>2822</v>
      </c>
      <c r="R1" s="201" t="s">
        <v>2823</v>
      </c>
      <c r="S1" s="380" t="s">
        <v>4213</v>
      </c>
    </row>
    <row r="2" spans="1:19" x14ac:dyDescent="0.2">
      <c r="A2" s="525" t="s">
        <v>3406</v>
      </c>
      <c r="B2" s="526">
        <v>42374</v>
      </c>
      <c r="C2" s="525" t="s">
        <v>3411</v>
      </c>
      <c r="D2" s="525" t="s">
        <v>3407</v>
      </c>
      <c r="E2" s="525" t="s">
        <v>2971</v>
      </c>
      <c r="F2" s="525">
        <v>1</v>
      </c>
      <c r="G2" s="525" t="s">
        <v>2880</v>
      </c>
      <c r="H2" s="525" t="s">
        <v>3409</v>
      </c>
      <c r="I2" s="525" t="s">
        <v>441</v>
      </c>
      <c r="J2" s="525">
        <v>42400</v>
      </c>
      <c r="K2" s="525"/>
      <c r="L2" s="525"/>
      <c r="M2" s="525" t="s">
        <v>2853</v>
      </c>
      <c r="N2" s="525" t="s">
        <v>3022</v>
      </c>
      <c r="O2" s="526">
        <v>42613</v>
      </c>
      <c r="P2" s="525" t="s">
        <v>2751</v>
      </c>
      <c r="Q2" s="525" t="s">
        <v>2837</v>
      </c>
      <c r="R2" s="525" t="s">
        <v>3602</v>
      </c>
      <c r="S2" s="525">
        <f t="shared" ref="S2:S65" si="0">J2-B2</f>
        <v>26</v>
      </c>
    </row>
    <row r="3" spans="1:19" x14ac:dyDescent="0.2">
      <c r="A3" s="527" t="s">
        <v>3412</v>
      </c>
      <c r="B3" s="528">
        <v>42375</v>
      </c>
      <c r="C3" s="527" t="s">
        <v>3413</v>
      </c>
      <c r="D3" s="527" t="s">
        <v>3414</v>
      </c>
      <c r="E3" s="527" t="s">
        <v>2971</v>
      </c>
      <c r="F3" s="527">
        <v>1</v>
      </c>
      <c r="G3" s="527" t="s">
        <v>2846</v>
      </c>
      <c r="H3" s="527" t="s">
        <v>486</v>
      </c>
      <c r="I3" s="527" t="s">
        <v>229</v>
      </c>
      <c r="J3" s="527">
        <v>42429</v>
      </c>
      <c r="K3" s="527"/>
      <c r="L3" s="527"/>
      <c r="M3" s="527" t="s">
        <v>2853</v>
      </c>
      <c r="N3" s="527" t="s">
        <v>3022</v>
      </c>
      <c r="O3" s="528">
        <v>42436</v>
      </c>
      <c r="P3" s="527" t="s">
        <v>2751</v>
      </c>
      <c r="Q3" s="527" t="s">
        <v>2832</v>
      </c>
      <c r="R3" s="527" t="s">
        <v>3410</v>
      </c>
      <c r="S3" s="527">
        <f t="shared" si="0"/>
        <v>54</v>
      </c>
    </row>
    <row r="4" spans="1:19" x14ac:dyDescent="0.2">
      <c r="A4" s="525" t="s">
        <v>3415</v>
      </c>
      <c r="B4" s="526">
        <v>42380</v>
      </c>
      <c r="C4" s="525" t="s">
        <v>3416</v>
      </c>
      <c r="D4" s="525" t="s">
        <v>3426</v>
      </c>
      <c r="E4" s="525" t="s">
        <v>3335</v>
      </c>
      <c r="F4" s="525">
        <v>1</v>
      </c>
      <c r="G4" s="525" t="s">
        <v>2852</v>
      </c>
      <c r="H4" s="525" t="s">
        <v>615</v>
      </c>
      <c r="I4" s="525" t="s">
        <v>3211</v>
      </c>
      <c r="J4" s="525">
        <v>42420</v>
      </c>
      <c r="K4" s="525"/>
      <c r="L4" s="525"/>
      <c r="M4" s="525" t="s">
        <v>2853</v>
      </c>
      <c r="N4" s="525" t="s">
        <v>2088</v>
      </c>
      <c r="O4" s="526">
        <v>42389</v>
      </c>
      <c r="P4" s="525" t="s">
        <v>2750</v>
      </c>
      <c r="Q4" s="525" t="s">
        <v>2829</v>
      </c>
      <c r="R4" s="525"/>
      <c r="S4" s="525">
        <f t="shared" si="0"/>
        <v>40</v>
      </c>
    </row>
    <row r="5" spans="1:19" x14ac:dyDescent="0.2">
      <c r="A5" s="527" t="s">
        <v>3417</v>
      </c>
      <c r="B5" s="528">
        <v>42380</v>
      </c>
      <c r="C5" s="527" t="s">
        <v>3421</v>
      </c>
      <c r="D5" s="527" t="s">
        <v>3422</v>
      </c>
      <c r="E5" s="527" t="s">
        <v>3049</v>
      </c>
      <c r="F5" s="527">
        <v>1</v>
      </c>
      <c r="G5" s="527" t="s">
        <v>2852</v>
      </c>
      <c r="H5" s="527" t="s">
        <v>3423</v>
      </c>
      <c r="I5" s="527" t="s">
        <v>3211</v>
      </c>
      <c r="J5" s="527">
        <v>42411</v>
      </c>
      <c r="K5" s="527"/>
      <c r="L5" s="527"/>
      <c r="M5" s="527" t="s">
        <v>2853</v>
      </c>
      <c r="N5" s="527" t="s">
        <v>2088</v>
      </c>
      <c r="O5" s="528">
        <v>42387</v>
      </c>
      <c r="P5" s="527" t="s">
        <v>2750</v>
      </c>
      <c r="Q5" s="527" t="s">
        <v>2829</v>
      </c>
      <c r="R5" s="527"/>
      <c r="S5" s="527">
        <f t="shared" si="0"/>
        <v>31</v>
      </c>
    </row>
    <row r="6" spans="1:19" x14ac:dyDescent="0.2">
      <c r="A6" s="525" t="s">
        <v>3418</v>
      </c>
      <c r="B6" s="526">
        <v>42380</v>
      </c>
      <c r="C6" s="525" t="s">
        <v>3419</v>
      </c>
      <c r="D6" s="525" t="s">
        <v>3420</v>
      </c>
      <c r="E6" s="525" t="s">
        <v>2971</v>
      </c>
      <c r="F6" s="525">
        <v>1</v>
      </c>
      <c r="G6" s="525" t="s">
        <v>2880</v>
      </c>
      <c r="H6" s="525" t="s">
        <v>516</v>
      </c>
      <c r="I6" s="525" t="s">
        <v>229</v>
      </c>
      <c r="J6" s="525">
        <v>42460</v>
      </c>
      <c r="K6" s="525"/>
      <c r="L6" s="525"/>
      <c r="M6" s="525" t="s">
        <v>2853</v>
      </c>
      <c r="N6" s="525" t="s">
        <v>3022</v>
      </c>
      <c r="O6" s="526">
        <v>42655</v>
      </c>
      <c r="P6" s="525" t="s">
        <v>2751</v>
      </c>
      <c r="Q6" s="525" t="s">
        <v>2837</v>
      </c>
      <c r="R6" s="525"/>
      <c r="S6" s="525">
        <f t="shared" si="0"/>
        <v>80</v>
      </c>
    </row>
    <row r="7" spans="1:19" x14ac:dyDescent="0.2">
      <c r="A7" s="527" t="s">
        <v>3424</v>
      </c>
      <c r="B7" s="528">
        <v>42384</v>
      </c>
      <c r="C7" s="527" t="s">
        <v>3425</v>
      </c>
      <c r="D7" s="527" t="s">
        <v>3441</v>
      </c>
      <c r="E7" s="527" t="s">
        <v>3427</v>
      </c>
      <c r="F7" s="527">
        <v>1</v>
      </c>
      <c r="G7" s="527" t="s">
        <v>2852</v>
      </c>
      <c r="H7" s="527" t="s">
        <v>3227</v>
      </c>
      <c r="I7" s="527" t="s">
        <v>3211</v>
      </c>
      <c r="J7" s="527">
        <v>42412</v>
      </c>
      <c r="K7" s="527"/>
      <c r="L7" s="527"/>
      <c r="M7" s="527" t="s">
        <v>2853</v>
      </c>
      <c r="N7" s="527" t="s">
        <v>2088</v>
      </c>
      <c r="O7" s="528">
        <v>42384</v>
      </c>
      <c r="P7" s="527" t="s">
        <v>2750</v>
      </c>
      <c r="Q7" s="527" t="s">
        <v>2829</v>
      </c>
      <c r="R7" s="527"/>
      <c r="S7" s="527">
        <f t="shared" si="0"/>
        <v>28</v>
      </c>
    </row>
    <row r="8" spans="1:19" x14ac:dyDescent="0.2">
      <c r="A8" s="525" t="s">
        <v>3428</v>
      </c>
      <c r="B8" s="526">
        <v>42387</v>
      </c>
      <c r="C8" s="525" t="s">
        <v>3431</v>
      </c>
      <c r="D8" s="525" t="s">
        <v>3441</v>
      </c>
      <c r="E8" s="525" t="s">
        <v>3386</v>
      </c>
      <c r="F8" s="525">
        <v>1</v>
      </c>
      <c r="G8" s="525" t="s">
        <v>2852</v>
      </c>
      <c r="H8" s="525" t="s">
        <v>615</v>
      </c>
      <c r="I8" s="525" t="s">
        <v>3211</v>
      </c>
      <c r="J8" s="525">
        <v>42551</v>
      </c>
      <c r="K8" s="525"/>
      <c r="L8" s="525"/>
      <c r="M8" s="525" t="s">
        <v>2853</v>
      </c>
      <c r="N8" s="525" t="s">
        <v>3022</v>
      </c>
      <c r="O8" s="526">
        <v>43146</v>
      </c>
      <c r="P8" s="525" t="s">
        <v>2751</v>
      </c>
      <c r="Q8" s="525" t="s">
        <v>4184</v>
      </c>
      <c r="R8" s="525"/>
      <c r="S8" s="525">
        <f t="shared" si="0"/>
        <v>164</v>
      </c>
    </row>
    <row r="9" spans="1:19" x14ac:dyDescent="0.2">
      <c r="A9" s="527" t="s">
        <v>3429</v>
      </c>
      <c r="B9" s="528">
        <v>42387</v>
      </c>
      <c r="C9" s="527" t="s">
        <v>3567</v>
      </c>
      <c r="D9" s="527" t="s">
        <v>3568</v>
      </c>
      <c r="E9" s="527" t="s">
        <v>3386</v>
      </c>
      <c r="F9" s="527">
        <v>1</v>
      </c>
      <c r="G9" s="527" t="s">
        <v>2852</v>
      </c>
      <c r="H9" s="527" t="s">
        <v>615</v>
      </c>
      <c r="I9" s="527" t="s">
        <v>3211</v>
      </c>
      <c r="J9" s="527">
        <v>42586</v>
      </c>
      <c r="K9" s="527"/>
      <c r="L9" s="527"/>
      <c r="M9" s="527" t="s">
        <v>2853</v>
      </c>
      <c r="N9" s="527" t="s">
        <v>2088</v>
      </c>
      <c r="O9" s="528">
        <v>42580</v>
      </c>
      <c r="P9" s="527" t="s">
        <v>2750</v>
      </c>
      <c r="Q9" s="527" t="s">
        <v>2837</v>
      </c>
      <c r="R9" s="527"/>
      <c r="S9" s="527">
        <f t="shared" si="0"/>
        <v>199</v>
      </c>
    </row>
    <row r="10" spans="1:19" x14ac:dyDescent="0.2">
      <c r="A10" s="525" t="s">
        <v>3430</v>
      </c>
      <c r="B10" s="526">
        <v>42387</v>
      </c>
      <c r="C10" s="525" t="s">
        <v>3432</v>
      </c>
      <c r="D10" s="525" t="s">
        <v>3440</v>
      </c>
      <c r="E10" s="525" t="s">
        <v>3386</v>
      </c>
      <c r="F10" s="525">
        <v>1</v>
      </c>
      <c r="G10" s="525" t="s">
        <v>2852</v>
      </c>
      <c r="H10" s="525" t="s">
        <v>615</v>
      </c>
      <c r="I10" s="525" t="s">
        <v>3211</v>
      </c>
      <c r="J10" s="525">
        <v>42402</v>
      </c>
      <c r="K10" s="525"/>
      <c r="L10" s="525"/>
      <c r="M10" s="525" t="s">
        <v>2853</v>
      </c>
      <c r="N10" s="525" t="s">
        <v>2088</v>
      </c>
      <c r="O10" s="526">
        <v>42394</v>
      </c>
      <c r="P10" s="525" t="s">
        <v>2750</v>
      </c>
      <c r="Q10" s="525" t="s">
        <v>2829</v>
      </c>
      <c r="R10" s="525"/>
      <c r="S10" s="525">
        <f t="shared" si="0"/>
        <v>15</v>
      </c>
    </row>
    <row r="11" spans="1:19" x14ac:dyDescent="0.2">
      <c r="A11" s="527" t="s">
        <v>3433</v>
      </c>
      <c r="B11" s="528">
        <v>42388</v>
      </c>
      <c r="C11" s="527" t="s">
        <v>3435</v>
      </c>
      <c r="D11" s="527" t="s">
        <v>3306</v>
      </c>
      <c r="E11" s="527" t="s">
        <v>2971</v>
      </c>
      <c r="F11" s="527">
        <v>1</v>
      </c>
      <c r="G11" s="527" t="s">
        <v>2846</v>
      </c>
      <c r="H11" s="527" t="s">
        <v>229</v>
      </c>
      <c r="I11" s="527" t="s">
        <v>229</v>
      </c>
      <c r="J11" s="527">
        <v>42400</v>
      </c>
      <c r="K11" s="527"/>
      <c r="L11" s="527"/>
      <c r="M11" s="527" t="s">
        <v>2853</v>
      </c>
      <c r="N11" s="527" t="s">
        <v>3022</v>
      </c>
      <c r="O11" s="528">
        <v>42436</v>
      </c>
      <c r="P11" s="527" t="s">
        <v>2751</v>
      </c>
      <c r="Q11" s="527" t="s">
        <v>2832</v>
      </c>
      <c r="R11" s="527"/>
      <c r="S11" s="527">
        <f t="shared" si="0"/>
        <v>12</v>
      </c>
    </row>
    <row r="12" spans="1:19" x14ac:dyDescent="0.2">
      <c r="A12" s="525" t="s">
        <v>3434</v>
      </c>
      <c r="B12" s="526">
        <v>42388</v>
      </c>
      <c r="C12" s="525" t="s">
        <v>3436</v>
      </c>
      <c r="D12" s="525" t="s">
        <v>3306</v>
      </c>
      <c r="E12" s="525" t="s">
        <v>2971</v>
      </c>
      <c r="F12" s="525">
        <v>1</v>
      </c>
      <c r="G12" s="525" t="s">
        <v>2846</v>
      </c>
      <c r="H12" s="525" t="s">
        <v>229</v>
      </c>
      <c r="I12" s="525" t="s">
        <v>229</v>
      </c>
      <c r="J12" s="525">
        <v>42400</v>
      </c>
      <c r="K12" s="525"/>
      <c r="L12" s="525"/>
      <c r="M12" s="525" t="s">
        <v>2853</v>
      </c>
      <c r="N12" s="525" t="s">
        <v>3022</v>
      </c>
      <c r="O12" s="526">
        <v>42423</v>
      </c>
      <c r="P12" s="525" t="s">
        <v>2751</v>
      </c>
      <c r="Q12" s="525" t="s">
        <v>2832</v>
      </c>
      <c r="R12" s="525"/>
      <c r="S12" s="525">
        <f t="shared" si="0"/>
        <v>12</v>
      </c>
    </row>
    <row r="13" spans="1:19" x14ac:dyDescent="0.2">
      <c r="A13" s="527" t="s">
        <v>3437</v>
      </c>
      <c r="B13" s="528">
        <v>42391</v>
      </c>
      <c r="C13" s="527" t="s">
        <v>3438</v>
      </c>
      <c r="D13" s="527" t="s">
        <v>3439</v>
      </c>
      <c r="E13" s="527" t="s">
        <v>2971</v>
      </c>
      <c r="F13" s="527">
        <v>1</v>
      </c>
      <c r="G13" s="527" t="s">
        <v>2880</v>
      </c>
      <c r="H13" s="527" t="s">
        <v>516</v>
      </c>
      <c r="I13" s="527" t="s">
        <v>229</v>
      </c>
      <c r="J13" s="527">
        <v>42429</v>
      </c>
      <c r="K13" s="527"/>
      <c r="L13" s="527"/>
      <c r="M13" s="527" t="s">
        <v>2853</v>
      </c>
      <c r="N13" s="527" t="s">
        <v>2088</v>
      </c>
      <c r="O13" s="528">
        <v>42785</v>
      </c>
      <c r="P13" s="527" t="s">
        <v>2750</v>
      </c>
      <c r="Q13" s="527" t="s">
        <v>2829</v>
      </c>
      <c r="R13" s="527"/>
      <c r="S13" s="527">
        <f t="shared" si="0"/>
        <v>38</v>
      </c>
    </row>
    <row r="14" spans="1:19" x14ac:dyDescent="0.2">
      <c r="A14" s="525" t="s">
        <v>3442</v>
      </c>
      <c r="B14" s="526">
        <v>42395</v>
      </c>
      <c r="C14" s="525" t="s">
        <v>3443</v>
      </c>
      <c r="D14" s="525" t="s">
        <v>3444</v>
      </c>
      <c r="E14" s="525" t="s">
        <v>2971</v>
      </c>
      <c r="F14" s="525">
        <v>1</v>
      </c>
      <c r="G14" s="525" t="s">
        <v>2846</v>
      </c>
      <c r="H14" s="525" t="s">
        <v>1339</v>
      </c>
      <c r="I14" s="525" t="s">
        <v>229</v>
      </c>
      <c r="J14" s="525">
        <v>42419</v>
      </c>
      <c r="K14" s="525"/>
      <c r="L14" s="525"/>
      <c r="M14" s="525" t="s">
        <v>2853</v>
      </c>
      <c r="N14" s="525" t="s">
        <v>2088</v>
      </c>
      <c r="O14" s="526">
        <v>42412</v>
      </c>
      <c r="P14" s="525" t="s">
        <v>2750</v>
      </c>
      <c r="Q14" s="525" t="s">
        <v>2829</v>
      </c>
      <c r="R14" s="525"/>
      <c r="S14" s="525">
        <f t="shared" si="0"/>
        <v>24</v>
      </c>
    </row>
    <row r="15" spans="1:19" x14ac:dyDescent="0.2">
      <c r="A15" s="527" t="s">
        <v>3445</v>
      </c>
      <c r="B15" s="528">
        <v>42404</v>
      </c>
      <c r="C15" s="527" t="s">
        <v>3447</v>
      </c>
      <c r="D15" s="527" t="s">
        <v>3446</v>
      </c>
      <c r="E15" s="527" t="s">
        <v>2971</v>
      </c>
      <c r="F15" s="527">
        <v>1</v>
      </c>
      <c r="G15" s="527" t="s">
        <v>2927</v>
      </c>
      <c r="H15" s="527" t="s">
        <v>1461</v>
      </c>
      <c r="I15" s="527" t="s">
        <v>229</v>
      </c>
      <c r="J15" s="527">
        <v>42430</v>
      </c>
      <c r="K15" s="527"/>
      <c r="L15" s="527"/>
      <c r="M15" s="527" t="s">
        <v>2853</v>
      </c>
      <c r="N15" s="527" t="s">
        <v>3022</v>
      </c>
      <c r="O15" s="528">
        <v>42551</v>
      </c>
      <c r="P15" s="527" t="s">
        <v>2751</v>
      </c>
      <c r="Q15" s="527" t="s">
        <v>2835</v>
      </c>
      <c r="R15" s="527"/>
      <c r="S15" s="527">
        <f t="shared" si="0"/>
        <v>26</v>
      </c>
    </row>
    <row r="16" spans="1:19" x14ac:dyDescent="0.2">
      <c r="A16" s="525" t="s">
        <v>3448</v>
      </c>
      <c r="B16" s="526">
        <v>42423</v>
      </c>
      <c r="C16" s="525" t="s">
        <v>3587</v>
      </c>
      <c r="D16" s="525" t="s">
        <v>3449</v>
      </c>
      <c r="E16" s="525" t="s">
        <v>3386</v>
      </c>
      <c r="F16" s="525">
        <v>1</v>
      </c>
      <c r="G16" s="525" t="s">
        <v>2852</v>
      </c>
      <c r="H16" s="525" t="s">
        <v>615</v>
      </c>
      <c r="I16" s="525" t="s">
        <v>3211</v>
      </c>
      <c r="J16" s="525">
        <v>42433</v>
      </c>
      <c r="K16" s="525"/>
      <c r="L16" s="525"/>
      <c r="M16" s="525" t="s">
        <v>2853</v>
      </c>
      <c r="N16" s="525" t="s">
        <v>2088</v>
      </c>
      <c r="O16" s="526">
        <v>42423</v>
      </c>
      <c r="P16" s="525" t="s">
        <v>2750</v>
      </c>
      <c r="Q16" s="525" t="s">
        <v>2829</v>
      </c>
      <c r="R16" s="525"/>
      <c r="S16" s="525">
        <f t="shared" si="0"/>
        <v>10</v>
      </c>
    </row>
    <row r="17" spans="1:19" x14ac:dyDescent="0.2">
      <c r="A17" s="527" t="s">
        <v>3450</v>
      </c>
      <c r="B17" s="528">
        <v>42430</v>
      </c>
      <c r="C17" s="527" t="s">
        <v>3452</v>
      </c>
      <c r="D17" s="527" t="s">
        <v>3451</v>
      </c>
      <c r="E17" s="527" t="s">
        <v>2971</v>
      </c>
      <c r="F17" s="527">
        <v>1</v>
      </c>
      <c r="G17" s="527" t="s">
        <v>2846</v>
      </c>
      <c r="H17" s="527" t="s">
        <v>2331</v>
      </c>
      <c r="I17" s="527" t="s">
        <v>229</v>
      </c>
      <c r="J17" s="527">
        <v>42460</v>
      </c>
      <c r="K17" s="527"/>
      <c r="L17" s="527"/>
      <c r="M17" s="527" t="s">
        <v>2853</v>
      </c>
      <c r="N17" s="527" t="s">
        <v>2088</v>
      </c>
      <c r="O17" s="528">
        <v>42445</v>
      </c>
      <c r="P17" s="527" t="s">
        <v>2750</v>
      </c>
      <c r="Q17" s="527" t="s">
        <v>2829</v>
      </c>
      <c r="R17" s="527"/>
      <c r="S17" s="527">
        <f t="shared" si="0"/>
        <v>30</v>
      </c>
    </row>
    <row r="18" spans="1:19" x14ac:dyDescent="0.2">
      <c r="A18" s="525" t="s">
        <v>3453</v>
      </c>
      <c r="B18" s="526">
        <v>42433</v>
      </c>
      <c r="C18" s="525" t="s">
        <v>3454</v>
      </c>
      <c r="D18" s="525" t="s">
        <v>3455</v>
      </c>
      <c r="E18" s="525" t="s">
        <v>2971</v>
      </c>
      <c r="F18" s="525">
        <v>1</v>
      </c>
      <c r="G18" s="525" t="s">
        <v>2846</v>
      </c>
      <c r="H18" s="525" t="s">
        <v>3227</v>
      </c>
      <c r="I18" s="525" t="s">
        <v>229</v>
      </c>
      <c r="J18" s="525">
        <v>42460</v>
      </c>
      <c r="K18" s="525"/>
      <c r="L18" s="525"/>
      <c r="M18" s="525" t="s">
        <v>2853</v>
      </c>
      <c r="N18" s="525" t="s">
        <v>2088</v>
      </c>
      <c r="O18" s="526">
        <v>42452</v>
      </c>
      <c r="P18" s="525" t="s">
        <v>2750</v>
      </c>
      <c r="Q18" s="525" t="s">
        <v>2829</v>
      </c>
      <c r="R18" s="525"/>
      <c r="S18" s="525">
        <f t="shared" si="0"/>
        <v>27</v>
      </c>
    </row>
    <row r="19" spans="1:19" x14ac:dyDescent="0.2">
      <c r="A19" s="527" t="s">
        <v>3456</v>
      </c>
      <c r="B19" s="528">
        <v>42436</v>
      </c>
      <c r="C19" s="527" t="s">
        <v>3457</v>
      </c>
      <c r="D19" s="527" t="s">
        <v>3458</v>
      </c>
      <c r="E19" s="527" t="s">
        <v>2971</v>
      </c>
      <c r="F19" s="527">
        <v>1</v>
      </c>
      <c r="G19" s="527" t="s">
        <v>2846</v>
      </c>
      <c r="H19" s="527" t="s">
        <v>3144</v>
      </c>
      <c r="I19" s="527" t="s">
        <v>229</v>
      </c>
      <c r="J19" s="527">
        <v>42460</v>
      </c>
      <c r="K19" s="527"/>
      <c r="L19" s="527"/>
      <c r="M19" s="527" t="s">
        <v>2853</v>
      </c>
      <c r="N19" s="527" t="s">
        <v>2088</v>
      </c>
      <c r="O19" s="528">
        <v>42503</v>
      </c>
      <c r="P19" s="527" t="s">
        <v>2751</v>
      </c>
      <c r="Q19" s="527" t="s">
        <v>2832</v>
      </c>
      <c r="R19" s="527"/>
      <c r="S19" s="527">
        <f t="shared" si="0"/>
        <v>24</v>
      </c>
    </row>
    <row r="20" spans="1:19" x14ac:dyDescent="0.2">
      <c r="A20" s="525" t="s">
        <v>3459</v>
      </c>
      <c r="B20" s="526">
        <v>42436</v>
      </c>
      <c r="C20" s="525" t="s">
        <v>3460</v>
      </c>
      <c r="D20" s="525" t="s">
        <v>3461</v>
      </c>
      <c r="E20" s="525" t="s">
        <v>2971</v>
      </c>
      <c r="F20" s="525">
        <v>1</v>
      </c>
      <c r="G20" s="525" t="s">
        <v>2846</v>
      </c>
      <c r="H20" s="525" t="s">
        <v>516</v>
      </c>
      <c r="I20" s="525" t="s">
        <v>229</v>
      </c>
      <c r="J20" s="525">
        <v>42460</v>
      </c>
      <c r="K20" s="525"/>
      <c r="L20" s="525"/>
      <c r="M20" s="525" t="s">
        <v>2853</v>
      </c>
      <c r="N20" s="525" t="s">
        <v>2088</v>
      </c>
      <c r="O20" s="526">
        <v>42580</v>
      </c>
      <c r="P20" s="525" t="s">
        <v>2751</v>
      </c>
      <c r="Q20" s="525" t="s">
        <v>2835</v>
      </c>
      <c r="R20" s="525"/>
      <c r="S20" s="525">
        <f t="shared" si="0"/>
        <v>24</v>
      </c>
    </row>
    <row r="21" spans="1:19" x14ac:dyDescent="0.2">
      <c r="A21" s="527" t="s">
        <v>3462</v>
      </c>
      <c r="B21" s="528">
        <v>42446</v>
      </c>
      <c r="C21" s="527" t="s">
        <v>3464</v>
      </c>
      <c r="D21" s="527" t="s">
        <v>3463</v>
      </c>
      <c r="E21" s="527" t="s">
        <v>3386</v>
      </c>
      <c r="F21" s="527">
        <v>2</v>
      </c>
      <c r="G21" s="527" t="s">
        <v>2852</v>
      </c>
      <c r="H21" s="527" t="s">
        <v>2428</v>
      </c>
      <c r="I21" s="527" t="s">
        <v>3211</v>
      </c>
      <c r="J21" s="527">
        <v>42454</v>
      </c>
      <c r="K21" s="527"/>
      <c r="L21" s="527"/>
      <c r="M21" s="527" t="s">
        <v>2853</v>
      </c>
      <c r="N21" s="527" t="s">
        <v>2088</v>
      </c>
      <c r="O21" s="528">
        <v>42457</v>
      </c>
      <c r="P21" s="527" t="s">
        <v>2751</v>
      </c>
      <c r="Q21" s="527" t="s">
        <v>2829</v>
      </c>
      <c r="R21" s="527"/>
      <c r="S21" s="527">
        <f t="shared" si="0"/>
        <v>8</v>
      </c>
    </row>
    <row r="22" spans="1:19" x14ac:dyDescent="0.2">
      <c r="A22" s="525" t="s">
        <v>3465</v>
      </c>
      <c r="B22" s="526">
        <v>42450</v>
      </c>
      <c r="C22" s="525" t="s">
        <v>3466</v>
      </c>
      <c r="D22" s="525" t="s">
        <v>3467</v>
      </c>
      <c r="E22" s="525" t="s">
        <v>3041</v>
      </c>
      <c r="F22" s="525">
        <v>1</v>
      </c>
      <c r="G22" s="525" t="s">
        <v>2852</v>
      </c>
      <c r="H22" s="525" t="s">
        <v>615</v>
      </c>
      <c r="I22" s="525" t="s">
        <v>3211</v>
      </c>
      <c r="J22" s="525" t="s">
        <v>2088</v>
      </c>
      <c r="K22" s="525"/>
      <c r="L22" s="525"/>
      <c r="M22" s="525" t="s">
        <v>2853</v>
      </c>
      <c r="N22" s="525" t="s">
        <v>2088</v>
      </c>
      <c r="O22" s="526">
        <v>42766</v>
      </c>
      <c r="P22" s="525" t="s">
        <v>2088</v>
      </c>
      <c r="Q22" s="525" t="s">
        <v>2088</v>
      </c>
      <c r="R22" s="525" t="s">
        <v>3710</v>
      </c>
      <c r="S22" s="525" t="e">
        <f t="shared" si="0"/>
        <v>#VALUE!</v>
      </c>
    </row>
    <row r="23" spans="1:19" x14ac:dyDescent="0.2">
      <c r="A23" s="527" t="s">
        <v>3468</v>
      </c>
      <c r="B23" s="528">
        <v>42452</v>
      </c>
      <c r="C23" s="527" t="s">
        <v>3470</v>
      </c>
      <c r="D23" s="527" t="s">
        <v>3474</v>
      </c>
      <c r="E23" s="527" t="s">
        <v>2869</v>
      </c>
      <c r="F23" s="527">
        <v>1</v>
      </c>
      <c r="G23" s="527" t="s">
        <v>2852</v>
      </c>
      <c r="H23" s="527" t="s">
        <v>3227</v>
      </c>
      <c r="I23" s="527" t="s">
        <v>3211</v>
      </c>
      <c r="J23" s="527">
        <v>42461</v>
      </c>
      <c r="K23" s="527"/>
      <c r="L23" s="527"/>
      <c r="M23" s="527" t="s">
        <v>2853</v>
      </c>
      <c r="N23" s="527" t="s">
        <v>2088</v>
      </c>
      <c r="O23" s="528">
        <v>42465</v>
      </c>
      <c r="P23" s="527" t="s">
        <v>2751</v>
      </c>
      <c r="Q23" s="527" t="s">
        <v>2829</v>
      </c>
      <c r="R23" s="527"/>
      <c r="S23" s="527">
        <f t="shared" si="0"/>
        <v>9</v>
      </c>
    </row>
    <row r="24" spans="1:19" x14ac:dyDescent="0.2">
      <c r="A24" s="525" t="s">
        <v>3469</v>
      </c>
      <c r="B24" s="526">
        <v>42452</v>
      </c>
      <c r="C24" s="525" t="s">
        <v>3471</v>
      </c>
      <c r="D24" s="525" t="s">
        <v>3472</v>
      </c>
      <c r="E24" s="525" t="s">
        <v>3473</v>
      </c>
      <c r="F24" s="525">
        <v>1</v>
      </c>
      <c r="G24" s="525" t="s">
        <v>2852</v>
      </c>
      <c r="H24" s="525" t="s">
        <v>2067</v>
      </c>
      <c r="I24" s="525" t="s">
        <v>3211</v>
      </c>
      <c r="J24" s="525">
        <v>42483</v>
      </c>
      <c r="K24" s="525"/>
      <c r="L24" s="525"/>
      <c r="M24" s="525" t="s">
        <v>2853</v>
      </c>
      <c r="N24" s="525" t="s">
        <v>2088</v>
      </c>
      <c r="O24" s="526">
        <v>42452</v>
      </c>
      <c r="P24" s="525" t="s">
        <v>2750</v>
      </c>
      <c r="Q24" s="525" t="s">
        <v>2829</v>
      </c>
      <c r="R24" s="525"/>
      <c r="S24" s="525">
        <f t="shared" si="0"/>
        <v>31</v>
      </c>
    </row>
    <row r="25" spans="1:19" x14ac:dyDescent="0.2">
      <c r="A25" s="527" t="s">
        <v>3475</v>
      </c>
      <c r="B25" s="528">
        <v>42460</v>
      </c>
      <c r="C25" s="527" t="s">
        <v>3476</v>
      </c>
      <c r="D25" s="527" t="s">
        <v>3477</v>
      </c>
      <c r="E25" s="527" t="s">
        <v>2971</v>
      </c>
      <c r="F25" s="527">
        <v>1</v>
      </c>
      <c r="G25" s="527" t="s">
        <v>2880</v>
      </c>
      <c r="H25" s="527" t="s">
        <v>685</v>
      </c>
      <c r="I25" s="527" t="s">
        <v>229</v>
      </c>
      <c r="J25" s="527">
        <v>42468</v>
      </c>
      <c r="K25" s="527"/>
      <c r="L25" s="527"/>
      <c r="M25" s="527" t="s">
        <v>2853</v>
      </c>
      <c r="N25" s="527" t="s">
        <v>2088</v>
      </c>
      <c r="O25" s="528">
        <v>42468</v>
      </c>
      <c r="P25" s="527" t="s">
        <v>2750</v>
      </c>
      <c r="Q25" s="527" t="s">
        <v>2829</v>
      </c>
      <c r="R25" s="527"/>
      <c r="S25" s="527">
        <f t="shared" si="0"/>
        <v>8</v>
      </c>
    </row>
    <row r="26" spans="1:19" x14ac:dyDescent="0.2">
      <c r="A26" s="525" t="s">
        <v>3478</v>
      </c>
      <c r="B26" s="526">
        <v>42461</v>
      </c>
      <c r="C26" s="525" t="s">
        <v>3479</v>
      </c>
      <c r="D26" s="525" t="s">
        <v>3480</v>
      </c>
      <c r="E26" s="525" t="s">
        <v>2971</v>
      </c>
      <c r="F26" s="525">
        <v>1</v>
      </c>
      <c r="G26" s="525" t="s">
        <v>2880</v>
      </c>
      <c r="H26" s="525" t="s">
        <v>516</v>
      </c>
      <c r="I26" s="525" t="s">
        <v>229</v>
      </c>
      <c r="J26" s="525">
        <v>42522</v>
      </c>
      <c r="K26" s="525"/>
      <c r="L26" s="525"/>
      <c r="M26" s="525" t="s">
        <v>2853</v>
      </c>
      <c r="N26" s="525" t="s">
        <v>2088</v>
      </c>
      <c r="O26" s="526">
        <v>42473</v>
      </c>
      <c r="P26" s="525" t="s">
        <v>2750</v>
      </c>
      <c r="Q26" s="525" t="s">
        <v>2829</v>
      </c>
      <c r="R26" s="525"/>
      <c r="S26" s="525">
        <f t="shared" si="0"/>
        <v>61</v>
      </c>
    </row>
    <row r="27" spans="1:19" x14ac:dyDescent="0.2">
      <c r="A27" s="527" t="s">
        <v>3481</v>
      </c>
      <c r="B27" s="528">
        <v>42465</v>
      </c>
      <c r="C27" s="527" t="s">
        <v>3483</v>
      </c>
      <c r="D27" s="527" t="s">
        <v>3426</v>
      </c>
      <c r="E27" s="527" t="s">
        <v>3335</v>
      </c>
      <c r="F27" s="527">
        <v>1</v>
      </c>
      <c r="G27" s="527" t="s">
        <v>2852</v>
      </c>
      <c r="H27" s="527" t="s">
        <v>3167</v>
      </c>
      <c r="I27" s="527" t="s">
        <v>3211</v>
      </c>
      <c r="J27" s="527">
        <v>42495</v>
      </c>
      <c r="K27" s="527"/>
      <c r="L27" s="527"/>
      <c r="M27" s="527" t="s">
        <v>2853</v>
      </c>
      <c r="N27" s="527" t="s">
        <v>2088</v>
      </c>
      <c r="O27" s="528">
        <v>42466</v>
      </c>
      <c r="P27" s="527" t="s">
        <v>2750</v>
      </c>
      <c r="Q27" s="527" t="s">
        <v>2829</v>
      </c>
      <c r="R27" s="527"/>
      <c r="S27" s="527">
        <f t="shared" si="0"/>
        <v>30</v>
      </c>
    </row>
    <row r="28" spans="1:19" x14ac:dyDescent="0.2">
      <c r="A28" s="525" t="s">
        <v>3482</v>
      </c>
      <c r="B28" s="526">
        <v>42466</v>
      </c>
      <c r="C28" s="525" t="s">
        <v>3484</v>
      </c>
      <c r="D28" s="525" t="s">
        <v>3426</v>
      </c>
      <c r="E28" s="525" t="s">
        <v>3335</v>
      </c>
      <c r="F28" s="525">
        <v>1</v>
      </c>
      <c r="G28" s="525" t="s">
        <v>2852</v>
      </c>
      <c r="H28" s="525" t="s">
        <v>3167</v>
      </c>
      <c r="I28" s="525" t="s">
        <v>3211</v>
      </c>
      <c r="J28" s="525">
        <v>42495</v>
      </c>
      <c r="K28" s="525"/>
      <c r="L28" s="525"/>
      <c r="M28" s="525" t="s">
        <v>2853</v>
      </c>
      <c r="N28" s="525" t="s">
        <v>2088</v>
      </c>
      <c r="O28" s="526">
        <v>42466</v>
      </c>
      <c r="P28" s="525" t="s">
        <v>2750</v>
      </c>
      <c r="Q28" s="525" t="s">
        <v>2829</v>
      </c>
      <c r="R28" s="525"/>
      <c r="S28" s="525">
        <f t="shared" si="0"/>
        <v>29</v>
      </c>
    </row>
    <row r="29" spans="1:19" x14ac:dyDescent="0.2">
      <c r="A29" s="527" t="s">
        <v>3485</v>
      </c>
      <c r="B29" s="528">
        <v>42472</v>
      </c>
      <c r="C29" s="527" t="s">
        <v>3486</v>
      </c>
      <c r="D29" s="527" t="s">
        <v>3306</v>
      </c>
      <c r="E29" s="527" t="s">
        <v>2971</v>
      </c>
      <c r="F29" s="527">
        <v>1</v>
      </c>
      <c r="G29" s="527" t="s">
        <v>2846</v>
      </c>
      <c r="H29" s="527" t="s">
        <v>727</v>
      </c>
      <c r="I29" s="527" t="s">
        <v>229</v>
      </c>
      <c r="J29" s="527">
        <v>42674</v>
      </c>
      <c r="K29" s="527"/>
      <c r="L29" s="527"/>
      <c r="M29" s="527" t="s">
        <v>2853</v>
      </c>
      <c r="N29" s="527" t="s">
        <v>2088</v>
      </c>
      <c r="O29" s="528">
        <v>42495</v>
      </c>
      <c r="P29" s="527" t="s">
        <v>2750</v>
      </c>
      <c r="Q29" s="527" t="s">
        <v>2829</v>
      </c>
      <c r="R29" s="527"/>
      <c r="S29" s="527">
        <f t="shared" si="0"/>
        <v>202</v>
      </c>
    </row>
    <row r="30" spans="1:19" x14ac:dyDescent="0.2">
      <c r="A30" s="525" t="s">
        <v>3487</v>
      </c>
      <c r="B30" s="526">
        <v>42473</v>
      </c>
      <c r="C30" s="525" t="s">
        <v>3488</v>
      </c>
      <c r="D30" s="525" t="s">
        <v>3489</v>
      </c>
      <c r="E30" s="525" t="s">
        <v>3033</v>
      </c>
      <c r="F30" s="525">
        <v>1</v>
      </c>
      <c r="G30" s="525" t="s">
        <v>2852</v>
      </c>
      <c r="H30" s="525" t="s">
        <v>3167</v>
      </c>
      <c r="I30" s="525" t="s">
        <v>3211</v>
      </c>
      <c r="J30" s="525">
        <v>42515</v>
      </c>
      <c r="K30" s="525"/>
      <c r="L30" s="525"/>
      <c r="M30" s="525" t="s">
        <v>2853</v>
      </c>
      <c r="N30" s="525" t="s">
        <v>2088</v>
      </c>
      <c r="O30" s="526">
        <v>42613</v>
      </c>
      <c r="P30" s="525" t="s">
        <v>2751</v>
      </c>
      <c r="Q30" s="525" t="s">
        <v>2835</v>
      </c>
      <c r="R30" s="525"/>
      <c r="S30" s="525">
        <f t="shared" si="0"/>
        <v>42</v>
      </c>
    </row>
    <row r="31" spans="1:19" x14ac:dyDescent="0.2">
      <c r="A31" s="527" t="s">
        <v>3490</v>
      </c>
      <c r="B31" s="528">
        <v>42474</v>
      </c>
      <c r="C31" s="527" t="s">
        <v>3491</v>
      </c>
      <c r="D31" s="527" t="s">
        <v>3492</v>
      </c>
      <c r="E31" s="527" t="s">
        <v>2971</v>
      </c>
      <c r="F31" s="527">
        <v>2</v>
      </c>
      <c r="G31" s="527" t="s">
        <v>2880</v>
      </c>
      <c r="H31" s="527" t="s">
        <v>516</v>
      </c>
      <c r="I31" s="527" t="s">
        <v>229</v>
      </c>
      <c r="J31" s="527">
        <v>42551</v>
      </c>
      <c r="K31" s="527"/>
      <c r="L31" s="527"/>
      <c r="M31" s="527" t="s">
        <v>2853</v>
      </c>
      <c r="N31" s="527" t="s">
        <v>3061</v>
      </c>
      <c r="O31" s="528">
        <v>42583</v>
      </c>
      <c r="P31" s="527" t="s">
        <v>2750</v>
      </c>
      <c r="Q31" s="527" t="s">
        <v>2835</v>
      </c>
      <c r="R31" s="527"/>
      <c r="S31" s="527">
        <f t="shared" si="0"/>
        <v>77</v>
      </c>
    </row>
    <row r="32" spans="1:19" x14ac:dyDescent="0.2">
      <c r="A32" s="525" t="s">
        <v>3493</v>
      </c>
      <c r="B32" s="526">
        <v>42489</v>
      </c>
      <c r="C32" s="525" t="s">
        <v>3494</v>
      </c>
      <c r="D32" s="525" t="s">
        <v>3498</v>
      </c>
      <c r="E32" s="525" t="s">
        <v>2971</v>
      </c>
      <c r="F32" s="525">
        <v>1</v>
      </c>
      <c r="G32" s="525" t="s">
        <v>2927</v>
      </c>
      <c r="H32" s="525" t="s">
        <v>229</v>
      </c>
      <c r="I32" s="525" t="s">
        <v>229</v>
      </c>
      <c r="J32" s="525">
        <v>42551</v>
      </c>
      <c r="K32" s="525"/>
      <c r="L32" s="525"/>
      <c r="M32" s="525" t="s">
        <v>2853</v>
      </c>
      <c r="N32" s="525" t="s">
        <v>2088</v>
      </c>
      <c r="O32" s="526">
        <v>42544</v>
      </c>
      <c r="P32" s="525" t="s">
        <v>2750</v>
      </c>
      <c r="Q32" s="525" t="s">
        <v>2832</v>
      </c>
      <c r="R32" s="525"/>
      <c r="S32" s="525">
        <f t="shared" si="0"/>
        <v>62</v>
      </c>
    </row>
    <row r="33" spans="1:19" x14ac:dyDescent="0.2">
      <c r="A33" s="527" t="s">
        <v>3495</v>
      </c>
      <c r="B33" s="528">
        <v>42492</v>
      </c>
      <c r="C33" s="527" t="s">
        <v>3497</v>
      </c>
      <c r="D33" s="527" t="s">
        <v>3496</v>
      </c>
      <c r="E33" s="527" t="s">
        <v>3852</v>
      </c>
      <c r="F33" s="527">
        <v>1</v>
      </c>
      <c r="G33" s="527" t="s">
        <v>2852</v>
      </c>
      <c r="H33" s="527" t="s">
        <v>2428</v>
      </c>
      <c r="I33" s="527" t="s">
        <v>3211</v>
      </c>
      <c r="J33" s="527">
        <v>42503</v>
      </c>
      <c r="K33" s="527"/>
      <c r="L33" s="527"/>
      <c r="M33" s="527" t="s">
        <v>2853</v>
      </c>
      <c r="N33" s="527" t="s">
        <v>2088</v>
      </c>
      <c r="O33" s="528">
        <v>42494</v>
      </c>
      <c r="P33" s="527" t="s">
        <v>2750</v>
      </c>
      <c r="Q33" s="527" t="s">
        <v>2829</v>
      </c>
      <c r="R33" s="527"/>
      <c r="S33" s="527">
        <f t="shared" si="0"/>
        <v>11</v>
      </c>
    </row>
    <row r="34" spans="1:19" x14ac:dyDescent="0.2">
      <c r="A34" s="525" t="s">
        <v>3499</v>
      </c>
      <c r="B34" s="526">
        <v>42513</v>
      </c>
      <c r="C34" s="525" t="s">
        <v>3500</v>
      </c>
      <c r="D34" s="525" t="s">
        <v>3039</v>
      </c>
      <c r="E34" s="525" t="s">
        <v>2971</v>
      </c>
      <c r="F34" s="525">
        <v>1</v>
      </c>
      <c r="G34" s="525" t="s">
        <v>2846</v>
      </c>
      <c r="H34" s="525" t="s">
        <v>2331</v>
      </c>
      <c r="I34" s="525" t="s">
        <v>229</v>
      </c>
      <c r="J34" s="525">
        <v>42551</v>
      </c>
      <c r="K34" s="525"/>
      <c r="L34" s="525"/>
      <c r="M34" s="525" t="s">
        <v>2853</v>
      </c>
      <c r="N34" s="525" t="s">
        <v>2088</v>
      </c>
      <c r="O34" s="526">
        <v>42524</v>
      </c>
      <c r="P34" s="525" t="s">
        <v>2750</v>
      </c>
      <c r="Q34" s="525" t="s">
        <v>2829</v>
      </c>
      <c r="R34" s="525"/>
      <c r="S34" s="525">
        <f t="shared" si="0"/>
        <v>38</v>
      </c>
    </row>
    <row r="35" spans="1:19" x14ac:dyDescent="0.2">
      <c r="A35" s="527" t="s">
        <v>3501</v>
      </c>
      <c r="B35" s="528">
        <v>42516</v>
      </c>
      <c r="C35" s="527" t="s">
        <v>3503</v>
      </c>
      <c r="D35" s="527" t="s">
        <v>3502</v>
      </c>
      <c r="E35" s="527" t="s">
        <v>2971</v>
      </c>
      <c r="F35" s="527">
        <v>1</v>
      </c>
      <c r="G35" s="527" t="s">
        <v>2922</v>
      </c>
      <c r="H35" s="527" t="s">
        <v>441</v>
      </c>
      <c r="I35" s="527" t="s">
        <v>229</v>
      </c>
      <c r="J35" s="527">
        <v>42521</v>
      </c>
      <c r="K35" s="527"/>
      <c r="L35" s="527"/>
      <c r="M35" s="527" t="s">
        <v>2853</v>
      </c>
      <c r="N35" s="527" t="s">
        <v>2088</v>
      </c>
      <c r="O35" s="528">
        <v>42516</v>
      </c>
      <c r="P35" s="527" t="s">
        <v>2750</v>
      </c>
      <c r="Q35" s="527" t="s">
        <v>2829</v>
      </c>
      <c r="R35" s="527"/>
      <c r="S35" s="527">
        <f t="shared" si="0"/>
        <v>5</v>
      </c>
    </row>
    <row r="36" spans="1:19" x14ac:dyDescent="0.2">
      <c r="A36" s="525" t="s">
        <v>3504</v>
      </c>
      <c r="B36" s="526">
        <v>42527</v>
      </c>
      <c r="C36" s="525" t="s">
        <v>3505</v>
      </c>
      <c r="D36" s="525" t="s">
        <v>3506</v>
      </c>
      <c r="E36" s="525" t="s">
        <v>3323</v>
      </c>
      <c r="F36" s="525">
        <v>1</v>
      </c>
      <c r="G36" s="525" t="s">
        <v>2852</v>
      </c>
      <c r="H36" s="525" t="s">
        <v>3227</v>
      </c>
      <c r="I36" s="525" t="s">
        <v>3211</v>
      </c>
      <c r="J36" s="525">
        <v>42534</v>
      </c>
      <c r="K36" s="525"/>
      <c r="L36" s="525"/>
      <c r="M36" s="525" t="s">
        <v>2853</v>
      </c>
      <c r="N36" s="525" t="s">
        <v>2088</v>
      </c>
      <c r="O36" s="526">
        <v>42538</v>
      </c>
      <c r="P36" s="525" t="s">
        <v>2751</v>
      </c>
      <c r="Q36" s="525" t="s">
        <v>2829</v>
      </c>
      <c r="R36" s="525"/>
      <c r="S36" s="525">
        <f t="shared" si="0"/>
        <v>7</v>
      </c>
    </row>
    <row r="37" spans="1:19" x14ac:dyDescent="0.2">
      <c r="A37" s="527" t="s">
        <v>3507</v>
      </c>
      <c r="B37" s="528">
        <v>42528</v>
      </c>
      <c r="C37" s="527" t="s">
        <v>3508</v>
      </c>
      <c r="D37" s="527" t="s">
        <v>3509</v>
      </c>
      <c r="E37" s="527" t="s">
        <v>2869</v>
      </c>
      <c r="F37" s="527">
        <v>1</v>
      </c>
      <c r="G37" s="527" t="s">
        <v>2852</v>
      </c>
      <c r="H37" s="527" t="s">
        <v>3423</v>
      </c>
      <c r="I37" s="527" t="s">
        <v>3211</v>
      </c>
      <c r="J37" s="527">
        <v>42558</v>
      </c>
      <c r="K37" s="527"/>
      <c r="L37" s="527"/>
      <c r="M37" s="527" t="s">
        <v>2853</v>
      </c>
      <c r="N37" s="527" t="s">
        <v>2088</v>
      </c>
      <c r="O37" s="528">
        <v>42594</v>
      </c>
      <c r="P37" s="527" t="s">
        <v>2751</v>
      </c>
      <c r="Q37" s="527" t="s">
        <v>2832</v>
      </c>
      <c r="R37" s="527"/>
      <c r="S37" s="527">
        <f t="shared" si="0"/>
        <v>30</v>
      </c>
    </row>
    <row r="38" spans="1:19" x14ac:dyDescent="0.2">
      <c r="A38" s="525" t="s">
        <v>3510</v>
      </c>
      <c r="B38" s="526">
        <v>42543</v>
      </c>
      <c r="C38" s="525" t="s">
        <v>3530</v>
      </c>
      <c r="D38" s="525" t="s">
        <v>3531</v>
      </c>
      <c r="E38" s="525" t="s">
        <v>3519</v>
      </c>
      <c r="F38" s="525">
        <v>2</v>
      </c>
      <c r="G38" s="525" t="s">
        <v>2852</v>
      </c>
      <c r="H38" s="525" t="s">
        <v>3227</v>
      </c>
      <c r="I38" s="525" t="s">
        <v>3211</v>
      </c>
      <c r="J38" s="525">
        <v>42556</v>
      </c>
      <c r="K38" s="525"/>
      <c r="L38" s="525"/>
      <c r="M38" s="525" t="s">
        <v>2853</v>
      </c>
      <c r="N38" s="525" t="s">
        <v>2088</v>
      </c>
      <c r="O38" s="526">
        <v>42633</v>
      </c>
      <c r="P38" s="525" t="s">
        <v>2751</v>
      </c>
      <c r="Q38" s="525" t="s">
        <v>2832</v>
      </c>
      <c r="R38" s="525"/>
      <c r="S38" s="525">
        <f t="shared" si="0"/>
        <v>13</v>
      </c>
    </row>
    <row r="39" spans="1:19" x14ac:dyDescent="0.2">
      <c r="A39" s="527" t="s">
        <v>3511</v>
      </c>
      <c r="B39" s="528">
        <v>42536</v>
      </c>
      <c r="C39" s="527" t="s">
        <v>3512</v>
      </c>
      <c r="D39" s="527" t="s">
        <v>3513</v>
      </c>
      <c r="E39" s="527" t="s">
        <v>2971</v>
      </c>
      <c r="F39" s="527">
        <v>1</v>
      </c>
      <c r="G39" s="527" t="s">
        <v>2846</v>
      </c>
      <c r="H39" s="527" t="s">
        <v>237</v>
      </c>
      <c r="I39" s="527" t="s">
        <v>229</v>
      </c>
      <c r="J39" s="527">
        <v>42551</v>
      </c>
      <c r="K39" s="527"/>
      <c r="L39" s="527"/>
      <c r="M39" s="527" t="s">
        <v>2853</v>
      </c>
      <c r="N39" s="527" t="s">
        <v>2088</v>
      </c>
      <c r="O39" s="528">
        <v>42543</v>
      </c>
      <c r="P39" s="527" t="s">
        <v>2750</v>
      </c>
      <c r="Q39" s="527" t="s">
        <v>2829</v>
      </c>
      <c r="R39" s="527"/>
      <c r="S39" s="527">
        <f t="shared" si="0"/>
        <v>15</v>
      </c>
    </row>
    <row r="40" spans="1:19" x14ac:dyDescent="0.2">
      <c r="A40" s="525" t="s">
        <v>3514</v>
      </c>
      <c r="B40" s="526">
        <v>42536</v>
      </c>
      <c r="C40" s="525" t="s">
        <v>3515</v>
      </c>
      <c r="D40" s="525" t="s">
        <v>3535</v>
      </c>
      <c r="E40" s="525" t="s">
        <v>2971</v>
      </c>
      <c r="F40" s="525">
        <v>1</v>
      </c>
      <c r="G40" s="525" t="s">
        <v>2846</v>
      </c>
      <c r="H40" s="525" t="s">
        <v>2106</v>
      </c>
      <c r="I40" s="525" t="s">
        <v>441</v>
      </c>
      <c r="J40" s="525">
        <v>42580</v>
      </c>
      <c r="K40" s="525"/>
      <c r="L40" s="525"/>
      <c r="M40" s="525" t="s">
        <v>2853</v>
      </c>
      <c r="N40" s="525" t="s">
        <v>2088</v>
      </c>
      <c r="O40" s="526">
        <v>42562</v>
      </c>
      <c r="P40" s="525" t="s">
        <v>2750</v>
      </c>
      <c r="Q40" s="525" t="s">
        <v>2829</v>
      </c>
      <c r="R40" s="525"/>
      <c r="S40" s="525">
        <f t="shared" si="0"/>
        <v>44</v>
      </c>
    </row>
    <row r="41" spans="1:19" x14ac:dyDescent="0.2">
      <c r="A41" s="527" t="s">
        <v>3516</v>
      </c>
      <c r="B41" s="528">
        <v>42537</v>
      </c>
      <c r="C41" s="527" t="s">
        <v>3517</v>
      </c>
      <c r="D41" s="527" t="s">
        <v>3518</v>
      </c>
      <c r="E41" s="527" t="s">
        <v>3519</v>
      </c>
      <c r="F41" s="527">
        <v>1</v>
      </c>
      <c r="G41" s="527" t="s">
        <v>2852</v>
      </c>
      <c r="H41" s="527" t="s">
        <v>3227</v>
      </c>
      <c r="I41" s="527" t="s">
        <v>3211</v>
      </c>
      <c r="J41" s="527">
        <v>42539</v>
      </c>
      <c r="K41" s="527"/>
      <c r="L41" s="527"/>
      <c r="M41" s="527" t="s">
        <v>2853</v>
      </c>
      <c r="N41" s="527" t="s">
        <v>2088</v>
      </c>
      <c r="O41" s="528">
        <v>42538</v>
      </c>
      <c r="P41" s="527" t="s">
        <v>2750</v>
      </c>
      <c r="Q41" s="527" t="s">
        <v>2829</v>
      </c>
      <c r="R41" s="527"/>
      <c r="S41" s="527">
        <f t="shared" si="0"/>
        <v>2</v>
      </c>
    </row>
    <row r="42" spans="1:19" x14ac:dyDescent="0.2">
      <c r="A42" s="525" t="s">
        <v>3520</v>
      </c>
      <c r="B42" s="526">
        <v>42544</v>
      </c>
      <c r="C42" s="525" t="s">
        <v>3521</v>
      </c>
      <c r="D42" s="525" t="s">
        <v>3522</v>
      </c>
      <c r="E42" s="525" t="s">
        <v>2971</v>
      </c>
      <c r="F42" s="525">
        <v>1</v>
      </c>
      <c r="G42" s="525" t="s">
        <v>2846</v>
      </c>
      <c r="H42" s="525" t="s">
        <v>727</v>
      </c>
      <c r="I42" s="525" t="s">
        <v>229</v>
      </c>
      <c r="J42" s="525">
        <v>42582</v>
      </c>
      <c r="K42" s="525"/>
      <c r="L42" s="525"/>
      <c r="M42" s="525" t="s">
        <v>2853</v>
      </c>
      <c r="N42" s="525" t="s">
        <v>2088</v>
      </c>
      <c r="O42" s="526">
        <v>42573</v>
      </c>
      <c r="P42" s="525" t="s">
        <v>2750</v>
      </c>
      <c r="Q42" s="525" t="s">
        <v>2829</v>
      </c>
      <c r="R42" s="525"/>
      <c r="S42" s="525">
        <f t="shared" si="0"/>
        <v>38</v>
      </c>
    </row>
    <row r="43" spans="1:19" x14ac:dyDescent="0.2">
      <c r="A43" s="527" t="s">
        <v>3523</v>
      </c>
      <c r="B43" s="528">
        <v>42544</v>
      </c>
      <c r="C43" s="527" t="s">
        <v>3524</v>
      </c>
      <c r="D43" s="527" t="s">
        <v>3525</v>
      </c>
      <c r="E43" s="527" t="s">
        <v>2971</v>
      </c>
      <c r="F43" s="527">
        <v>1</v>
      </c>
      <c r="G43" s="527" t="s">
        <v>2846</v>
      </c>
      <c r="H43" s="527" t="s">
        <v>685</v>
      </c>
      <c r="I43" s="527" t="s">
        <v>229</v>
      </c>
      <c r="J43" s="527">
        <v>42582</v>
      </c>
      <c r="K43" s="527"/>
      <c r="L43" s="527"/>
      <c r="M43" s="527" t="s">
        <v>2853</v>
      </c>
      <c r="N43" s="527" t="s">
        <v>2088</v>
      </c>
      <c r="O43" s="528">
        <v>42564</v>
      </c>
      <c r="P43" s="527" t="s">
        <v>2750</v>
      </c>
      <c r="Q43" s="527" t="s">
        <v>2829</v>
      </c>
      <c r="R43" s="527"/>
      <c r="S43" s="527">
        <f t="shared" si="0"/>
        <v>38</v>
      </c>
    </row>
    <row r="44" spans="1:19" x14ac:dyDescent="0.2">
      <c r="A44" s="525" t="s">
        <v>3526</v>
      </c>
      <c r="B44" s="526">
        <v>42544</v>
      </c>
      <c r="C44" s="525" t="s">
        <v>3528</v>
      </c>
      <c r="D44" s="525" t="s">
        <v>3529</v>
      </c>
      <c r="E44" s="525" t="s">
        <v>2971</v>
      </c>
      <c r="F44" s="525">
        <v>1</v>
      </c>
      <c r="G44" s="525" t="s">
        <v>2846</v>
      </c>
      <c r="H44" s="525" t="s">
        <v>229</v>
      </c>
      <c r="I44" s="525" t="s">
        <v>229</v>
      </c>
      <c r="J44" s="525">
        <v>42582</v>
      </c>
      <c r="K44" s="525"/>
      <c r="L44" s="525"/>
      <c r="M44" s="525" t="s">
        <v>2853</v>
      </c>
      <c r="N44" s="525" t="s">
        <v>2088</v>
      </c>
      <c r="O44" s="526">
        <v>42572</v>
      </c>
      <c r="P44" s="525" t="s">
        <v>2750</v>
      </c>
      <c r="Q44" s="525" t="s">
        <v>2829</v>
      </c>
      <c r="R44" s="525"/>
      <c r="S44" s="525">
        <f t="shared" si="0"/>
        <v>38</v>
      </c>
    </row>
    <row r="45" spans="1:19" x14ac:dyDescent="0.2">
      <c r="A45" s="527" t="s">
        <v>3544</v>
      </c>
      <c r="B45" s="528">
        <v>42545</v>
      </c>
      <c r="C45" s="527" t="s">
        <v>3603</v>
      </c>
      <c r="D45" s="527" t="s">
        <v>3527</v>
      </c>
      <c r="E45" s="527" t="s">
        <v>2971</v>
      </c>
      <c r="F45" s="527">
        <v>1</v>
      </c>
      <c r="G45" s="527" t="s">
        <v>2846</v>
      </c>
      <c r="H45" s="527" t="s">
        <v>3211</v>
      </c>
      <c r="I45" s="527" t="s">
        <v>3211</v>
      </c>
      <c r="J45" s="527">
        <v>42582</v>
      </c>
      <c r="K45" s="527"/>
      <c r="L45" s="527"/>
      <c r="M45" s="527" t="s">
        <v>2853</v>
      </c>
      <c r="N45" s="527" t="s">
        <v>2088</v>
      </c>
      <c r="O45" s="528">
        <v>42571</v>
      </c>
      <c r="P45" s="527" t="s">
        <v>2750</v>
      </c>
      <c r="Q45" s="527" t="s">
        <v>2829</v>
      </c>
      <c r="R45" s="527"/>
      <c r="S45" s="527">
        <f t="shared" si="0"/>
        <v>37</v>
      </c>
    </row>
    <row r="46" spans="1:19" x14ac:dyDescent="0.2">
      <c r="A46" s="525" t="s">
        <v>3545</v>
      </c>
      <c r="B46" s="526">
        <v>42550</v>
      </c>
      <c r="C46" s="525" t="s">
        <v>3533</v>
      </c>
      <c r="D46" s="525" t="s">
        <v>3518</v>
      </c>
      <c r="E46" s="525" t="s">
        <v>3532</v>
      </c>
      <c r="F46" s="525">
        <v>1</v>
      </c>
      <c r="G46" s="525" t="s">
        <v>2852</v>
      </c>
      <c r="H46" s="525" t="s">
        <v>3227</v>
      </c>
      <c r="I46" s="525" t="s">
        <v>3211</v>
      </c>
      <c r="J46" s="525">
        <v>42580</v>
      </c>
      <c r="K46" s="525"/>
      <c r="L46" s="525"/>
      <c r="M46" s="525" t="s">
        <v>2853</v>
      </c>
      <c r="N46" s="525" t="s">
        <v>2088</v>
      </c>
      <c r="O46" s="526">
        <v>42706</v>
      </c>
      <c r="P46" s="525" t="s">
        <v>2751</v>
      </c>
      <c r="Q46" s="525" t="s">
        <v>2835</v>
      </c>
      <c r="R46" s="525"/>
      <c r="S46" s="525">
        <f t="shared" si="0"/>
        <v>30</v>
      </c>
    </row>
    <row r="47" spans="1:19" x14ac:dyDescent="0.2">
      <c r="A47" s="527" t="s">
        <v>3546</v>
      </c>
      <c r="B47" s="528">
        <v>42551</v>
      </c>
      <c r="C47" s="527" t="s">
        <v>3534</v>
      </c>
      <c r="D47" s="527" t="s">
        <v>3177</v>
      </c>
      <c r="E47" s="527" t="s">
        <v>2971</v>
      </c>
      <c r="F47" s="527">
        <v>1</v>
      </c>
      <c r="G47" s="527" t="s">
        <v>2846</v>
      </c>
      <c r="H47" s="527" t="s">
        <v>685</v>
      </c>
      <c r="I47" s="527" t="s">
        <v>229</v>
      </c>
      <c r="J47" s="527">
        <v>42582</v>
      </c>
      <c r="K47" s="527"/>
      <c r="L47" s="527"/>
      <c r="M47" s="527" t="s">
        <v>2853</v>
      </c>
      <c r="N47" s="527" t="s">
        <v>2088</v>
      </c>
      <c r="O47" s="528">
        <v>42580</v>
      </c>
      <c r="P47" s="527" t="s">
        <v>2750</v>
      </c>
      <c r="Q47" s="527" t="s">
        <v>2829</v>
      </c>
      <c r="R47" s="527"/>
      <c r="S47" s="527">
        <f t="shared" si="0"/>
        <v>31</v>
      </c>
    </row>
    <row r="48" spans="1:19" x14ac:dyDescent="0.2">
      <c r="A48" s="525" t="s">
        <v>3547</v>
      </c>
      <c r="B48" s="526">
        <v>42562</v>
      </c>
      <c r="C48" s="525" t="s">
        <v>3536</v>
      </c>
      <c r="D48" s="525" t="s">
        <v>3225</v>
      </c>
      <c r="E48" s="525" t="s">
        <v>2971</v>
      </c>
      <c r="F48" s="525">
        <v>1</v>
      </c>
      <c r="G48" s="525" t="s">
        <v>2846</v>
      </c>
      <c r="H48" s="525" t="s">
        <v>1203</v>
      </c>
      <c r="I48" s="525" t="s">
        <v>229</v>
      </c>
      <c r="J48" s="525">
        <v>42613</v>
      </c>
      <c r="K48" s="525"/>
      <c r="L48" s="525"/>
      <c r="M48" s="525" t="s">
        <v>2853</v>
      </c>
      <c r="N48" s="525" t="s">
        <v>3022</v>
      </c>
      <c r="O48" s="526">
        <v>43209</v>
      </c>
      <c r="P48" s="525" t="s">
        <v>2751</v>
      </c>
      <c r="Q48" s="525" t="s">
        <v>2839</v>
      </c>
      <c r="R48" s="525"/>
      <c r="S48" s="525">
        <f t="shared" si="0"/>
        <v>51</v>
      </c>
    </row>
    <row r="49" spans="1:19" x14ac:dyDescent="0.2">
      <c r="A49" s="527" t="s">
        <v>3548</v>
      </c>
      <c r="B49" s="528">
        <v>42562</v>
      </c>
      <c r="C49" s="527" t="s">
        <v>3537</v>
      </c>
      <c r="D49" s="527" t="s">
        <v>3225</v>
      </c>
      <c r="E49" s="527" t="s">
        <v>2971</v>
      </c>
      <c r="F49" s="527">
        <v>1</v>
      </c>
      <c r="G49" s="527" t="s">
        <v>2846</v>
      </c>
      <c r="H49" s="527" t="s">
        <v>229</v>
      </c>
      <c r="I49" s="527" t="s">
        <v>229</v>
      </c>
      <c r="J49" s="527">
        <v>42613</v>
      </c>
      <c r="K49" s="527"/>
      <c r="L49" s="527"/>
      <c r="M49" s="527" t="s">
        <v>2853</v>
      </c>
      <c r="N49" s="527" t="s">
        <v>3022</v>
      </c>
      <c r="O49" s="528">
        <v>43024</v>
      </c>
      <c r="P49" s="527" t="s">
        <v>2751</v>
      </c>
      <c r="Q49" s="527" t="s">
        <v>2835</v>
      </c>
      <c r="R49" s="527"/>
      <c r="S49" s="527">
        <f t="shared" si="0"/>
        <v>51</v>
      </c>
    </row>
    <row r="50" spans="1:19" x14ac:dyDescent="0.2">
      <c r="A50" s="525" t="s">
        <v>3549</v>
      </c>
      <c r="B50" s="526">
        <v>42562</v>
      </c>
      <c r="C50" s="525" t="s">
        <v>3538</v>
      </c>
      <c r="D50" s="525" t="s">
        <v>3225</v>
      </c>
      <c r="E50" s="525" t="s">
        <v>2971</v>
      </c>
      <c r="F50" s="525">
        <v>1</v>
      </c>
      <c r="G50" s="525" t="s">
        <v>2846</v>
      </c>
      <c r="H50" s="525" t="s">
        <v>229</v>
      </c>
      <c r="I50" s="525" t="s">
        <v>229</v>
      </c>
      <c r="J50" s="525">
        <v>42613</v>
      </c>
      <c r="K50" s="525"/>
      <c r="L50" s="525"/>
      <c r="M50" s="525" t="s">
        <v>2853</v>
      </c>
      <c r="N50" s="525" t="s">
        <v>3022</v>
      </c>
      <c r="O50" s="526">
        <v>43054</v>
      </c>
      <c r="P50" s="525" t="s">
        <v>2751</v>
      </c>
      <c r="Q50" s="525" t="s">
        <v>2839</v>
      </c>
      <c r="R50" s="525"/>
      <c r="S50" s="525">
        <f t="shared" si="0"/>
        <v>51</v>
      </c>
    </row>
    <row r="51" spans="1:19" x14ac:dyDescent="0.2">
      <c r="A51" s="527" t="s">
        <v>3550</v>
      </c>
      <c r="B51" s="528">
        <v>42562</v>
      </c>
      <c r="C51" s="527" t="s">
        <v>3539</v>
      </c>
      <c r="D51" s="527" t="s">
        <v>3177</v>
      </c>
      <c r="E51" s="527" t="s">
        <v>2971</v>
      </c>
      <c r="F51" s="527">
        <v>1</v>
      </c>
      <c r="G51" s="527" t="s">
        <v>2846</v>
      </c>
      <c r="H51" s="527" t="s">
        <v>1339</v>
      </c>
      <c r="I51" s="527" t="s">
        <v>229</v>
      </c>
      <c r="J51" s="527">
        <v>42613</v>
      </c>
      <c r="K51" s="527"/>
      <c r="L51" s="527"/>
      <c r="M51" s="527" t="s">
        <v>2853</v>
      </c>
      <c r="N51" s="527" t="s">
        <v>3022</v>
      </c>
      <c r="O51" s="528">
        <v>43066</v>
      </c>
      <c r="P51" s="527" t="s">
        <v>2751</v>
      </c>
      <c r="Q51" s="527" t="s">
        <v>2839</v>
      </c>
      <c r="R51" s="527"/>
      <c r="S51" s="527">
        <f t="shared" si="0"/>
        <v>51</v>
      </c>
    </row>
    <row r="52" spans="1:19" x14ac:dyDescent="0.2">
      <c r="A52" s="525" t="s">
        <v>3551</v>
      </c>
      <c r="B52" s="526">
        <v>42562</v>
      </c>
      <c r="C52" s="525" t="s">
        <v>3540</v>
      </c>
      <c r="D52" s="525" t="s">
        <v>3177</v>
      </c>
      <c r="E52" s="525" t="s">
        <v>2971</v>
      </c>
      <c r="F52" s="525">
        <v>1</v>
      </c>
      <c r="G52" s="525" t="s">
        <v>2846</v>
      </c>
      <c r="H52" s="525" t="s">
        <v>486</v>
      </c>
      <c r="I52" s="525" t="s">
        <v>229</v>
      </c>
      <c r="J52" s="525">
        <v>42613</v>
      </c>
      <c r="K52" s="525"/>
      <c r="L52" s="525"/>
      <c r="M52" s="525" t="s">
        <v>2853</v>
      </c>
      <c r="N52" s="525" t="s">
        <v>3022</v>
      </c>
      <c r="O52" s="526">
        <v>43061</v>
      </c>
      <c r="P52" s="525" t="s">
        <v>2751</v>
      </c>
      <c r="Q52" s="525" t="s">
        <v>2839</v>
      </c>
      <c r="R52" s="525"/>
      <c r="S52" s="525">
        <f t="shared" si="0"/>
        <v>51</v>
      </c>
    </row>
    <row r="53" spans="1:19" x14ac:dyDescent="0.2">
      <c r="A53" s="527" t="s">
        <v>3552</v>
      </c>
      <c r="B53" s="528">
        <v>42562</v>
      </c>
      <c r="C53" s="527" t="s">
        <v>3541</v>
      </c>
      <c r="D53" s="527" t="s">
        <v>3225</v>
      </c>
      <c r="E53" s="527" t="s">
        <v>2971</v>
      </c>
      <c r="F53" s="527">
        <v>1</v>
      </c>
      <c r="G53" s="527" t="s">
        <v>2846</v>
      </c>
      <c r="H53" s="527" t="s">
        <v>685</v>
      </c>
      <c r="I53" s="527" t="s">
        <v>229</v>
      </c>
      <c r="J53" s="527">
        <v>42613</v>
      </c>
      <c r="K53" s="527"/>
      <c r="L53" s="527"/>
      <c r="M53" s="527" t="s">
        <v>2853</v>
      </c>
      <c r="N53" s="527" t="s">
        <v>2088</v>
      </c>
      <c r="O53" s="528">
        <v>42573</v>
      </c>
      <c r="P53" s="527" t="s">
        <v>2750</v>
      </c>
      <c r="Q53" s="527" t="s">
        <v>2829</v>
      </c>
      <c r="R53" s="527"/>
      <c r="S53" s="527">
        <f t="shared" si="0"/>
        <v>51</v>
      </c>
    </row>
    <row r="54" spans="1:19" x14ac:dyDescent="0.2">
      <c r="A54" s="525" t="s">
        <v>3553</v>
      </c>
      <c r="B54" s="526">
        <v>42562</v>
      </c>
      <c r="C54" s="525" t="s">
        <v>3542</v>
      </c>
      <c r="D54" s="525" t="s">
        <v>3225</v>
      </c>
      <c r="E54" s="525" t="s">
        <v>2971</v>
      </c>
      <c r="F54" s="525">
        <v>1</v>
      </c>
      <c r="G54" s="525" t="s">
        <v>2846</v>
      </c>
      <c r="H54" s="525" t="s">
        <v>481</v>
      </c>
      <c r="I54" s="525" t="s">
        <v>229</v>
      </c>
      <c r="J54" s="525">
        <v>42613</v>
      </c>
      <c r="K54" s="525"/>
      <c r="L54" s="525"/>
      <c r="M54" s="525" t="s">
        <v>2853</v>
      </c>
      <c r="N54" s="525" t="s">
        <v>3022</v>
      </c>
      <c r="O54" s="526">
        <v>43039</v>
      </c>
      <c r="P54" s="525" t="s">
        <v>2751</v>
      </c>
      <c r="Q54" s="525" t="s">
        <v>2839</v>
      </c>
      <c r="R54" s="525"/>
      <c r="S54" s="525">
        <f t="shared" si="0"/>
        <v>51</v>
      </c>
    </row>
    <row r="55" spans="1:19" x14ac:dyDescent="0.2">
      <c r="A55" s="527" t="s">
        <v>3543</v>
      </c>
      <c r="B55" s="528">
        <v>42562</v>
      </c>
      <c r="C55" s="527" t="s">
        <v>3554</v>
      </c>
      <c r="D55" s="527" t="s">
        <v>3555</v>
      </c>
      <c r="E55" s="527" t="s">
        <v>2971</v>
      </c>
      <c r="F55" s="527">
        <v>1</v>
      </c>
      <c r="G55" s="527" t="s">
        <v>2846</v>
      </c>
      <c r="H55" s="527" t="s">
        <v>685</v>
      </c>
      <c r="I55" s="527" t="s">
        <v>229</v>
      </c>
      <c r="J55" s="527">
        <v>42643</v>
      </c>
      <c r="K55" s="527"/>
      <c r="L55" s="527"/>
      <c r="M55" s="527" t="s">
        <v>2853</v>
      </c>
      <c r="N55" s="527" t="s">
        <v>3022</v>
      </c>
      <c r="O55" s="528">
        <v>43020</v>
      </c>
      <c r="P55" s="527" t="s">
        <v>2751</v>
      </c>
      <c r="Q55" s="527" t="s">
        <v>2839</v>
      </c>
      <c r="R55" s="527"/>
      <c r="S55" s="527">
        <f t="shared" si="0"/>
        <v>81</v>
      </c>
    </row>
    <row r="56" spans="1:19" x14ac:dyDescent="0.2">
      <c r="A56" s="525" t="s">
        <v>3556</v>
      </c>
      <c r="B56" s="526">
        <v>42562</v>
      </c>
      <c r="C56" s="525" t="s">
        <v>3557</v>
      </c>
      <c r="D56" s="525" t="s">
        <v>3558</v>
      </c>
      <c r="E56" s="525" t="s">
        <v>2971</v>
      </c>
      <c r="F56" s="525">
        <v>1</v>
      </c>
      <c r="G56" s="525" t="s">
        <v>2880</v>
      </c>
      <c r="H56" s="525" t="s">
        <v>685</v>
      </c>
      <c r="I56" s="525" t="s">
        <v>229</v>
      </c>
      <c r="J56" s="525">
        <v>42582</v>
      </c>
      <c r="K56" s="525"/>
      <c r="L56" s="525"/>
      <c r="M56" s="525" t="s">
        <v>2853</v>
      </c>
      <c r="N56" s="525" t="s">
        <v>2088</v>
      </c>
      <c r="O56" s="526">
        <v>42563</v>
      </c>
      <c r="P56" s="525" t="s">
        <v>2750</v>
      </c>
      <c r="Q56" s="525" t="s">
        <v>2829</v>
      </c>
      <c r="R56" s="525"/>
      <c r="S56" s="525">
        <f t="shared" si="0"/>
        <v>20</v>
      </c>
    </row>
    <row r="57" spans="1:19" x14ac:dyDescent="0.2">
      <c r="A57" s="527" t="s">
        <v>3559</v>
      </c>
      <c r="B57" s="528">
        <v>42566</v>
      </c>
      <c r="C57" s="527" t="s">
        <v>3560</v>
      </c>
      <c r="D57" s="527" t="s">
        <v>3518</v>
      </c>
      <c r="E57" s="527" t="s">
        <v>2971</v>
      </c>
      <c r="F57" s="527">
        <v>1</v>
      </c>
      <c r="G57" s="527" t="s">
        <v>2852</v>
      </c>
      <c r="H57" s="527" t="s">
        <v>3423</v>
      </c>
      <c r="I57" s="527" t="s">
        <v>3211</v>
      </c>
      <c r="J57" s="527">
        <v>42580</v>
      </c>
      <c r="K57" s="527"/>
      <c r="L57" s="527"/>
      <c r="M57" s="527" t="s">
        <v>1056</v>
      </c>
      <c r="N57" s="527" t="s">
        <v>2088</v>
      </c>
      <c r="O57" s="528">
        <v>43040</v>
      </c>
      <c r="P57" s="527" t="s">
        <v>2751</v>
      </c>
      <c r="Q57" s="527" t="s">
        <v>2839</v>
      </c>
      <c r="R57" s="527"/>
      <c r="S57" s="527">
        <f t="shared" si="0"/>
        <v>14</v>
      </c>
    </row>
    <row r="58" spans="1:19" x14ac:dyDescent="0.2">
      <c r="A58" s="525" t="s">
        <v>3561</v>
      </c>
      <c r="B58" s="526">
        <v>42571</v>
      </c>
      <c r="C58" s="525" t="s">
        <v>3562</v>
      </c>
      <c r="D58" s="525" t="s">
        <v>3563</v>
      </c>
      <c r="E58" s="525" t="s">
        <v>2971</v>
      </c>
      <c r="F58" s="525">
        <v>1</v>
      </c>
      <c r="G58" s="525" t="s">
        <v>2927</v>
      </c>
      <c r="H58" s="525" t="s">
        <v>229</v>
      </c>
      <c r="I58" s="525" t="s">
        <v>229</v>
      </c>
      <c r="J58" s="525">
        <v>42582</v>
      </c>
      <c r="K58" s="525"/>
      <c r="L58" s="525"/>
      <c r="M58" s="525" t="s">
        <v>2853</v>
      </c>
      <c r="N58" s="525" t="s">
        <v>3022</v>
      </c>
      <c r="O58" s="526">
        <v>42599</v>
      </c>
      <c r="P58" s="525" t="s">
        <v>2751</v>
      </c>
      <c r="Q58" s="525" t="s">
        <v>2829</v>
      </c>
      <c r="R58" s="525"/>
      <c r="S58" s="525">
        <f t="shared" si="0"/>
        <v>11</v>
      </c>
    </row>
    <row r="59" spans="1:19" x14ac:dyDescent="0.2">
      <c r="A59" s="527" t="s">
        <v>3564</v>
      </c>
      <c r="B59" s="528">
        <v>42576</v>
      </c>
      <c r="C59" s="527" t="s">
        <v>3565</v>
      </c>
      <c r="D59" s="527" t="s">
        <v>3566</v>
      </c>
      <c r="E59" s="527" t="s">
        <v>3335</v>
      </c>
      <c r="F59" s="527">
        <v>2</v>
      </c>
      <c r="G59" s="527" t="s">
        <v>2852</v>
      </c>
      <c r="H59" s="527" t="s">
        <v>3167</v>
      </c>
      <c r="I59" s="527" t="s">
        <v>3211</v>
      </c>
      <c r="J59" s="527">
        <v>42621</v>
      </c>
      <c r="K59" s="527"/>
      <c r="L59" s="527"/>
      <c r="M59" s="527" t="s">
        <v>2853</v>
      </c>
      <c r="N59" s="527" t="s">
        <v>2088</v>
      </c>
      <c r="O59" s="528">
        <v>42613</v>
      </c>
      <c r="P59" s="527" t="s">
        <v>2750</v>
      </c>
      <c r="Q59" s="527" t="s">
        <v>2832</v>
      </c>
      <c r="R59" s="527"/>
      <c r="S59" s="527">
        <f t="shared" si="0"/>
        <v>45</v>
      </c>
    </row>
    <row r="60" spans="1:19" x14ac:dyDescent="0.2">
      <c r="A60" s="525" t="s">
        <v>3569</v>
      </c>
      <c r="B60" s="526">
        <v>42583</v>
      </c>
      <c r="C60" s="525" t="s">
        <v>3571</v>
      </c>
      <c r="D60" s="525" t="s">
        <v>3570</v>
      </c>
      <c r="E60" s="525" t="s">
        <v>2971</v>
      </c>
      <c r="F60" s="525">
        <v>1</v>
      </c>
      <c r="G60" s="525" t="s">
        <v>2880</v>
      </c>
      <c r="H60" s="525" t="s">
        <v>516</v>
      </c>
      <c r="I60" s="525" t="s">
        <v>229</v>
      </c>
      <c r="J60" s="526">
        <v>42629</v>
      </c>
      <c r="K60" s="526">
        <v>42704</v>
      </c>
      <c r="L60" s="526">
        <v>42825</v>
      </c>
      <c r="M60" s="525" t="s">
        <v>2853</v>
      </c>
      <c r="N60" s="525" t="s">
        <v>3061</v>
      </c>
      <c r="O60" s="526">
        <v>42807</v>
      </c>
      <c r="P60" s="525" t="s">
        <v>5986</v>
      </c>
      <c r="Q60" s="525" t="s">
        <v>4340</v>
      </c>
      <c r="R60" s="525"/>
      <c r="S60" s="525">
        <f t="shared" si="0"/>
        <v>46</v>
      </c>
    </row>
    <row r="61" spans="1:19" x14ac:dyDescent="0.2">
      <c r="A61" s="527" t="s">
        <v>3572</v>
      </c>
      <c r="B61" s="528">
        <v>42584</v>
      </c>
      <c r="C61" s="527" t="s">
        <v>3573</v>
      </c>
      <c r="D61" s="527" t="s">
        <v>3574</v>
      </c>
      <c r="E61" s="527" t="s">
        <v>2971</v>
      </c>
      <c r="F61" s="527">
        <v>1</v>
      </c>
      <c r="G61" s="527" t="s">
        <v>2880</v>
      </c>
      <c r="H61" s="527" t="s">
        <v>516</v>
      </c>
      <c r="I61" s="527" t="s">
        <v>229</v>
      </c>
      <c r="J61" s="527">
        <v>42629</v>
      </c>
      <c r="K61" s="527"/>
      <c r="L61" s="527"/>
      <c r="M61" s="527" t="s">
        <v>2853</v>
      </c>
      <c r="N61" s="527" t="s">
        <v>2088</v>
      </c>
      <c r="O61" s="528">
        <v>42629</v>
      </c>
      <c r="P61" s="527" t="s">
        <v>2750</v>
      </c>
      <c r="Q61" s="527" t="s">
        <v>2832</v>
      </c>
      <c r="R61" s="527"/>
      <c r="S61" s="527">
        <f t="shared" si="0"/>
        <v>45</v>
      </c>
    </row>
    <row r="62" spans="1:19" x14ac:dyDescent="0.2">
      <c r="A62" s="525" t="s">
        <v>3575</v>
      </c>
      <c r="B62" s="526">
        <v>42584</v>
      </c>
      <c r="C62" s="525" t="s">
        <v>3578</v>
      </c>
      <c r="D62" s="525" t="s">
        <v>3225</v>
      </c>
      <c r="E62" s="525" t="s">
        <v>2971</v>
      </c>
      <c r="F62" s="525">
        <v>1</v>
      </c>
      <c r="G62" s="525" t="s">
        <v>2846</v>
      </c>
      <c r="H62" s="525" t="s">
        <v>516</v>
      </c>
      <c r="I62" s="525" t="s">
        <v>229</v>
      </c>
      <c r="J62" s="525">
        <v>42643</v>
      </c>
      <c r="K62" s="525"/>
      <c r="L62" s="525"/>
      <c r="M62" s="525" t="s">
        <v>2853</v>
      </c>
      <c r="N62" s="525" t="s">
        <v>2912</v>
      </c>
      <c r="O62" s="526">
        <v>43067</v>
      </c>
      <c r="P62" s="525" t="s">
        <v>2751</v>
      </c>
      <c r="Q62" s="525" t="s">
        <v>2839</v>
      </c>
      <c r="R62" s="525"/>
      <c r="S62" s="525">
        <f t="shared" si="0"/>
        <v>59</v>
      </c>
    </row>
    <row r="63" spans="1:19" x14ac:dyDescent="0.2">
      <c r="A63" s="527" t="s">
        <v>3576</v>
      </c>
      <c r="B63" s="528">
        <v>42584</v>
      </c>
      <c r="C63" s="527" t="s">
        <v>3579</v>
      </c>
      <c r="D63" s="527" t="s">
        <v>3577</v>
      </c>
      <c r="E63" s="527" t="s">
        <v>2971</v>
      </c>
      <c r="F63" s="527">
        <v>1</v>
      </c>
      <c r="G63" s="527" t="s">
        <v>2846</v>
      </c>
      <c r="H63" s="527" t="s">
        <v>685</v>
      </c>
      <c r="I63" s="527" t="s">
        <v>229</v>
      </c>
      <c r="J63" s="527">
        <v>42643</v>
      </c>
      <c r="K63" s="527"/>
      <c r="L63" s="527"/>
      <c r="M63" s="527" t="s">
        <v>2853</v>
      </c>
      <c r="N63" s="527" t="s">
        <v>3022</v>
      </c>
      <c r="O63" s="528">
        <v>43284</v>
      </c>
      <c r="P63" s="527" t="s">
        <v>2751</v>
      </c>
      <c r="Q63" s="527" t="s">
        <v>2839</v>
      </c>
      <c r="R63" s="527"/>
      <c r="S63" s="527">
        <f t="shared" si="0"/>
        <v>59</v>
      </c>
    </row>
    <row r="64" spans="1:19" x14ac:dyDescent="0.2">
      <c r="A64" s="525" t="s">
        <v>3580</v>
      </c>
      <c r="B64" s="526">
        <v>42591</v>
      </c>
      <c r="C64" s="525" t="s">
        <v>3581</v>
      </c>
      <c r="D64" s="525" t="s">
        <v>3582</v>
      </c>
      <c r="E64" s="525" t="s">
        <v>2971</v>
      </c>
      <c r="F64" s="525">
        <v>1</v>
      </c>
      <c r="G64" s="525" t="s">
        <v>2880</v>
      </c>
      <c r="H64" s="525" t="s">
        <v>685</v>
      </c>
      <c r="I64" s="525" t="s">
        <v>229</v>
      </c>
      <c r="J64" s="525">
        <v>42643</v>
      </c>
      <c r="K64" s="525"/>
      <c r="L64" s="525"/>
      <c r="M64" s="525" t="s">
        <v>2853</v>
      </c>
      <c r="N64" s="525" t="s">
        <v>2088</v>
      </c>
      <c r="O64" s="526">
        <v>42972</v>
      </c>
      <c r="P64" s="525" t="s">
        <v>2750</v>
      </c>
      <c r="Q64" s="525" t="s">
        <v>2829</v>
      </c>
      <c r="R64" s="525"/>
      <c r="S64" s="525">
        <f t="shared" si="0"/>
        <v>52</v>
      </c>
    </row>
    <row r="65" spans="1:19" x14ac:dyDescent="0.2">
      <c r="A65" s="527" t="s">
        <v>3583</v>
      </c>
      <c r="B65" s="528">
        <v>42593</v>
      </c>
      <c r="C65" s="527" t="s">
        <v>3584</v>
      </c>
      <c r="D65" s="527" t="s">
        <v>3585</v>
      </c>
      <c r="E65" s="527" t="s">
        <v>3586</v>
      </c>
      <c r="F65" s="527">
        <v>1</v>
      </c>
      <c r="G65" s="527" t="s">
        <v>2852</v>
      </c>
      <c r="H65" s="527" t="s">
        <v>2106</v>
      </c>
      <c r="I65" s="527" t="s">
        <v>3211</v>
      </c>
      <c r="J65" s="527">
        <v>42594</v>
      </c>
      <c r="K65" s="527"/>
      <c r="L65" s="527"/>
      <c r="M65" s="527" t="s">
        <v>2853</v>
      </c>
      <c r="N65" s="527" t="s">
        <v>2088</v>
      </c>
      <c r="O65" s="528">
        <v>42594</v>
      </c>
      <c r="P65" s="527" t="s">
        <v>2750</v>
      </c>
      <c r="Q65" s="527" t="s">
        <v>2829</v>
      </c>
      <c r="R65" s="527"/>
      <c r="S65" s="527">
        <f t="shared" si="0"/>
        <v>1</v>
      </c>
    </row>
    <row r="66" spans="1:19" x14ac:dyDescent="0.2">
      <c r="A66" s="525" t="s">
        <v>3588</v>
      </c>
      <c r="B66" s="526">
        <v>42587</v>
      </c>
      <c r="C66" s="525" t="s">
        <v>3589</v>
      </c>
      <c r="D66" s="525" t="s">
        <v>3590</v>
      </c>
      <c r="E66" s="525" t="s">
        <v>2971</v>
      </c>
      <c r="F66" s="525">
        <v>1</v>
      </c>
      <c r="G66" s="525" t="s">
        <v>2880</v>
      </c>
      <c r="H66" s="525" t="s">
        <v>3167</v>
      </c>
      <c r="I66" s="525" t="s">
        <v>3211</v>
      </c>
      <c r="J66" s="525">
        <v>42735</v>
      </c>
      <c r="K66" s="525"/>
      <c r="L66" s="525"/>
      <c r="M66" s="525" t="s">
        <v>2853</v>
      </c>
      <c r="N66" s="525" t="s">
        <v>3022</v>
      </c>
      <c r="O66" s="526">
        <v>42803</v>
      </c>
      <c r="P66" s="525"/>
      <c r="Q66" s="525" t="s">
        <v>4340</v>
      </c>
      <c r="R66" s="525"/>
      <c r="S66" s="525">
        <f t="shared" ref="S66:S100" si="1">J66-B66</f>
        <v>148</v>
      </c>
    </row>
    <row r="67" spans="1:19" x14ac:dyDescent="0.2">
      <c r="A67" s="527" t="s">
        <v>3591</v>
      </c>
      <c r="B67" s="528">
        <v>42594</v>
      </c>
      <c r="C67" s="527" t="s">
        <v>3592</v>
      </c>
      <c r="D67" s="527" t="s">
        <v>3306</v>
      </c>
      <c r="E67" s="527" t="s">
        <v>2971</v>
      </c>
      <c r="F67" s="527">
        <v>1</v>
      </c>
      <c r="G67" s="527" t="s">
        <v>2846</v>
      </c>
      <c r="H67" s="527" t="s">
        <v>2106</v>
      </c>
      <c r="I67" s="527" t="s">
        <v>229</v>
      </c>
      <c r="J67" s="527">
        <v>42643</v>
      </c>
      <c r="K67" s="527"/>
      <c r="L67" s="527"/>
      <c r="M67" s="527" t="s">
        <v>2853</v>
      </c>
      <c r="N67" s="527" t="s">
        <v>2088</v>
      </c>
      <c r="O67" s="528">
        <v>42629</v>
      </c>
      <c r="P67" s="527" t="s">
        <v>2750</v>
      </c>
      <c r="Q67" s="527" t="s">
        <v>2832</v>
      </c>
      <c r="R67" s="527"/>
      <c r="S67" s="527">
        <f t="shared" si="1"/>
        <v>49</v>
      </c>
    </row>
    <row r="68" spans="1:19" x14ac:dyDescent="0.2">
      <c r="A68" s="525" t="s">
        <v>3593</v>
      </c>
      <c r="B68" s="526">
        <v>42599</v>
      </c>
      <c r="C68" s="525" t="s">
        <v>3594</v>
      </c>
      <c r="D68" s="525" t="s">
        <v>3601</v>
      </c>
      <c r="E68" s="525" t="s">
        <v>3049</v>
      </c>
      <c r="F68" s="525">
        <v>1</v>
      </c>
      <c r="G68" s="525" t="s">
        <v>2852</v>
      </c>
      <c r="H68" s="525" t="s">
        <v>3423</v>
      </c>
      <c r="I68" s="525" t="s">
        <v>3211</v>
      </c>
      <c r="J68" s="525">
        <v>42630</v>
      </c>
      <c r="K68" s="525"/>
      <c r="L68" s="525"/>
      <c r="M68" s="525" t="s">
        <v>2853</v>
      </c>
      <c r="N68" s="525" t="s">
        <v>2088</v>
      </c>
      <c r="O68" s="526">
        <v>42613</v>
      </c>
      <c r="P68" s="525" t="s">
        <v>2750</v>
      </c>
      <c r="Q68" s="525" t="s">
        <v>2829</v>
      </c>
      <c r="R68" s="525"/>
      <c r="S68" s="525">
        <f t="shared" si="1"/>
        <v>31</v>
      </c>
    </row>
    <row r="69" spans="1:19" x14ac:dyDescent="0.2">
      <c r="A69" s="527" t="s">
        <v>3595</v>
      </c>
      <c r="B69" s="528">
        <v>42607</v>
      </c>
      <c r="C69" s="527" t="s">
        <v>3596</v>
      </c>
      <c r="D69" s="527" t="s">
        <v>3597</v>
      </c>
      <c r="E69" s="527" t="s">
        <v>3386</v>
      </c>
      <c r="F69" s="527">
        <v>1</v>
      </c>
      <c r="G69" s="527" t="s">
        <v>2852</v>
      </c>
      <c r="H69" s="527" t="s">
        <v>3227</v>
      </c>
      <c r="I69" s="527" t="s">
        <v>229</v>
      </c>
      <c r="J69" s="527">
        <v>42614</v>
      </c>
      <c r="K69" s="527"/>
      <c r="L69" s="527"/>
      <c r="M69" s="527" t="s">
        <v>2853</v>
      </c>
      <c r="N69" s="527" t="s">
        <v>2088</v>
      </c>
      <c r="O69" s="528">
        <v>42607</v>
      </c>
      <c r="P69" s="527" t="s">
        <v>2750</v>
      </c>
      <c r="Q69" s="527" t="s">
        <v>2829</v>
      </c>
      <c r="R69" s="527"/>
      <c r="S69" s="527">
        <f t="shared" si="1"/>
        <v>7</v>
      </c>
    </row>
    <row r="70" spans="1:19" x14ac:dyDescent="0.2">
      <c r="A70" s="525" t="s">
        <v>3598</v>
      </c>
      <c r="B70" s="526">
        <v>42612</v>
      </c>
      <c r="C70" s="525" t="s">
        <v>3599</v>
      </c>
      <c r="D70" s="525" t="s">
        <v>3600</v>
      </c>
      <c r="E70" s="525" t="s">
        <v>3473</v>
      </c>
      <c r="F70" s="525">
        <v>1</v>
      </c>
      <c r="G70" s="525" t="s">
        <v>2852</v>
      </c>
      <c r="H70" s="525" t="s">
        <v>3227</v>
      </c>
      <c r="I70" s="525" t="s">
        <v>3211</v>
      </c>
      <c r="J70" s="525">
        <v>42619</v>
      </c>
      <c r="K70" s="525"/>
      <c r="L70" s="525"/>
      <c r="M70" s="525" t="s">
        <v>2853</v>
      </c>
      <c r="N70" s="525" t="s">
        <v>2088</v>
      </c>
      <c r="O70" s="526">
        <v>42613</v>
      </c>
      <c r="P70" s="525" t="s">
        <v>2750</v>
      </c>
      <c r="Q70" s="525" t="s">
        <v>2829</v>
      </c>
      <c r="R70" s="525"/>
      <c r="S70" s="525">
        <f t="shared" si="1"/>
        <v>7</v>
      </c>
    </row>
    <row r="71" spans="1:19" x14ac:dyDescent="0.2">
      <c r="A71" s="527" t="s">
        <v>3604</v>
      </c>
      <c r="B71" s="528">
        <v>42625</v>
      </c>
      <c r="C71" s="527" t="s">
        <v>3605</v>
      </c>
      <c r="D71" s="527" t="s">
        <v>3606</v>
      </c>
      <c r="E71" s="527" t="s">
        <v>3473</v>
      </c>
      <c r="F71" s="527">
        <v>1</v>
      </c>
      <c r="G71" s="527" t="s">
        <v>2852</v>
      </c>
      <c r="H71" s="527" t="s">
        <v>2058</v>
      </c>
      <c r="I71" s="527" t="s">
        <v>3211</v>
      </c>
      <c r="J71" s="527">
        <v>42655</v>
      </c>
      <c r="K71" s="527"/>
      <c r="L71" s="527"/>
      <c r="M71" s="527" t="s">
        <v>2853</v>
      </c>
      <c r="N71" s="527" t="s">
        <v>2088</v>
      </c>
      <c r="O71" s="528">
        <v>42625</v>
      </c>
      <c r="P71" s="527" t="s">
        <v>2750</v>
      </c>
      <c r="Q71" s="527" t="s">
        <v>2829</v>
      </c>
      <c r="R71" s="527"/>
      <c r="S71" s="527">
        <f t="shared" si="1"/>
        <v>30</v>
      </c>
    </row>
    <row r="72" spans="1:19" x14ac:dyDescent="0.2">
      <c r="A72" s="525" t="s">
        <v>3607</v>
      </c>
      <c r="B72" s="526">
        <v>42625</v>
      </c>
      <c r="C72" s="525" t="s">
        <v>2605</v>
      </c>
      <c r="D72" s="525" t="s">
        <v>3608</v>
      </c>
      <c r="E72" s="525" t="s">
        <v>2971</v>
      </c>
      <c r="F72" s="525">
        <v>1</v>
      </c>
      <c r="G72" s="525" t="s">
        <v>2880</v>
      </c>
      <c r="H72" s="525" t="s">
        <v>685</v>
      </c>
      <c r="I72" s="525" t="s">
        <v>229</v>
      </c>
      <c r="J72" s="525">
        <v>42636</v>
      </c>
      <c r="K72" s="525"/>
      <c r="L72" s="525"/>
      <c r="M72" s="525" t="s">
        <v>2853</v>
      </c>
      <c r="N72" s="525" t="s">
        <v>2088</v>
      </c>
      <c r="O72" s="526">
        <v>42636</v>
      </c>
      <c r="P72" s="525" t="s">
        <v>2750</v>
      </c>
      <c r="Q72" s="525" t="s">
        <v>2829</v>
      </c>
      <c r="R72" s="525"/>
      <c r="S72" s="525">
        <f t="shared" si="1"/>
        <v>11</v>
      </c>
    </row>
    <row r="73" spans="1:19" x14ac:dyDescent="0.2">
      <c r="A73" s="527" t="s">
        <v>3609</v>
      </c>
      <c r="B73" s="528">
        <v>42626</v>
      </c>
      <c r="C73" s="527" t="s">
        <v>2605</v>
      </c>
      <c r="D73" s="527" t="s">
        <v>3610</v>
      </c>
      <c r="E73" s="527" t="s">
        <v>2971</v>
      </c>
      <c r="F73" s="527">
        <v>1</v>
      </c>
      <c r="G73" s="527" t="s">
        <v>2880</v>
      </c>
      <c r="H73" s="527" t="s">
        <v>516</v>
      </c>
      <c r="I73" s="527" t="s">
        <v>229</v>
      </c>
      <c r="J73" s="527">
        <v>42643</v>
      </c>
      <c r="K73" s="527"/>
      <c r="L73" s="527"/>
      <c r="M73" s="527" t="s">
        <v>2853</v>
      </c>
      <c r="N73" s="527" t="s">
        <v>2088</v>
      </c>
      <c r="O73" s="528">
        <v>42632</v>
      </c>
      <c r="P73" s="527" t="s">
        <v>2750</v>
      </c>
      <c r="Q73" s="527" t="s">
        <v>2829</v>
      </c>
      <c r="R73" s="527"/>
      <c r="S73" s="527">
        <f t="shared" si="1"/>
        <v>17</v>
      </c>
    </row>
    <row r="74" spans="1:19" x14ac:dyDescent="0.2">
      <c r="A74" s="525" t="s">
        <v>3611</v>
      </c>
      <c r="B74" s="526">
        <v>42626</v>
      </c>
      <c r="C74" s="525" t="s">
        <v>3612</v>
      </c>
      <c r="D74" s="525" t="s">
        <v>3613</v>
      </c>
      <c r="E74" s="525" t="s">
        <v>3386</v>
      </c>
      <c r="F74" s="525">
        <v>1</v>
      </c>
      <c r="G74" s="525" t="s">
        <v>2852</v>
      </c>
      <c r="H74" s="525" t="s">
        <v>2058</v>
      </c>
      <c r="I74" s="525" t="s">
        <v>3211</v>
      </c>
      <c r="J74" s="525">
        <v>42656</v>
      </c>
      <c r="K74" s="525"/>
      <c r="L74" s="525"/>
      <c r="M74" s="525" t="s">
        <v>2853</v>
      </c>
      <c r="N74" s="525" t="s">
        <v>2088</v>
      </c>
      <c r="O74" s="526">
        <v>42634</v>
      </c>
      <c r="P74" s="525" t="s">
        <v>2750</v>
      </c>
      <c r="Q74" s="525" t="s">
        <v>2829</v>
      </c>
      <c r="R74" s="525"/>
      <c r="S74" s="525">
        <f t="shared" si="1"/>
        <v>30</v>
      </c>
    </row>
    <row r="75" spans="1:19" x14ac:dyDescent="0.2">
      <c r="A75" s="527" t="s">
        <v>3614</v>
      </c>
      <c r="B75" s="528">
        <v>42628</v>
      </c>
      <c r="C75" s="527" t="s">
        <v>3615</v>
      </c>
      <c r="D75" s="527" t="s">
        <v>3616</v>
      </c>
      <c r="E75" s="527" t="s">
        <v>3617</v>
      </c>
      <c r="F75" s="527">
        <v>1</v>
      </c>
      <c r="G75" s="527" t="s">
        <v>2852</v>
      </c>
      <c r="H75" s="527" t="s">
        <v>3167</v>
      </c>
      <c r="I75" s="527" t="s">
        <v>3211</v>
      </c>
      <c r="J75" s="527">
        <v>42658</v>
      </c>
      <c r="K75" s="527"/>
      <c r="L75" s="527"/>
      <c r="M75" s="527" t="s">
        <v>2853</v>
      </c>
      <c r="N75" s="527" t="s">
        <v>2088</v>
      </c>
      <c r="O75" s="528">
        <v>42628</v>
      </c>
      <c r="P75" s="527" t="s">
        <v>2750</v>
      </c>
      <c r="Q75" s="527" t="s">
        <v>2829</v>
      </c>
      <c r="R75" s="527"/>
      <c r="S75" s="527">
        <f t="shared" si="1"/>
        <v>30</v>
      </c>
    </row>
    <row r="76" spans="1:19" x14ac:dyDescent="0.2">
      <c r="A76" s="525" t="s">
        <v>3618</v>
      </c>
      <c r="B76" s="526">
        <v>42632</v>
      </c>
      <c r="C76" s="525" t="s">
        <v>3619</v>
      </c>
      <c r="D76" s="525" t="s">
        <v>3426</v>
      </c>
      <c r="E76" s="525" t="s">
        <v>3323</v>
      </c>
      <c r="F76" s="525">
        <v>1</v>
      </c>
      <c r="G76" s="525" t="s">
        <v>2852</v>
      </c>
      <c r="H76" s="525" t="s">
        <v>3227</v>
      </c>
      <c r="I76" s="525" t="s">
        <v>3211</v>
      </c>
      <c r="J76" s="525">
        <v>42646</v>
      </c>
      <c r="K76" s="525"/>
      <c r="L76" s="525"/>
      <c r="M76" s="525" t="s">
        <v>2853</v>
      </c>
      <c r="N76" s="525" t="s">
        <v>2088</v>
      </c>
      <c r="O76" s="526">
        <v>42632</v>
      </c>
      <c r="P76" s="525" t="s">
        <v>2750</v>
      </c>
      <c r="Q76" s="525" t="s">
        <v>2829</v>
      </c>
      <c r="R76" s="525"/>
      <c r="S76" s="525">
        <f t="shared" si="1"/>
        <v>14</v>
      </c>
    </row>
    <row r="77" spans="1:19" x14ac:dyDescent="0.2">
      <c r="A77" s="527" t="s">
        <v>3620</v>
      </c>
      <c r="B77" s="528">
        <v>42633</v>
      </c>
      <c r="C77" s="527" t="s">
        <v>3621</v>
      </c>
      <c r="D77" s="527" t="s">
        <v>3622</v>
      </c>
      <c r="E77" s="527" t="s">
        <v>3519</v>
      </c>
      <c r="F77" s="527">
        <v>1</v>
      </c>
      <c r="G77" s="527" t="s">
        <v>2852</v>
      </c>
      <c r="H77" s="527" t="s">
        <v>3227</v>
      </c>
      <c r="I77" s="527" t="s">
        <v>3211</v>
      </c>
      <c r="J77" s="527">
        <v>42633</v>
      </c>
      <c r="K77" s="527"/>
      <c r="L77" s="527"/>
      <c r="M77" s="527" t="s">
        <v>2853</v>
      </c>
      <c r="N77" s="527" t="s">
        <v>2088</v>
      </c>
      <c r="O77" s="528">
        <v>42633</v>
      </c>
      <c r="P77" s="527" t="s">
        <v>2750</v>
      </c>
      <c r="Q77" s="527" t="s">
        <v>2829</v>
      </c>
      <c r="R77" s="527"/>
      <c r="S77" s="527">
        <f t="shared" si="1"/>
        <v>0</v>
      </c>
    </row>
    <row r="78" spans="1:19" x14ac:dyDescent="0.2">
      <c r="A78" s="525" t="s">
        <v>3623</v>
      </c>
      <c r="B78" s="526">
        <v>42634</v>
      </c>
      <c r="C78" s="525" t="s">
        <v>3624</v>
      </c>
      <c r="D78" s="525" t="s">
        <v>3625</v>
      </c>
      <c r="E78" s="525" t="s">
        <v>3632</v>
      </c>
      <c r="F78" s="525">
        <v>1</v>
      </c>
      <c r="G78" s="525" t="s">
        <v>2852</v>
      </c>
      <c r="H78" s="525" t="s">
        <v>3423</v>
      </c>
      <c r="I78" s="525" t="s">
        <v>3211</v>
      </c>
      <c r="J78" s="525">
        <v>42664</v>
      </c>
      <c r="K78" s="525"/>
      <c r="L78" s="525"/>
      <c r="M78" s="525" t="s">
        <v>2853</v>
      </c>
      <c r="N78" s="525" t="s">
        <v>2088</v>
      </c>
      <c r="O78" s="526">
        <v>42643</v>
      </c>
      <c r="P78" s="525" t="s">
        <v>2750</v>
      </c>
      <c r="Q78" s="525" t="s">
        <v>2829</v>
      </c>
      <c r="R78" s="525"/>
      <c r="S78" s="525">
        <f t="shared" si="1"/>
        <v>30</v>
      </c>
    </row>
    <row r="79" spans="1:19" x14ac:dyDescent="0.2">
      <c r="A79" s="527" t="s">
        <v>3626</v>
      </c>
      <c r="B79" s="528">
        <v>42635</v>
      </c>
      <c r="C79" s="527" t="s">
        <v>3627</v>
      </c>
      <c r="D79" s="527" t="s">
        <v>3628</v>
      </c>
      <c r="E79" s="527" t="s">
        <v>2971</v>
      </c>
      <c r="F79" s="527">
        <v>1</v>
      </c>
      <c r="G79" s="527" t="s">
        <v>2972</v>
      </c>
      <c r="H79" s="527" t="s">
        <v>481</v>
      </c>
      <c r="I79" s="527" t="s">
        <v>229</v>
      </c>
      <c r="J79" s="527">
        <v>42640</v>
      </c>
      <c r="K79" s="527"/>
      <c r="L79" s="527"/>
      <c r="M79" s="527" t="s">
        <v>2853</v>
      </c>
      <c r="N79" s="527" t="s">
        <v>2088</v>
      </c>
      <c r="O79" s="528">
        <v>42641</v>
      </c>
      <c r="P79" s="527" t="s">
        <v>2750</v>
      </c>
      <c r="Q79" s="527" t="s">
        <v>2829</v>
      </c>
      <c r="R79" s="527"/>
      <c r="S79" s="527">
        <f t="shared" si="1"/>
        <v>5</v>
      </c>
    </row>
    <row r="80" spans="1:19" x14ac:dyDescent="0.2">
      <c r="A80" s="525" t="s">
        <v>3633</v>
      </c>
      <c r="B80" s="526">
        <v>42646</v>
      </c>
      <c r="C80" s="525" t="s">
        <v>3698</v>
      </c>
      <c r="D80" s="525" t="s">
        <v>3518</v>
      </c>
      <c r="E80" s="525" t="s">
        <v>3532</v>
      </c>
      <c r="F80" s="525">
        <v>1</v>
      </c>
      <c r="G80" s="525" t="s">
        <v>2852</v>
      </c>
      <c r="H80" s="525" t="s">
        <v>615</v>
      </c>
      <c r="I80" s="525" t="s">
        <v>3211</v>
      </c>
      <c r="J80" s="525">
        <v>42754</v>
      </c>
      <c r="K80" s="525"/>
      <c r="L80" s="525"/>
      <c r="M80" s="525" t="s">
        <v>2853</v>
      </c>
      <c r="N80" s="525" t="s">
        <v>2088</v>
      </c>
      <c r="O80" s="526">
        <v>42741</v>
      </c>
      <c r="P80" s="525" t="s">
        <v>2750</v>
      </c>
      <c r="Q80" s="525" t="s">
        <v>2832</v>
      </c>
      <c r="R80" s="525"/>
      <c r="S80" s="525">
        <f t="shared" si="1"/>
        <v>108</v>
      </c>
    </row>
    <row r="81" spans="1:19" x14ac:dyDescent="0.2">
      <c r="A81" s="527" t="s">
        <v>3634</v>
      </c>
      <c r="B81" s="528">
        <v>42646</v>
      </c>
      <c r="C81" s="527" t="s">
        <v>3635</v>
      </c>
      <c r="D81" s="527" t="s">
        <v>3636</v>
      </c>
      <c r="E81" s="527" t="s">
        <v>2875</v>
      </c>
      <c r="F81" s="527">
        <v>2</v>
      </c>
      <c r="G81" s="527" t="s">
        <v>2852</v>
      </c>
      <c r="H81" s="527" t="s">
        <v>3167</v>
      </c>
      <c r="I81" s="527" t="s">
        <v>3211</v>
      </c>
      <c r="J81" s="527">
        <v>42677</v>
      </c>
      <c r="K81" s="527"/>
      <c r="L81" s="527"/>
      <c r="M81" s="527" t="s">
        <v>2853</v>
      </c>
      <c r="N81" s="527" t="s">
        <v>2088</v>
      </c>
      <c r="O81" s="528">
        <v>42681</v>
      </c>
      <c r="P81" s="527" t="s">
        <v>2751</v>
      </c>
      <c r="Q81" s="527" t="s">
        <v>2832</v>
      </c>
      <c r="R81" s="527"/>
      <c r="S81" s="527">
        <f t="shared" si="1"/>
        <v>31</v>
      </c>
    </row>
    <row r="82" spans="1:19" x14ac:dyDescent="0.2">
      <c r="A82" s="525" t="s">
        <v>3637</v>
      </c>
      <c r="B82" s="526">
        <v>42646</v>
      </c>
      <c r="C82" s="525" t="s">
        <v>3638</v>
      </c>
      <c r="D82" s="525" t="s">
        <v>3639</v>
      </c>
      <c r="E82" s="525" t="s">
        <v>3519</v>
      </c>
      <c r="F82" s="525">
        <v>1</v>
      </c>
      <c r="G82" s="525" t="s">
        <v>2852</v>
      </c>
      <c r="H82" s="525" t="s">
        <v>348</v>
      </c>
      <c r="I82" s="525" t="s">
        <v>3211</v>
      </c>
      <c r="J82" s="525">
        <v>42649</v>
      </c>
      <c r="K82" s="525"/>
      <c r="L82" s="525"/>
      <c r="M82" s="525" t="s">
        <v>2853</v>
      </c>
      <c r="N82" s="525" t="s">
        <v>2088</v>
      </c>
      <c r="O82" s="526">
        <v>42654</v>
      </c>
      <c r="P82" s="525" t="s">
        <v>2751</v>
      </c>
      <c r="Q82" s="525" t="s">
        <v>2829</v>
      </c>
      <c r="R82" s="525"/>
      <c r="S82" s="525">
        <f t="shared" si="1"/>
        <v>3</v>
      </c>
    </row>
    <row r="83" spans="1:19" x14ac:dyDescent="0.2">
      <c r="A83" s="527" t="s">
        <v>3640</v>
      </c>
      <c r="B83" s="528">
        <v>42657</v>
      </c>
      <c r="C83" s="527" t="s">
        <v>3641</v>
      </c>
      <c r="D83" s="527" t="s">
        <v>3642</v>
      </c>
      <c r="E83" s="527" t="s">
        <v>3519</v>
      </c>
      <c r="F83" s="527">
        <v>1</v>
      </c>
      <c r="G83" s="527" t="s">
        <v>2852</v>
      </c>
      <c r="H83" s="527" t="s">
        <v>2058</v>
      </c>
      <c r="I83" s="527" t="s">
        <v>3211</v>
      </c>
      <c r="J83" s="527">
        <v>42678</v>
      </c>
      <c r="K83" s="527"/>
      <c r="L83" s="527"/>
      <c r="M83" s="527" t="s">
        <v>2853</v>
      </c>
      <c r="N83" s="527" t="s">
        <v>2088</v>
      </c>
      <c r="O83" s="528">
        <v>42657</v>
      </c>
      <c r="P83" s="527" t="s">
        <v>2750</v>
      </c>
      <c r="Q83" s="527" t="s">
        <v>2829</v>
      </c>
      <c r="R83" s="527"/>
      <c r="S83" s="527">
        <f t="shared" si="1"/>
        <v>21</v>
      </c>
    </row>
    <row r="84" spans="1:19" x14ac:dyDescent="0.2">
      <c r="A84" s="525" t="s">
        <v>3643</v>
      </c>
      <c r="B84" s="526">
        <v>42667</v>
      </c>
      <c r="C84" s="525" t="s">
        <v>3644</v>
      </c>
      <c r="D84" s="525" t="s">
        <v>3646</v>
      </c>
      <c r="E84" s="525" t="s">
        <v>2971</v>
      </c>
      <c r="F84" s="525">
        <v>1</v>
      </c>
      <c r="G84" s="525" t="s">
        <v>2922</v>
      </c>
      <c r="H84" s="525" t="s">
        <v>3645</v>
      </c>
      <c r="I84" s="525" t="s">
        <v>229</v>
      </c>
      <c r="J84" s="525">
        <v>42671</v>
      </c>
      <c r="K84" s="525"/>
      <c r="L84" s="525"/>
      <c r="M84" s="525" t="s">
        <v>2853</v>
      </c>
      <c r="N84" s="525" t="s">
        <v>2088</v>
      </c>
      <c r="O84" s="526">
        <v>42670</v>
      </c>
      <c r="P84" s="525" t="s">
        <v>2750</v>
      </c>
      <c r="Q84" s="525" t="s">
        <v>2829</v>
      </c>
      <c r="R84" s="525"/>
      <c r="S84" s="525">
        <f t="shared" si="1"/>
        <v>4</v>
      </c>
    </row>
    <row r="85" spans="1:19" x14ac:dyDescent="0.2">
      <c r="A85" s="527" t="s">
        <v>3647</v>
      </c>
      <c r="B85" s="528">
        <v>42675</v>
      </c>
      <c r="C85" s="527" t="s">
        <v>3648</v>
      </c>
      <c r="D85" s="527" t="s">
        <v>3649</v>
      </c>
      <c r="E85" s="527" t="s">
        <v>3532</v>
      </c>
      <c r="F85" s="527">
        <v>1</v>
      </c>
      <c r="G85" s="527" t="s">
        <v>2852</v>
      </c>
      <c r="H85" s="527" t="s">
        <v>2106</v>
      </c>
      <c r="I85" s="527" t="s">
        <v>3211</v>
      </c>
      <c r="J85" s="527">
        <v>42678</v>
      </c>
      <c r="K85" s="527"/>
      <c r="L85" s="527"/>
      <c r="M85" s="527" t="s">
        <v>2853</v>
      </c>
      <c r="N85" s="527" t="s">
        <v>2088</v>
      </c>
      <c r="O85" s="528">
        <v>42703</v>
      </c>
      <c r="P85" s="527" t="s">
        <v>2751</v>
      </c>
      <c r="Q85" s="527" t="s">
        <v>2829</v>
      </c>
      <c r="R85" s="527"/>
      <c r="S85" s="527">
        <f t="shared" si="1"/>
        <v>3</v>
      </c>
    </row>
    <row r="86" spans="1:19" x14ac:dyDescent="0.2">
      <c r="A86" s="525" t="s">
        <v>3650</v>
      </c>
      <c r="B86" s="526">
        <v>42677</v>
      </c>
      <c r="C86" s="525" t="s">
        <v>3573</v>
      </c>
      <c r="D86" s="525" t="s">
        <v>3651</v>
      </c>
      <c r="E86" s="525" t="s">
        <v>2971</v>
      </c>
      <c r="F86" s="525">
        <v>2</v>
      </c>
      <c r="G86" s="525" t="s">
        <v>2880</v>
      </c>
      <c r="H86" s="525" t="s">
        <v>441</v>
      </c>
      <c r="I86" s="525" t="s">
        <v>229</v>
      </c>
      <c r="J86" s="525">
        <v>42696</v>
      </c>
      <c r="K86" s="525"/>
      <c r="L86" s="525"/>
      <c r="M86" s="525" t="s">
        <v>2853</v>
      </c>
      <c r="N86" s="525" t="s">
        <v>2088</v>
      </c>
      <c r="O86" s="526">
        <v>42677</v>
      </c>
      <c r="P86" s="525" t="s">
        <v>2750</v>
      </c>
      <c r="Q86" s="525" t="s">
        <v>2829</v>
      </c>
      <c r="R86" s="525"/>
      <c r="S86" s="525">
        <f t="shared" si="1"/>
        <v>19</v>
      </c>
    </row>
    <row r="87" spans="1:19" x14ac:dyDescent="0.2">
      <c r="A87" s="527" t="s">
        <v>3652</v>
      </c>
      <c r="B87" s="528">
        <v>42681</v>
      </c>
      <c r="C87" s="527" t="s">
        <v>3653</v>
      </c>
      <c r="D87" s="527" t="s">
        <v>3654</v>
      </c>
      <c r="E87" s="527" t="s">
        <v>2971</v>
      </c>
      <c r="F87" s="527">
        <v>1</v>
      </c>
      <c r="G87" s="527" t="s">
        <v>2922</v>
      </c>
      <c r="H87" s="527" t="s">
        <v>3645</v>
      </c>
      <c r="I87" s="527" t="s">
        <v>229</v>
      </c>
      <c r="J87" s="527">
        <v>42704</v>
      </c>
      <c r="K87" s="527"/>
      <c r="L87" s="527"/>
      <c r="M87" s="527" t="s">
        <v>2853</v>
      </c>
      <c r="N87" s="527" t="s">
        <v>3022</v>
      </c>
      <c r="O87" s="528">
        <v>44257</v>
      </c>
      <c r="P87" s="527" t="s">
        <v>2751</v>
      </c>
      <c r="Q87" s="527" t="s">
        <v>2839</v>
      </c>
      <c r="R87" s="527"/>
      <c r="S87" s="527">
        <f t="shared" si="1"/>
        <v>23</v>
      </c>
    </row>
    <row r="88" spans="1:19" x14ac:dyDescent="0.2">
      <c r="A88" s="525" t="s">
        <v>3655</v>
      </c>
      <c r="B88" s="526">
        <v>42691</v>
      </c>
      <c r="C88" s="525" t="s">
        <v>3656</v>
      </c>
      <c r="D88" s="525" t="s">
        <v>3657</v>
      </c>
      <c r="E88" s="525" t="s">
        <v>3532</v>
      </c>
      <c r="F88" s="525">
        <v>2</v>
      </c>
      <c r="G88" s="525" t="s">
        <v>2852</v>
      </c>
      <c r="H88" s="525" t="s">
        <v>615</v>
      </c>
      <c r="I88" s="525" t="s">
        <v>3211</v>
      </c>
      <c r="J88" s="525">
        <v>42704</v>
      </c>
      <c r="K88" s="525"/>
      <c r="L88" s="525"/>
      <c r="M88" s="525" t="s">
        <v>2853</v>
      </c>
      <c r="N88" s="525" t="s">
        <v>2088</v>
      </c>
      <c r="O88" s="526">
        <v>42696</v>
      </c>
      <c r="P88" s="525" t="s">
        <v>2750</v>
      </c>
      <c r="Q88" s="525" t="s">
        <v>2829</v>
      </c>
      <c r="R88" s="525"/>
      <c r="S88" s="525">
        <f t="shared" si="1"/>
        <v>13</v>
      </c>
    </row>
    <row r="89" spans="1:19" x14ac:dyDescent="0.2">
      <c r="A89" s="527" t="s">
        <v>3658</v>
      </c>
      <c r="B89" s="528">
        <v>42697</v>
      </c>
      <c r="C89" s="527" t="s">
        <v>3660</v>
      </c>
      <c r="D89" s="527" t="s">
        <v>3661</v>
      </c>
      <c r="E89" s="527" t="s">
        <v>3586</v>
      </c>
      <c r="F89" s="527">
        <v>1</v>
      </c>
      <c r="G89" s="527" t="s">
        <v>2852</v>
      </c>
      <c r="H89" s="527" t="s">
        <v>3423</v>
      </c>
      <c r="I89" s="527" t="s">
        <v>3211</v>
      </c>
      <c r="J89" s="527">
        <v>42770</v>
      </c>
      <c r="K89" s="527"/>
      <c r="L89" s="527"/>
      <c r="M89" s="527" t="s">
        <v>2853</v>
      </c>
      <c r="N89" s="527" t="s">
        <v>2088</v>
      </c>
      <c r="O89" s="528">
        <v>42915</v>
      </c>
      <c r="P89" s="527" t="s">
        <v>2751</v>
      </c>
      <c r="Q89" s="527" t="s">
        <v>2837</v>
      </c>
      <c r="R89" s="527"/>
      <c r="S89" s="527">
        <f t="shared" si="1"/>
        <v>73</v>
      </c>
    </row>
    <row r="90" spans="1:19" x14ac:dyDescent="0.2">
      <c r="A90" s="525" t="s">
        <v>3659</v>
      </c>
      <c r="B90" s="526">
        <v>42697</v>
      </c>
      <c r="C90" s="525" t="s">
        <v>3662</v>
      </c>
      <c r="D90" s="525" t="s">
        <v>3663</v>
      </c>
      <c r="E90" s="525" t="s">
        <v>2971</v>
      </c>
      <c r="F90" s="525">
        <v>1</v>
      </c>
      <c r="G90" s="525" t="s">
        <v>2852</v>
      </c>
      <c r="H90" s="525" t="s">
        <v>3423</v>
      </c>
      <c r="I90" s="525" t="s">
        <v>3211</v>
      </c>
      <c r="J90" s="525"/>
      <c r="K90" s="525"/>
      <c r="L90" s="525"/>
      <c r="M90" s="525" t="s">
        <v>1056</v>
      </c>
      <c r="N90" s="525" t="s">
        <v>2088</v>
      </c>
      <c r="O90" s="526" t="s">
        <v>2088</v>
      </c>
      <c r="P90" s="525" t="s">
        <v>2088</v>
      </c>
      <c r="Q90" s="525" t="s">
        <v>2088</v>
      </c>
      <c r="R90" s="525"/>
      <c r="S90" s="525">
        <f t="shared" si="1"/>
        <v>-42697</v>
      </c>
    </row>
    <row r="91" spans="1:19" x14ac:dyDescent="0.2">
      <c r="A91" s="527" t="s">
        <v>3664</v>
      </c>
      <c r="B91" s="528">
        <v>42702</v>
      </c>
      <c r="C91" s="527" t="s">
        <v>3665</v>
      </c>
      <c r="D91" s="527" t="s">
        <v>3666</v>
      </c>
      <c r="E91" s="527" t="s">
        <v>3667</v>
      </c>
      <c r="F91" s="527">
        <v>1</v>
      </c>
      <c r="G91" s="527" t="s">
        <v>2852</v>
      </c>
      <c r="H91" s="527" t="s">
        <v>3668</v>
      </c>
      <c r="I91" s="527" t="s">
        <v>3211</v>
      </c>
      <c r="J91" s="527">
        <v>42706</v>
      </c>
      <c r="K91" s="527"/>
      <c r="L91" s="527"/>
      <c r="M91" s="527" t="s">
        <v>2853</v>
      </c>
      <c r="N91" s="527" t="s">
        <v>2088</v>
      </c>
      <c r="O91" s="528">
        <v>42706</v>
      </c>
      <c r="P91" s="527" t="s">
        <v>2750</v>
      </c>
      <c r="Q91" s="527" t="s">
        <v>3677</v>
      </c>
      <c r="R91" s="527"/>
      <c r="S91" s="527">
        <f t="shared" si="1"/>
        <v>4</v>
      </c>
    </row>
    <row r="92" spans="1:19" x14ac:dyDescent="0.2">
      <c r="A92" s="525" t="s">
        <v>3669</v>
      </c>
      <c r="B92" s="526">
        <v>42703</v>
      </c>
      <c r="C92" s="525" t="s">
        <v>3670</v>
      </c>
      <c r="D92" s="525" t="s">
        <v>3671</v>
      </c>
      <c r="E92" s="525" t="s">
        <v>3532</v>
      </c>
      <c r="F92" s="525">
        <v>1</v>
      </c>
      <c r="G92" s="525" t="s">
        <v>2852</v>
      </c>
      <c r="H92" s="525" t="s">
        <v>615</v>
      </c>
      <c r="I92" s="525" t="s">
        <v>3211</v>
      </c>
      <c r="J92" s="525">
        <v>42704</v>
      </c>
      <c r="K92" s="525"/>
      <c r="L92" s="525"/>
      <c r="M92" s="525" t="s">
        <v>2853</v>
      </c>
      <c r="N92" s="525" t="s">
        <v>2088</v>
      </c>
      <c r="O92" s="526">
        <v>42704</v>
      </c>
      <c r="P92" s="525" t="s">
        <v>2750</v>
      </c>
      <c r="Q92" s="525" t="s">
        <v>2829</v>
      </c>
      <c r="R92" s="525"/>
      <c r="S92" s="525">
        <f t="shared" si="1"/>
        <v>1</v>
      </c>
    </row>
    <row r="93" spans="1:19" x14ac:dyDescent="0.2">
      <c r="A93" s="527" t="s">
        <v>3672</v>
      </c>
      <c r="B93" s="528">
        <v>42705</v>
      </c>
      <c r="C93" s="527" t="s">
        <v>3673</v>
      </c>
      <c r="D93" s="527" t="s">
        <v>3674</v>
      </c>
      <c r="E93" s="527" t="s">
        <v>3532</v>
      </c>
      <c r="F93" s="527">
        <v>1</v>
      </c>
      <c r="G93" s="527" t="s">
        <v>2852</v>
      </c>
      <c r="H93" s="527" t="s">
        <v>615</v>
      </c>
      <c r="I93" s="527" t="s">
        <v>3211</v>
      </c>
      <c r="J93" s="527">
        <v>42705</v>
      </c>
      <c r="K93" s="527"/>
      <c r="L93" s="527"/>
      <c r="M93" s="527" t="s">
        <v>2853</v>
      </c>
      <c r="N93" s="527" t="s">
        <v>2088</v>
      </c>
      <c r="O93" s="528">
        <v>42706</v>
      </c>
      <c r="P93" s="527" t="s">
        <v>2751</v>
      </c>
      <c r="Q93" s="527" t="s">
        <v>2829</v>
      </c>
      <c r="R93" s="527"/>
      <c r="S93" s="527">
        <f t="shared" si="1"/>
        <v>0</v>
      </c>
    </row>
    <row r="94" spans="1:19" x14ac:dyDescent="0.2">
      <c r="A94" s="525" t="s">
        <v>3675</v>
      </c>
      <c r="B94" s="526">
        <v>42706</v>
      </c>
      <c r="C94" s="525" t="s">
        <v>3676</v>
      </c>
      <c r="D94" s="525" t="s">
        <v>3307</v>
      </c>
      <c r="E94" s="525" t="s">
        <v>2971</v>
      </c>
      <c r="F94" s="525">
        <v>1</v>
      </c>
      <c r="G94" s="525" t="s">
        <v>2846</v>
      </c>
      <c r="H94" s="525" t="s">
        <v>486</v>
      </c>
      <c r="I94" s="525" t="s">
        <v>229</v>
      </c>
      <c r="J94" s="525">
        <v>42735</v>
      </c>
      <c r="K94" s="525"/>
      <c r="L94" s="525"/>
      <c r="M94" s="525" t="s">
        <v>3711</v>
      </c>
      <c r="N94" s="525" t="s">
        <v>2088</v>
      </c>
      <c r="O94" s="526" t="s">
        <v>2088</v>
      </c>
      <c r="P94" s="525" t="s">
        <v>2088</v>
      </c>
      <c r="Q94" s="525" t="s">
        <v>2088</v>
      </c>
      <c r="R94" s="525"/>
      <c r="S94" s="525">
        <f t="shared" si="1"/>
        <v>29</v>
      </c>
    </row>
    <row r="95" spans="1:19" x14ac:dyDescent="0.2">
      <c r="A95" s="527" t="s">
        <v>3678</v>
      </c>
      <c r="B95" s="528">
        <v>42709</v>
      </c>
      <c r="C95" s="527" t="s">
        <v>3679</v>
      </c>
      <c r="D95" s="527" t="s">
        <v>3680</v>
      </c>
      <c r="E95" s="527" t="s">
        <v>3681</v>
      </c>
      <c r="F95" s="527">
        <v>2</v>
      </c>
      <c r="G95" s="527" t="s">
        <v>2852</v>
      </c>
      <c r="H95" s="527" t="s">
        <v>3423</v>
      </c>
      <c r="I95" s="527" t="s">
        <v>3211</v>
      </c>
      <c r="J95" s="527">
        <v>42741</v>
      </c>
      <c r="K95" s="527"/>
      <c r="L95" s="527"/>
      <c r="M95" s="527" t="s">
        <v>2853</v>
      </c>
      <c r="N95" s="527" t="s">
        <v>2088</v>
      </c>
      <c r="O95" s="528">
        <v>42713</v>
      </c>
      <c r="P95" s="527" t="s">
        <v>2750</v>
      </c>
      <c r="Q95" s="527" t="s">
        <v>2829</v>
      </c>
      <c r="R95" s="527"/>
      <c r="S95" s="527">
        <f t="shared" si="1"/>
        <v>32</v>
      </c>
    </row>
    <row r="96" spans="1:19" x14ac:dyDescent="0.2">
      <c r="A96" s="525" t="s">
        <v>3682</v>
      </c>
      <c r="B96" s="526">
        <v>42710</v>
      </c>
      <c r="C96" s="525" t="s">
        <v>3683</v>
      </c>
      <c r="D96" s="525" t="s">
        <v>3684</v>
      </c>
      <c r="E96" s="525" t="s">
        <v>3532</v>
      </c>
      <c r="F96" s="525">
        <v>1</v>
      </c>
      <c r="G96" s="525" t="s">
        <v>2852</v>
      </c>
      <c r="H96" s="525" t="s">
        <v>615</v>
      </c>
      <c r="I96" s="525" t="s">
        <v>3211</v>
      </c>
      <c r="J96" s="525">
        <v>42713</v>
      </c>
      <c r="K96" s="525"/>
      <c r="L96" s="525"/>
      <c r="M96" s="525" t="s">
        <v>2853</v>
      </c>
      <c r="N96" s="525" t="s">
        <v>2088</v>
      </c>
      <c r="O96" s="526">
        <v>42747</v>
      </c>
      <c r="P96" s="525" t="s">
        <v>2751</v>
      </c>
      <c r="Q96" s="525" t="s">
        <v>2832</v>
      </c>
      <c r="R96" s="525"/>
      <c r="S96" s="525">
        <f t="shared" si="1"/>
        <v>3</v>
      </c>
    </row>
    <row r="97" spans="1:19" x14ac:dyDescent="0.2">
      <c r="A97" s="527" t="s">
        <v>3685</v>
      </c>
      <c r="B97" s="528">
        <v>42711</v>
      </c>
      <c r="C97" s="527" t="s">
        <v>3686</v>
      </c>
      <c r="D97" s="527" t="s">
        <v>3518</v>
      </c>
      <c r="E97" s="527" t="s">
        <v>3586</v>
      </c>
      <c r="F97" s="527">
        <v>1</v>
      </c>
      <c r="G97" s="527" t="s">
        <v>2852</v>
      </c>
      <c r="H97" s="527" t="s">
        <v>3167</v>
      </c>
      <c r="I97" s="527" t="s">
        <v>3211</v>
      </c>
      <c r="J97" s="527">
        <v>42376</v>
      </c>
      <c r="K97" s="527"/>
      <c r="L97" s="527"/>
      <c r="M97" s="527" t="s">
        <v>2853</v>
      </c>
      <c r="N97" s="527" t="s">
        <v>2088</v>
      </c>
      <c r="O97" s="528">
        <v>42739</v>
      </c>
      <c r="P97" s="527" t="s">
        <v>2750</v>
      </c>
      <c r="Q97" s="527" t="s">
        <v>2829</v>
      </c>
      <c r="R97" s="527"/>
      <c r="S97" s="527">
        <f t="shared" si="1"/>
        <v>-335</v>
      </c>
    </row>
    <row r="98" spans="1:19" x14ac:dyDescent="0.2">
      <c r="A98" s="525" t="s">
        <v>3687</v>
      </c>
      <c r="B98" s="526">
        <v>42719</v>
      </c>
      <c r="C98" s="525" t="s">
        <v>3662</v>
      </c>
      <c r="D98" s="525" t="s">
        <v>3688</v>
      </c>
      <c r="E98" s="525" t="s">
        <v>2971</v>
      </c>
      <c r="F98" s="525">
        <v>1</v>
      </c>
      <c r="G98" s="525" t="s">
        <v>2852</v>
      </c>
      <c r="H98" s="525" t="s">
        <v>3227</v>
      </c>
      <c r="I98" s="525" t="s">
        <v>3211</v>
      </c>
      <c r="J98" s="525">
        <v>42794</v>
      </c>
      <c r="K98" s="525"/>
      <c r="L98" s="525"/>
      <c r="M98" s="525" t="s">
        <v>4209</v>
      </c>
      <c r="N98" s="525" t="s">
        <v>2088</v>
      </c>
      <c r="O98" s="526" t="s">
        <v>2088</v>
      </c>
      <c r="P98" s="525" t="s">
        <v>2088</v>
      </c>
      <c r="Q98" s="525" t="s">
        <v>2088</v>
      </c>
      <c r="R98" s="525"/>
      <c r="S98" s="525">
        <f t="shared" si="1"/>
        <v>75</v>
      </c>
    </row>
    <row r="99" spans="1:19" x14ac:dyDescent="0.2">
      <c r="A99" s="527" t="s">
        <v>3689</v>
      </c>
      <c r="B99" s="528">
        <v>42724</v>
      </c>
      <c r="C99" s="527" t="s">
        <v>3690</v>
      </c>
      <c r="D99" s="527" t="s">
        <v>3518</v>
      </c>
      <c r="E99" s="527" t="s">
        <v>3586</v>
      </c>
      <c r="F99" s="527">
        <v>1</v>
      </c>
      <c r="G99" s="527" t="s">
        <v>2852</v>
      </c>
      <c r="H99" s="527" t="s">
        <v>3167</v>
      </c>
      <c r="I99" s="527" t="s">
        <v>3211</v>
      </c>
      <c r="J99" s="527">
        <v>42755</v>
      </c>
      <c r="K99" s="527"/>
      <c r="L99" s="527"/>
      <c r="M99" s="527" t="s">
        <v>2853</v>
      </c>
      <c r="N99" s="527" t="s">
        <v>2088</v>
      </c>
      <c r="O99" s="528">
        <v>42739</v>
      </c>
      <c r="P99" s="527" t="s">
        <v>2750</v>
      </c>
      <c r="Q99" s="527" t="s">
        <v>2829</v>
      </c>
      <c r="R99" s="527"/>
      <c r="S99" s="527">
        <f t="shared" si="1"/>
        <v>31</v>
      </c>
    </row>
    <row r="100" spans="1:19" x14ac:dyDescent="0.2">
      <c r="A100" s="529" t="s">
        <v>3692</v>
      </c>
      <c r="B100" s="530">
        <v>42726</v>
      </c>
      <c r="C100" s="529" t="s">
        <v>3694</v>
      </c>
      <c r="D100" s="529" t="s">
        <v>3693</v>
      </c>
      <c r="E100" s="529" t="s">
        <v>3532</v>
      </c>
      <c r="F100" s="529">
        <v>1</v>
      </c>
      <c r="G100" s="529" t="s">
        <v>2852</v>
      </c>
      <c r="H100" s="529" t="s">
        <v>615</v>
      </c>
      <c r="I100" s="529" t="s">
        <v>3211</v>
      </c>
      <c r="J100" s="529">
        <v>42726</v>
      </c>
      <c r="K100" s="529"/>
      <c r="L100" s="529"/>
      <c r="M100" s="529" t="s">
        <v>2853</v>
      </c>
      <c r="N100" s="529" t="s">
        <v>2088</v>
      </c>
      <c r="O100" s="530">
        <v>42733</v>
      </c>
      <c r="P100" s="529" t="s">
        <v>2751</v>
      </c>
      <c r="Q100" s="529" t="s">
        <v>2829</v>
      </c>
      <c r="R100" s="529"/>
      <c r="S100" s="529">
        <f t="shared" si="1"/>
        <v>0</v>
      </c>
    </row>
    <row r="101" spans="1:19" ht="38.25" x14ac:dyDescent="0.2">
      <c r="A101" s="407" t="s">
        <v>3695</v>
      </c>
      <c r="B101" s="424">
        <v>42739</v>
      </c>
      <c r="C101" s="405" t="s">
        <v>3696</v>
      </c>
      <c r="D101" s="405" t="s">
        <v>3697</v>
      </c>
      <c r="E101" s="406" t="s">
        <v>2971</v>
      </c>
      <c r="F101" s="406">
        <v>1</v>
      </c>
      <c r="G101" s="406" t="s">
        <v>2838</v>
      </c>
      <c r="H101" s="406" t="s">
        <v>516</v>
      </c>
      <c r="I101" s="406" t="s">
        <v>3778</v>
      </c>
      <c r="J101" s="424">
        <v>42825</v>
      </c>
      <c r="K101" s="435"/>
      <c r="L101" s="435"/>
      <c r="M101" s="406" t="s">
        <v>2853</v>
      </c>
      <c r="N101" s="406" t="s">
        <v>2088</v>
      </c>
      <c r="O101" s="424">
        <v>42837</v>
      </c>
      <c r="P101" s="406" t="s">
        <v>2912</v>
      </c>
      <c r="Q101" s="406" t="s">
        <v>2835</v>
      </c>
      <c r="R101" s="407"/>
      <c r="S101" s="436">
        <f>O101-B101</f>
        <v>98</v>
      </c>
    </row>
    <row r="102" spans="1:19" x14ac:dyDescent="0.2">
      <c r="A102" s="408" t="s">
        <v>3699</v>
      </c>
      <c r="B102" s="422">
        <v>42744</v>
      </c>
      <c r="C102" s="408" t="s">
        <v>3701</v>
      </c>
      <c r="D102" s="403" t="s">
        <v>3700</v>
      </c>
      <c r="E102" s="404" t="s">
        <v>3586</v>
      </c>
      <c r="F102" s="404">
        <v>1</v>
      </c>
      <c r="G102" s="404" t="s">
        <v>2828</v>
      </c>
      <c r="H102" s="404" t="s">
        <v>2106</v>
      </c>
      <c r="I102" s="404" t="s">
        <v>3211</v>
      </c>
      <c r="J102" s="422">
        <v>42748</v>
      </c>
      <c r="K102" s="437"/>
      <c r="L102" s="437"/>
      <c r="M102" s="404" t="s">
        <v>2853</v>
      </c>
      <c r="N102" s="404" t="s">
        <v>2088</v>
      </c>
      <c r="O102" s="422">
        <v>42759</v>
      </c>
      <c r="P102" s="406" t="s">
        <v>2912</v>
      </c>
      <c r="Q102" s="404" t="s">
        <v>2829</v>
      </c>
      <c r="R102" s="423"/>
      <c r="S102" s="420">
        <f t="shared" ref="S102:S165" si="2">O102-B102</f>
        <v>15</v>
      </c>
    </row>
    <row r="103" spans="1:19" x14ac:dyDescent="0.2">
      <c r="A103" s="407" t="s">
        <v>3702</v>
      </c>
      <c r="B103" s="424">
        <v>42747</v>
      </c>
      <c r="C103" s="407" t="s">
        <v>3704</v>
      </c>
      <c r="D103" s="405" t="s">
        <v>3703</v>
      </c>
      <c r="E103" s="406" t="s">
        <v>2917</v>
      </c>
      <c r="F103" s="406">
        <v>1</v>
      </c>
      <c r="G103" s="406" t="s">
        <v>2828</v>
      </c>
      <c r="H103" s="406" t="s">
        <v>3227</v>
      </c>
      <c r="I103" s="406" t="s">
        <v>3211</v>
      </c>
      <c r="J103" s="424">
        <v>42748</v>
      </c>
      <c r="K103" s="400"/>
      <c r="L103" s="400"/>
      <c r="M103" s="406" t="s">
        <v>2853</v>
      </c>
      <c r="N103" s="406" t="s">
        <v>2088</v>
      </c>
      <c r="O103" s="424">
        <v>42748</v>
      </c>
      <c r="P103" s="406" t="s">
        <v>4224</v>
      </c>
      <c r="Q103" s="406" t="s">
        <v>2829</v>
      </c>
      <c r="R103" s="412"/>
      <c r="S103" s="419">
        <f t="shared" si="2"/>
        <v>1</v>
      </c>
    </row>
    <row r="104" spans="1:19" x14ac:dyDescent="0.2">
      <c r="A104" s="408" t="s">
        <v>3705</v>
      </c>
      <c r="B104" s="422">
        <v>42762</v>
      </c>
      <c r="C104" s="408" t="s">
        <v>3706</v>
      </c>
      <c r="D104" s="403" t="s">
        <v>3707</v>
      </c>
      <c r="E104" s="404" t="s">
        <v>2971</v>
      </c>
      <c r="F104" s="404">
        <v>1</v>
      </c>
      <c r="G104" s="404" t="s">
        <v>2828</v>
      </c>
      <c r="H104" s="404" t="s">
        <v>3423</v>
      </c>
      <c r="I104" s="404" t="s">
        <v>3211</v>
      </c>
      <c r="J104" s="422">
        <v>42803</v>
      </c>
      <c r="K104" s="437"/>
      <c r="L104" s="437"/>
      <c r="M104" s="404" t="s">
        <v>2853</v>
      </c>
      <c r="N104" s="404" t="s">
        <v>2088</v>
      </c>
      <c r="O104" s="422">
        <v>42800</v>
      </c>
      <c r="P104" s="406" t="s">
        <v>4224</v>
      </c>
      <c r="Q104" s="404" t="s">
        <v>3677</v>
      </c>
      <c r="R104" s="423"/>
      <c r="S104" s="420">
        <f t="shared" si="2"/>
        <v>38</v>
      </c>
    </row>
    <row r="105" spans="1:19" x14ac:dyDescent="0.2">
      <c r="A105" s="407" t="s">
        <v>3708</v>
      </c>
      <c r="B105" s="424">
        <v>42765</v>
      </c>
      <c r="C105" s="407" t="s">
        <v>3709</v>
      </c>
      <c r="D105" s="405" t="s">
        <v>3307</v>
      </c>
      <c r="E105" s="406" t="s">
        <v>2971</v>
      </c>
      <c r="F105" s="406">
        <v>1</v>
      </c>
      <c r="G105" s="406" t="s">
        <v>2841</v>
      </c>
      <c r="H105" s="406" t="s">
        <v>486</v>
      </c>
      <c r="I105" s="406" t="s">
        <v>229</v>
      </c>
      <c r="J105" s="424">
        <v>42779</v>
      </c>
      <c r="K105" s="400"/>
      <c r="L105" s="400"/>
      <c r="M105" s="406" t="s">
        <v>2853</v>
      </c>
      <c r="N105" s="406" t="s">
        <v>2088</v>
      </c>
      <c r="O105" s="424">
        <v>42768</v>
      </c>
      <c r="P105" s="406" t="s">
        <v>4224</v>
      </c>
      <c r="Q105" s="406" t="s">
        <v>2829</v>
      </c>
      <c r="R105" s="412"/>
      <c r="S105" s="419">
        <f t="shared" si="2"/>
        <v>3</v>
      </c>
    </row>
    <row r="106" spans="1:19" ht="25.5" x14ac:dyDescent="0.2">
      <c r="A106" s="408" t="s">
        <v>3712</v>
      </c>
      <c r="B106" s="422">
        <v>42768</v>
      </c>
      <c r="C106" s="408" t="s">
        <v>3713</v>
      </c>
      <c r="D106" s="403" t="s">
        <v>3714</v>
      </c>
      <c r="E106" s="404" t="s">
        <v>2971</v>
      </c>
      <c r="F106" s="404">
        <v>1</v>
      </c>
      <c r="G106" s="404" t="s">
        <v>2828</v>
      </c>
      <c r="H106" s="404" t="s">
        <v>3227</v>
      </c>
      <c r="I106" s="404" t="s">
        <v>3211</v>
      </c>
      <c r="J106" s="422">
        <v>42769</v>
      </c>
      <c r="K106" s="437"/>
      <c r="L106" s="437"/>
      <c r="M106" s="404" t="s">
        <v>2853</v>
      </c>
      <c r="N106" s="404" t="s">
        <v>2088</v>
      </c>
      <c r="O106" s="422">
        <v>42768</v>
      </c>
      <c r="P106" s="406" t="s">
        <v>4224</v>
      </c>
      <c r="Q106" s="404" t="s">
        <v>3677</v>
      </c>
      <c r="R106" s="423"/>
      <c r="S106" s="420">
        <f t="shared" si="2"/>
        <v>0</v>
      </c>
    </row>
    <row r="107" spans="1:19" ht="51" x14ac:dyDescent="0.2">
      <c r="A107" s="407" t="s">
        <v>3715</v>
      </c>
      <c r="B107" s="424">
        <v>42776</v>
      </c>
      <c r="C107" s="407" t="s">
        <v>3573</v>
      </c>
      <c r="D107" s="405" t="s">
        <v>3716</v>
      </c>
      <c r="E107" s="406" t="s">
        <v>2971</v>
      </c>
      <c r="F107" s="406">
        <v>1</v>
      </c>
      <c r="G107" s="406" t="s">
        <v>2838</v>
      </c>
      <c r="H107" s="406" t="s">
        <v>3423</v>
      </c>
      <c r="I107" s="406" t="s">
        <v>229</v>
      </c>
      <c r="J107" s="424">
        <v>42794</v>
      </c>
      <c r="K107" s="400"/>
      <c r="L107" s="400"/>
      <c r="M107" s="406" t="s">
        <v>2853</v>
      </c>
      <c r="N107" s="406" t="s">
        <v>3022</v>
      </c>
      <c r="O107" s="424">
        <v>42822</v>
      </c>
      <c r="P107" s="406" t="s">
        <v>4224</v>
      </c>
      <c r="Q107" s="406" t="s">
        <v>2832</v>
      </c>
      <c r="R107" s="412"/>
      <c r="S107" s="419">
        <f t="shared" si="2"/>
        <v>46</v>
      </c>
    </row>
    <row r="108" spans="1:19" ht="25.5" x14ac:dyDescent="0.2">
      <c r="A108" s="408" t="s">
        <v>3717</v>
      </c>
      <c r="B108" s="422">
        <v>42779</v>
      </c>
      <c r="C108" s="423" t="s">
        <v>3718</v>
      </c>
      <c r="D108" s="403" t="s">
        <v>3719</v>
      </c>
      <c r="E108" s="404" t="s">
        <v>3764</v>
      </c>
      <c r="F108" s="404">
        <v>1</v>
      </c>
      <c r="G108" s="404" t="s">
        <v>2828</v>
      </c>
      <c r="H108" s="404" t="s">
        <v>3227</v>
      </c>
      <c r="I108" s="404" t="s">
        <v>3211</v>
      </c>
      <c r="J108" s="422">
        <v>42783</v>
      </c>
      <c r="K108" s="437"/>
      <c r="L108" s="437"/>
      <c r="M108" s="404" t="s">
        <v>2853</v>
      </c>
      <c r="N108" s="404" t="s">
        <v>2088</v>
      </c>
      <c r="O108" s="422">
        <v>42789</v>
      </c>
      <c r="P108" s="406" t="s">
        <v>2912</v>
      </c>
      <c r="Q108" s="404" t="s">
        <v>2829</v>
      </c>
      <c r="R108" s="423"/>
      <c r="S108" s="420">
        <f t="shared" si="2"/>
        <v>10</v>
      </c>
    </row>
    <row r="109" spans="1:19" ht="25.5" x14ac:dyDescent="0.2">
      <c r="A109" s="407" t="s">
        <v>3720</v>
      </c>
      <c r="B109" s="424">
        <v>42779</v>
      </c>
      <c r="C109" s="407" t="s">
        <v>3721</v>
      </c>
      <c r="D109" s="405" t="s">
        <v>3722</v>
      </c>
      <c r="E109" s="406" t="s">
        <v>3335</v>
      </c>
      <c r="F109" s="406">
        <v>1</v>
      </c>
      <c r="G109" s="406" t="s">
        <v>2828</v>
      </c>
      <c r="H109" s="406" t="s">
        <v>3167</v>
      </c>
      <c r="I109" s="406" t="s">
        <v>3211</v>
      </c>
      <c r="J109" s="424">
        <v>42783</v>
      </c>
      <c r="K109" s="400"/>
      <c r="L109" s="400"/>
      <c r="M109" s="406" t="s">
        <v>2853</v>
      </c>
      <c r="N109" s="406" t="s">
        <v>2088</v>
      </c>
      <c r="O109" s="424">
        <v>42783</v>
      </c>
      <c r="P109" s="406" t="s">
        <v>4224</v>
      </c>
      <c r="Q109" s="406" t="s">
        <v>2829</v>
      </c>
      <c r="R109" s="412"/>
      <c r="S109" s="419">
        <f t="shared" si="2"/>
        <v>4</v>
      </c>
    </row>
    <row r="110" spans="1:19" ht="38.25" x14ac:dyDescent="0.2">
      <c r="A110" s="408" t="s">
        <v>3723</v>
      </c>
      <c r="B110" s="422">
        <v>42782</v>
      </c>
      <c r="C110" s="408" t="s">
        <v>3724</v>
      </c>
      <c r="D110" s="403" t="s">
        <v>3725</v>
      </c>
      <c r="E110" s="404" t="s">
        <v>3617</v>
      </c>
      <c r="F110" s="404">
        <v>1</v>
      </c>
      <c r="G110" s="404" t="s">
        <v>2828</v>
      </c>
      <c r="H110" s="404" t="s">
        <v>2067</v>
      </c>
      <c r="I110" s="404" t="s">
        <v>3211</v>
      </c>
      <c r="J110" s="422">
        <v>42952</v>
      </c>
      <c r="K110" s="437"/>
      <c r="L110" s="437"/>
      <c r="M110" s="404" t="s">
        <v>2853</v>
      </c>
      <c r="N110" s="404" t="s">
        <v>2088</v>
      </c>
      <c r="O110" s="422">
        <v>42929</v>
      </c>
      <c r="P110" s="406" t="s">
        <v>4224</v>
      </c>
      <c r="Q110" s="404" t="s">
        <v>2835</v>
      </c>
      <c r="R110" s="423"/>
      <c r="S110" s="420">
        <f t="shared" si="2"/>
        <v>147</v>
      </c>
    </row>
    <row r="111" spans="1:19" ht="63.75" x14ac:dyDescent="0.2">
      <c r="A111" s="407" t="s">
        <v>3726</v>
      </c>
      <c r="B111" s="424">
        <v>42800</v>
      </c>
      <c r="C111" s="405" t="s">
        <v>3727</v>
      </c>
      <c r="D111" s="405" t="s">
        <v>3728</v>
      </c>
      <c r="E111" s="406" t="s">
        <v>2971</v>
      </c>
      <c r="F111" s="406">
        <v>1</v>
      </c>
      <c r="G111" s="406" t="s">
        <v>2828</v>
      </c>
      <c r="H111" s="406" t="s">
        <v>3729</v>
      </c>
      <c r="I111" s="406" t="s">
        <v>3211</v>
      </c>
      <c r="J111" s="424">
        <v>42804</v>
      </c>
      <c r="K111" s="400"/>
      <c r="L111" s="400"/>
      <c r="M111" s="406" t="s">
        <v>2853</v>
      </c>
      <c r="N111" s="406" t="s">
        <v>2088</v>
      </c>
      <c r="O111" s="424">
        <v>42800</v>
      </c>
      <c r="P111" s="406" t="s">
        <v>4224</v>
      </c>
      <c r="Q111" s="406" t="s">
        <v>2829</v>
      </c>
      <c r="R111" s="412"/>
      <c r="S111" s="419">
        <f t="shared" si="2"/>
        <v>0</v>
      </c>
    </row>
    <row r="112" spans="1:19" ht="38.25" x14ac:dyDescent="0.2">
      <c r="A112" s="408" t="s">
        <v>3730</v>
      </c>
      <c r="B112" s="422">
        <v>42800</v>
      </c>
      <c r="C112" s="403" t="s">
        <v>3734</v>
      </c>
      <c r="D112" s="403" t="s">
        <v>3306</v>
      </c>
      <c r="E112" s="404" t="s">
        <v>2971</v>
      </c>
      <c r="F112" s="404">
        <v>1</v>
      </c>
      <c r="G112" s="404" t="s">
        <v>2841</v>
      </c>
      <c r="H112" s="404" t="s">
        <v>229</v>
      </c>
      <c r="I112" s="404" t="s">
        <v>229</v>
      </c>
      <c r="J112" s="422">
        <v>42825</v>
      </c>
      <c r="K112" s="437"/>
      <c r="L112" s="437"/>
      <c r="M112" s="404" t="s">
        <v>2853</v>
      </c>
      <c r="N112" s="404" t="s">
        <v>2088</v>
      </c>
      <c r="O112" s="422">
        <v>42822</v>
      </c>
      <c r="P112" s="406" t="s">
        <v>4224</v>
      </c>
      <c r="Q112" s="404" t="s">
        <v>2829</v>
      </c>
      <c r="R112" s="423"/>
      <c r="S112" s="420">
        <f t="shared" si="2"/>
        <v>22</v>
      </c>
    </row>
    <row r="113" spans="1:19" ht="38.25" x14ac:dyDescent="0.2">
      <c r="A113" s="407" t="s">
        <v>3731</v>
      </c>
      <c r="B113" s="424">
        <v>42800</v>
      </c>
      <c r="C113" s="405" t="s">
        <v>3735</v>
      </c>
      <c r="D113" s="405" t="s">
        <v>3306</v>
      </c>
      <c r="E113" s="406" t="s">
        <v>2971</v>
      </c>
      <c r="F113" s="406">
        <v>1</v>
      </c>
      <c r="G113" s="406" t="s">
        <v>2841</v>
      </c>
      <c r="H113" s="406" t="s">
        <v>229</v>
      </c>
      <c r="I113" s="406" t="s">
        <v>229</v>
      </c>
      <c r="J113" s="424">
        <v>42825</v>
      </c>
      <c r="K113" s="400"/>
      <c r="L113" s="400"/>
      <c r="M113" s="406" t="s">
        <v>2853</v>
      </c>
      <c r="N113" s="406" t="s">
        <v>2088</v>
      </c>
      <c r="O113" s="424">
        <v>42822</v>
      </c>
      <c r="P113" s="406" t="s">
        <v>4224</v>
      </c>
      <c r="Q113" s="406" t="s">
        <v>2829</v>
      </c>
      <c r="R113" s="412"/>
      <c r="S113" s="419">
        <f t="shared" si="2"/>
        <v>22</v>
      </c>
    </row>
    <row r="114" spans="1:19" ht="38.25" x14ac:dyDescent="0.2">
      <c r="A114" s="408" t="s">
        <v>3732</v>
      </c>
      <c r="B114" s="422">
        <v>42800</v>
      </c>
      <c r="C114" s="403" t="s">
        <v>3736</v>
      </c>
      <c r="D114" s="403" t="s">
        <v>3306</v>
      </c>
      <c r="E114" s="404" t="s">
        <v>2971</v>
      </c>
      <c r="F114" s="404">
        <v>1</v>
      </c>
      <c r="G114" s="404" t="s">
        <v>2841</v>
      </c>
      <c r="H114" s="404" t="s">
        <v>229</v>
      </c>
      <c r="I114" s="404" t="s">
        <v>229</v>
      </c>
      <c r="J114" s="422">
        <v>42825</v>
      </c>
      <c r="K114" s="437"/>
      <c r="L114" s="437"/>
      <c r="M114" s="404" t="s">
        <v>2853</v>
      </c>
      <c r="N114" s="404" t="s">
        <v>2088</v>
      </c>
      <c r="O114" s="422">
        <v>42822</v>
      </c>
      <c r="P114" s="406" t="s">
        <v>4224</v>
      </c>
      <c r="Q114" s="404" t="s">
        <v>2829</v>
      </c>
      <c r="R114" s="423"/>
      <c r="S114" s="420">
        <f t="shared" si="2"/>
        <v>22</v>
      </c>
    </row>
    <row r="115" spans="1:19" ht="38.25" x14ac:dyDescent="0.2">
      <c r="A115" s="407" t="s">
        <v>3733</v>
      </c>
      <c r="B115" s="424">
        <v>42800</v>
      </c>
      <c r="C115" s="405" t="s">
        <v>3737</v>
      </c>
      <c r="D115" s="405" t="s">
        <v>3306</v>
      </c>
      <c r="E115" s="406" t="s">
        <v>2971</v>
      </c>
      <c r="F115" s="406">
        <v>1</v>
      </c>
      <c r="G115" s="406" t="s">
        <v>2841</v>
      </c>
      <c r="H115" s="406" t="s">
        <v>229</v>
      </c>
      <c r="I115" s="406" t="s">
        <v>229</v>
      </c>
      <c r="J115" s="424">
        <v>42825</v>
      </c>
      <c r="K115" s="400"/>
      <c r="L115" s="400"/>
      <c r="M115" s="406" t="s">
        <v>2853</v>
      </c>
      <c r="N115" s="406" t="s">
        <v>2088</v>
      </c>
      <c r="O115" s="424">
        <v>42822</v>
      </c>
      <c r="P115" s="406" t="s">
        <v>4224</v>
      </c>
      <c r="Q115" s="406" t="s">
        <v>2829</v>
      </c>
      <c r="R115" s="412"/>
      <c r="S115" s="419">
        <f t="shared" si="2"/>
        <v>22</v>
      </c>
    </row>
    <row r="116" spans="1:19" ht="38.25" x14ac:dyDescent="0.2">
      <c r="A116" s="408" t="s">
        <v>3738</v>
      </c>
      <c r="B116" s="422">
        <v>42800</v>
      </c>
      <c r="C116" s="403" t="s">
        <v>3739</v>
      </c>
      <c r="D116" s="403" t="s">
        <v>3740</v>
      </c>
      <c r="E116" s="404" t="s">
        <v>2971</v>
      </c>
      <c r="F116" s="404">
        <v>1</v>
      </c>
      <c r="G116" s="404" t="s">
        <v>2828</v>
      </c>
      <c r="H116" s="404" t="s">
        <v>3227</v>
      </c>
      <c r="I116" s="404" t="s">
        <v>3211</v>
      </c>
      <c r="J116" s="422">
        <v>42807</v>
      </c>
      <c r="K116" s="437"/>
      <c r="L116" s="437"/>
      <c r="M116" s="404" t="s">
        <v>2853</v>
      </c>
      <c r="N116" s="404" t="s">
        <v>2088</v>
      </c>
      <c r="O116" s="422">
        <v>42800</v>
      </c>
      <c r="P116" s="406" t="s">
        <v>4224</v>
      </c>
      <c r="Q116" s="404" t="s">
        <v>2829</v>
      </c>
      <c r="R116" s="423"/>
      <c r="S116" s="420">
        <f t="shared" si="2"/>
        <v>0</v>
      </c>
    </row>
    <row r="117" spans="1:19" ht="102" x14ac:dyDescent="0.2">
      <c r="A117" s="407" t="s">
        <v>3741</v>
      </c>
      <c r="B117" s="424">
        <v>42800</v>
      </c>
      <c r="C117" s="405" t="s">
        <v>3933</v>
      </c>
      <c r="D117" s="405" t="s">
        <v>3743</v>
      </c>
      <c r="E117" s="406" t="s">
        <v>2971</v>
      </c>
      <c r="F117" s="406">
        <v>1</v>
      </c>
      <c r="G117" s="406" t="s">
        <v>2836</v>
      </c>
      <c r="H117" s="406" t="s">
        <v>3227</v>
      </c>
      <c r="I117" s="406" t="s">
        <v>3211</v>
      </c>
      <c r="J117" s="425" t="s">
        <v>3911</v>
      </c>
      <c r="K117" s="400"/>
      <c r="L117" s="400"/>
      <c r="M117" s="406" t="s">
        <v>2853</v>
      </c>
      <c r="N117" s="406" t="s">
        <v>3910</v>
      </c>
      <c r="O117" s="424">
        <v>42978</v>
      </c>
      <c r="P117" s="406" t="s">
        <v>4224</v>
      </c>
      <c r="Q117" s="406" t="s">
        <v>2835</v>
      </c>
      <c r="R117" s="412"/>
      <c r="S117" s="419">
        <f t="shared" si="2"/>
        <v>178</v>
      </c>
    </row>
    <row r="118" spans="1:19" ht="114.75" x14ac:dyDescent="0.2">
      <c r="A118" s="408" t="s">
        <v>3742</v>
      </c>
      <c r="B118" s="422">
        <v>42800</v>
      </c>
      <c r="C118" s="403" t="s">
        <v>3932</v>
      </c>
      <c r="D118" s="403" t="s">
        <v>3744</v>
      </c>
      <c r="E118" s="404" t="s">
        <v>2971</v>
      </c>
      <c r="F118" s="404">
        <v>1</v>
      </c>
      <c r="G118" s="404" t="s">
        <v>2836</v>
      </c>
      <c r="H118" s="404" t="s">
        <v>3227</v>
      </c>
      <c r="I118" s="404" t="s">
        <v>3211</v>
      </c>
      <c r="J118" s="422">
        <v>42825</v>
      </c>
      <c r="K118" s="437"/>
      <c r="L118" s="437"/>
      <c r="M118" s="404" t="s">
        <v>2853</v>
      </c>
      <c r="N118" s="404" t="s">
        <v>3022</v>
      </c>
      <c r="O118" s="422">
        <v>42961</v>
      </c>
      <c r="P118" s="406" t="s">
        <v>2912</v>
      </c>
      <c r="Q118" s="404" t="s">
        <v>2837</v>
      </c>
      <c r="R118" s="423"/>
      <c r="S118" s="420">
        <f t="shared" si="2"/>
        <v>161</v>
      </c>
    </row>
    <row r="119" spans="1:19" ht="51" x14ac:dyDescent="0.2">
      <c r="A119" s="407" t="s">
        <v>3745</v>
      </c>
      <c r="B119" s="424">
        <v>42801</v>
      </c>
      <c r="C119" s="405" t="s">
        <v>3748</v>
      </c>
      <c r="D119" s="405" t="s">
        <v>3746</v>
      </c>
      <c r="E119" s="406" t="s">
        <v>2971</v>
      </c>
      <c r="F119" s="406">
        <v>1</v>
      </c>
      <c r="G119" s="406" t="s">
        <v>2836</v>
      </c>
      <c r="H119" s="406" t="s">
        <v>3747</v>
      </c>
      <c r="I119" s="406" t="s">
        <v>3144</v>
      </c>
      <c r="J119" s="424">
        <v>42801</v>
      </c>
      <c r="K119" s="400"/>
      <c r="L119" s="400"/>
      <c r="M119" s="406" t="s">
        <v>2853</v>
      </c>
      <c r="N119" s="406" t="s">
        <v>2088</v>
      </c>
      <c r="O119" s="424">
        <v>42801</v>
      </c>
      <c r="P119" s="406" t="s">
        <v>4224</v>
      </c>
      <c r="Q119" s="406" t="s">
        <v>2829</v>
      </c>
      <c r="R119" s="412"/>
      <c r="S119" s="419">
        <f t="shared" si="2"/>
        <v>0</v>
      </c>
    </row>
    <row r="120" spans="1:19" ht="38.25" x14ac:dyDescent="0.2">
      <c r="A120" s="408" t="s">
        <v>3749</v>
      </c>
      <c r="B120" s="422">
        <v>42809</v>
      </c>
      <c r="C120" s="403" t="s">
        <v>3750</v>
      </c>
      <c r="D120" s="403" t="s">
        <v>3751</v>
      </c>
      <c r="E120" s="404" t="s">
        <v>2971</v>
      </c>
      <c r="F120" s="404">
        <v>1</v>
      </c>
      <c r="G120" s="404" t="s">
        <v>2841</v>
      </c>
      <c r="H120" s="404" t="s">
        <v>516</v>
      </c>
      <c r="I120" s="404" t="s">
        <v>229</v>
      </c>
      <c r="J120" s="422">
        <v>42855</v>
      </c>
      <c r="K120" s="437"/>
      <c r="L120" s="437"/>
      <c r="M120" s="404" t="s">
        <v>2853</v>
      </c>
      <c r="N120" s="404" t="s">
        <v>2088</v>
      </c>
      <c r="O120" s="422">
        <v>42853</v>
      </c>
      <c r="P120" s="406" t="s">
        <v>4224</v>
      </c>
      <c r="Q120" s="404" t="s">
        <v>2832</v>
      </c>
      <c r="R120" s="423"/>
      <c r="S120" s="420">
        <f t="shared" si="2"/>
        <v>44</v>
      </c>
    </row>
    <row r="121" spans="1:19" ht="38.25" x14ac:dyDescent="0.2">
      <c r="A121" s="407" t="s">
        <v>3752</v>
      </c>
      <c r="B121" s="424">
        <v>42810</v>
      </c>
      <c r="C121" s="405" t="s">
        <v>3753</v>
      </c>
      <c r="D121" s="405" t="s">
        <v>3757</v>
      </c>
      <c r="E121" s="406" t="s">
        <v>2971</v>
      </c>
      <c r="F121" s="406">
        <v>1</v>
      </c>
      <c r="G121" s="406" t="s">
        <v>2838</v>
      </c>
      <c r="H121" s="406" t="s">
        <v>516</v>
      </c>
      <c r="I121" s="406" t="s">
        <v>229</v>
      </c>
      <c r="J121" s="424">
        <v>43008</v>
      </c>
      <c r="K121" s="400"/>
      <c r="L121" s="400"/>
      <c r="M121" s="406" t="s">
        <v>2853</v>
      </c>
      <c r="N121" s="406" t="s">
        <v>2088</v>
      </c>
      <c r="O121" s="424">
        <v>42821</v>
      </c>
      <c r="P121" s="406" t="s">
        <v>4224</v>
      </c>
      <c r="Q121" s="406" t="s">
        <v>2829</v>
      </c>
      <c r="R121" s="412"/>
      <c r="S121" s="419">
        <f t="shared" si="2"/>
        <v>11</v>
      </c>
    </row>
    <row r="122" spans="1:19" ht="38.25" x14ac:dyDescent="0.2">
      <c r="A122" s="408" t="s">
        <v>3754</v>
      </c>
      <c r="B122" s="422">
        <v>42816</v>
      </c>
      <c r="C122" s="403" t="s">
        <v>3755</v>
      </c>
      <c r="D122" s="403" t="s">
        <v>3756</v>
      </c>
      <c r="E122" s="404" t="s">
        <v>2971</v>
      </c>
      <c r="F122" s="404">
        <v>1</v>
      </c>
      <c r="G122" s="404" t="s">
        <v>2840</v>
      </c>
      <c r="H122" s="404" t="s">
        <v>229</v>
      </c>
      <c r="I122" s="404" t="s">
        <v>229</v>
      </c>
      <c r="J122" s="422">
        <v>42818</v>
      </c>
      <c r="K122" s="437"/>
      <c r="L122" s="437"/>
      <c r="M122" s="404" t="s">
        <v>2853</v>
      </c>
      <c r="N122" s="404" t="s">
        <v>2088</v>
      </c>
      <c r="O122" s="422">
        <v>42816</v>
      </c>
      <c r="P122" s="406" t="s">
        <v>4224</v>
      </c>
      <c r="Q122" s="404" t="s">
        <v>2829</v>
      </c>
      <c r="R122" s="423"/>
      <c r="S122" s="420">
        <f t="shared" si="2"/>
        <v>0</v>
      </c>
    </row>
    <row r="123" spans="1:19" ht="63.75" x14ac:dyDescent="0.2">
      <c r="A123" s="407" t="s">
        <v>3758</v>
      </c>
      <c r="B123" s="424">
        <v>42815</v>
      </c>
      <c r="C123" s="405" t="s">
        <v>3760</v>
      </c>
      <c r="D123" s="405" t="s">
        <v>3759</v>
      </c>
      <c r="E123" s="406" t="s">
        <v>2971</v>
      </c>
      <c r="F123" s="406">
        <v>1</v>
      </c>
      <c r="G123" s="406" t="s">
        <v>2840</v>
      </c>
      <c r="H123" s="406" t="s">
        <v>1461</v>
      </c>
      <c r="I123" s="406" t="s">
        <v>229</v>
      </c>
      <c r="J123" s="424">
        <v>42825</v>
      </c>
      <c r="K123" s="400"/>
      <c r="L123" s="400"/>
      <c r="M123" s="406" t="s">
        <v>2853</v>
      </c>
      <c r="N123" s="406" t="s">
        <v>2088</v>
      </c>
      <c r="O123" s="424">
        <v>42809</v>
      </c>
      <c r="P123" s="406" t="s">
        <v>4224</v>
      </c>
      <c r="Q123" s="406" t="s">
        <v>2829</v>
      </c>
      <c r="R123" s="412"/>
      <c r="S123" s="419">
        <f t="shared" si="2"/>
        <v>-6</v>
      </c>
    </row>
    <row r="124" spans="1:19" ht="38.25" x14ac:dyDescent="0.2">
      <c r="A124" s="408" t="s">
        <v>3761</v>
      </c>
      <c r="B124" s="422">
        <v>42821</v>
      </c>
      <c r="C124" s="403" t="s">
        <v>3762</v>
      </c>
      <c r="D124" s="403" t="s">
        <v>3763</v>
      </c>
      <c r="E124" s="404" t="s">
        <v>2971</v>
      </c>
      <c r="F124" s="404">
        <v>1</v>
      </c>
      <c r="G124" s="404" t="s">
        <v>2841</v>
      </c>
      <c r="H124" s="404" t="s">
        <v>229</v>
      </c>
      <c r="I124" s="404" t="s">
        <v>229</v>
      </c>
      <c r="J124" s="422">
        <v>42855</v>
      </c>
      <c r="K124" s="437"/>
      <c r="L124" s="437"/>
      <c r="M124" s="404" t="s">
        <v>2853</v>
      </c>
      <c r="N124" s="404" t="s">
        <v>2088</v>
      </c>
      <c r="O124" s="422">
        <v>42853</v>
      </c>
      <c r="P124" s="406" t="s">
        <v>4224</v>
      </c>
      <c r="Q124" s="404" t="s">
        <v>2829</v>
      </c>
      <c r="R124" s="423"/>
      <c r="S124" s="420">
        <f t="shared" si="2"/>
        <v>32</v>
      </c>
    </row>
    <row r="125" spans="1:19" ht="63.75" x14ac:dyDescent="0.2">
      <c r="A125" s="407" t="s">
        <v>3765</v>
      </c>
      <c r="B125" s="424">
        <v>42824</v>
      </c>
      <c r="C125" s="405" t="s">
        <v>3769</v>
      </c>
      <c r="D125" s="405" t="s">
        <v>3770</v>
      </c>
      <c r="E125" s="406" t="s">
        <v>2971</v>
      </c>
      <c r="F125" s="406">
        <v>1</v>
      </c>
      <c r="G125" s="406" t="s">
        <v>2840</v>
      </c>
      <c r="H125" s="406" t="s">
        <v>3747</v>
      </c>
      <c r="I125" s="406" t="s">
        <v>3144</v>
      </c>
      <c r="J125" s="424">
        <v>42825</v>
      </c>
      <c r="K125" s="400"/>
      <c r="L125" s="400"/>
      <c r="M125" s="406" t="s">
        <v>2853</v>
      </c>
      <c r="N125" s="406" t="s">
        <v>2088</v>
      </c>
      <c r="O125" s="424">
        <v>42825</v>
      </c>
      <c r="P125" s="406" t="s">
        <v>4224</v>
      </c>
      <c r="Q125" s="406" t="s">
        <v>2829</v>
      </c>
      <c r="R125" s="412"/>
      <c r="S125" s="419">
        <f t="shared" si="2"/>
        <v>1</v>
      </c>
    </row>
    <row r="126" spans="1:19" ht="63.75" x14ac:dyDescent="0.2">
      <c r="A126" s="408" t="s">
        <v>3766</v>
      </c>
      <c r="B126" s="422">
        <v>42825</v>
      </c>
      <c r="C126" s="403" t="s">
        <v>3767</v>
      </c>
      <c r="D126" s="403" t="s">
        <v>3768</v>
      </c>
      <c r="E126" s="404" t="s">
        <v>2971</v>
      </c>
      <c r="F126" s="404">
        <v>1</v>
      </c>
      <c r="G126" s="404" t="s">
        <v>2836</v>
      </c>
      <c r="H126" s="404" t="s">
        <v>516</v>
      </c>
      <c r="I126" s="404" t="s">
        <v>229</v>
      </c>
      <c r="J126" s="422">
        <v>42855</v>
      </c>
      <c r="K126" s="437"/>
      <c r="L126" s="437"/>
      <c r="M126" s="404" t="s">
        <v>2853</v>
      </c>
      <c r="N126" s="404" t="s">
        <v>2088</v>
      </c>
      <c r="O126" s="422">
        <v>42828</v>
      </c>
      <c r="P126" s="406" t="s">
        <v>4224</v>
      </c>
      <c r="Q126" s="404" t="s">
        <v>2829</v>
      </c>
      <c r="R126" s="423"/>
      <c r="S126" s="420">
        <f t="shared" si="2"/>
        <v>3</v>
      </c>
    </row>
    <row r="127" spans="1:19" ht="63.75" x14ac:dyDescent="0.2">
      <c r="A127" s="407" t="s">
        <v>3771</v>
      </c>
      <c r="B127" s="424">
        <v>42831</v>
      </c>
      <c r="C127" s="405" t="s">
        <v>3772</v>
      </c>
      <c r="D127" s="405" t="s">
        <v>3773</v>
      </c>
      <c r="E127" s="406" t="s">
        <v>2971</v>
      </c>
      <c r="F127" s="406">
        <v>1</v>
      </c>
      <c r="G127" s="406" t="s">
        <v>2838</v>
      </c>
      <c r="H127" s="406" t="s">
        <v>516</v>
      </c>
      <c r="I127" s="406" t="s">
        <v>229</v>
      </c>
      <c r="J127" s="424">
        <v>42885</v>
      </c>
      <c r="K127" s="400"/>
      <c r="L127" s="400"/>
      <c r="M127" s="406" t="s">
        <v>2853</v>
      </c>
      <c r="N127" s="406" t="s">
        <v>2088</v>
      </c>
      <c r="O127" s="424">
        <v>42832</v>
      </c>
      <c r="P127" s="406" t="s">
        <v>4224</v>
      </c>
      <c r="Q127" s="406" t="s">
        <v>2829</v>
      </c>
      <c r="R127" s="412"/>
      <c r="S127" s="419">
        <f t="shared" si="2"/>
        <v>1</v>
      </c>
    </row>
    <row r="128" spans="1:19" ht="38.25" x14ac:dyDescent="0.2">
      <c r="A128" s="408" t="s">
        <v>3774</v>
      </c>
      <c r="B128" s="422">
        <v>42837</v>
      </c>
      <c r="C128" s="403" t="s">
        <v>3775</v>
      </c>
      <c r="D128" s="403" t="s">
        <v>3776</v>
      </c>
      <c r="E128" s="404" t="s">
        <v>3777</v>
      </c>
      <c r="F128" s="404">
        <v>1</v>
      </c>
      <c r="G128" s="404" t="s">
        <v>2828</v>
      </c>
      <c r="H128" s="404" t="s">
        <v>2058</v>
      </c>
      <c r="I128" s="404" t="s">
        <v>3211</v>
      </c>
      <c r="J128" s="422">
        <v>42849</v>
      </c>
      <c r="K128" s="437"/>
      <c r="L128" s="437"/>
      <c r="M128" s="404" t="s">
        <v>2853</v>
      </c>
      <c r="N128" s="404" t="s">
        <v>2088</v>
      </c>
      <c r="O128" s="422">
        <v>42842</v>
      </c>
      <c r="P128" s="406" t="s">
        <v>4224</v>
      </c>
      <c r="Q128" s="404" t="s">
        <v>2829</v>
      </c>
      <c r="R128" s="423"/>
      <c r="S128" s="420">
        <f t="shared" si="2"/>
        <v>5</v>
      </c>
    </row>
    <row r="129" spans="1:19" ht="38.25" x14ac:dyDescent="0.2">
      <c r="A129" s="407" t="s">
        <v>3779</v>
      </c>
      <c r="B129" s="424">
        <v>42842</v>
      </c>
      <c r="C129" s="405" t="s">
        <v>3780</v>
      </c>
      <c r="D129" s="405" t="s">
        <v>5926</v>
      </c>
      <c r="E129" s="406" t="s">
        <v>2971</v>
      </c>
      <c r="F129" s="406">
        <v>1</v>
      </c>
      <c r="G129" s="406" t="s">
        <v>2836</v>
      </c>
      <c r="H129" s="406" t="s">
        <v>441</v>
      </c>
      <c r="I129" s="406" t="s">
        <v>229</v>
      </c>
      <c r="J129" s="424">
        <v>42853</v>
      </c>
      <c r="K129" s="400"/>
      <c r="L129" s="400"/>
      <c r="M129" s="406" t="s">
        <v>2853</v>
      </c>
      <c r="N129" s="406" t="s">
        <v>2088</v>
      </c>
      <c r="O129" s="424">
        <v>42844</v>
      </c>
      <c r="P129" s="406" t="s">
        <v>4224</v>
      </c>
      <c r="Q129" s="406" t="s">
        <v>2829</v>
      </c>
      <c r="R129" s="412"/>
      <c r="S129" s="419">
        <f t="shared" si="2"/>
        <v>2</v>
      </c>
    </row>
    <row r="130" spans="1:19" ht="38.25" x14ac:dyDescent="0.2">
      <c r="A130" s="408" t="s">
        <v>3781</v>
      </c>
      <c r="B130" s="422">
        <v>42843</v>
      </c>
      <c r="C130" s="403" t="s">
        <v>3782</v>
      </c>
      <c r="D130" s="403" t="s">
        <v>3783</v>
      </c>
      <c r="E130" s="404" t="s">
        <v>3777</v>
      </c>
      <c r="F130" s="404">
        <v>1</v>
      </c>
      <c r="G130" s="404" t="s">
        <v>2828</v>
      </c>
      <c r="H130" s="404" t="s">
        <v>2058</v>
      </c>
      <c r="I130" s="404" t="s">
        <v>3211</v>
      </c>
      <c r="J130" s="422">
        <v>42845</v>
      </c>
      <c r="K130" s="437"/>
      <c r="L130" s="437"/>
      <c r="M130" s="404" t="s">
        <v>2853</v>
      </c>
      <c r="N130" s="404" t="s">
        <v>2088</v>
      </c>
      <c r="O130" s="422">
        <v>42843</v>
      </c>
      <c r="P130" s="406" t="s">
        <v>4224</v>
      </c>
      <c r="Q130" s="404" t="s">
        <v>2829</v>
      </c>
      <c r="R130" s="423"/>
      <c r="S130" s="420">
        <f t="shared" si="2"/>
        <v>0</v>
      </c>
    </row>
    <row r="131" spans="1:19" ht="38.25" x14ac:dyDescent="0.2">
      <c r="A131" s="407" t="s">
        <v>3784</v>
      </c>
      <c r="B131" s="424">
        <v>42845</v>
      </c>
      <c r="C131" s="405" t="s">
        <v>3785</v>
      </c>
      <c r="D131" s="405" t="s">
        <v>3786</v>
      </c>
      <c r="E131" s="406" t="s">
        <v>3586</v>
      </c>
      <c r="F131" s="406">
        <v>1</v>
      </c>
      <c r="G131" s="406" t="s">
        <v>2828</v>
      </c>
      <c r="H131" s="406" t="s">
        <v>3167</v>
      </c>
      <c r="I131" s="406" t="s">
        <v>3211</v>
      </c>
      <c r="J131" s="424">
        <v>42875</v>
      </c>
      <c r="K131" s="400"/>
      <c r="L131" s="400"/>
      <c r="M131" s="406" t="s">
        <v>2853</v>
      </c>
      <c r="N131" s="406" t="s">
        <v>2088</v>
      </c>
      <c r="O131" s="424">
        <v>42886</v>
      </c>
      <c r="P131" s="406" t="s">
        <v>2912</v>
      </c>
      <c r="Q131" s="406" t="s">
        <v>2829</v>
      </c>
      <c r="R131" s="412"/>
      <c r="S131" s="419">
        <f t="shared" si="2"/>
        <v>41</v>
      </c>
    </row>
    <row r="132" spans="1:19" ht="76.5" x14ac:dyDescent="0.2">
      <c r="A132" s="408" t="s">
        <v>3787</v>
      </c>
      <c r="B132" s="422">
        <v>42849</v>
      </c>
      <c r="C132" s="403" t="s">
        <v>3788</v>
      </c>
      <c r="D132" s="403" t="s">
        <v>3789</v>
      </c>
      <c r="E132" s="404" t="s">
        <v>3323</v>
      </c>
      <c r="F132" s="404">
        <v>2</v>
      </c>
      <c r="G132" s="404" t="s">
        <v>2828</v>
      </c>
      <c r="H132" s="404" t="s">
        <v>3167</v>
      </c>
      <c r="I132" s="404" t="s">
        <v>3211</v>
      </c>
      <c r="J132" s="422">
        <v>42879</v>
      </c>
      <c r="K132" s="437"/>
      <c r="L132" s="437"/>
      <c r="M132" s="404" t="s">
        <v>2853</v>
      </c>
      <c r="N132" s="404" t="s">
        <v>2088</v>
      </c>
      <c r="O132" s="422">
        <v>42858</v>
      </c>
      <c r="P132" s="406" t="s">
        <v>4224</v>
      </c>
      <c r="Q132" s="404" t="s">
        <v>2829</v>
      </c>
      <c r="R132" s="423"/>
      <c r="S132" s="420">
        <f t="shared" si="2"/>
        <v>9</v>
      </c>
    </row>
    <row r="133" spans="1:19" ht="38.25" x14ac:dyDescent="0.2">
      <c r="A133" s="407" t="s">
        <v>3790</v>
      </c>
      <c r="B133" s="424">
        <v>42850</v>
      </c>
      <c r="C133" s="405" t="s">
        <v>3791</v>
      </c>
      <c r="D133" s="405" t="s">
        <v>3225</v>
      </c>
      <c r="E133" s="406" t="s">
        <v>2971</v>
      </c>
      <c r="F133" s="406">
        <v>1</v>
      </c>
      <c r="G133" s="406" t="s">
        <v>2841</v>
      </c>
      <c r="H133" s="406" t="s">
        <v>685</v>
      </c>
      <c r="I133" s="406" t="s">
        <v>229</v>
      </c>
      <c r="J133" s="424">
        <v>42886</v>
      </c>
      <c r="K133" s="400"/>
      <c r="L133" s="400"/>
      <c r="M133" s="406" t="s">
        <v>2853</v>
      </c>
      <c r="N133" s="406" t="s">
        <v>2088</v>
      </c>
      <c r="O133" s="424">
        <v>42889</v>
      </c>
      <c r="P133" s="406" t="s">
        <v>4224</v>
      </c>
      <c r="Q133" s="406" t="s">
        <v>2832</v>
      </c>
      <c r="R133" s="412"/>
      <c r="S133" s="419">
        <f t="shared" si="2"/>
        <v>39</v>
      </c>
    </row>
    <row r="134" spans="1:19" ht="38.25" x14ac:dyDescent="0.2">
      <c r="A134" s="408" t="s">
        <v>3792</v>
      </c>
      <c r="B134" s="422">
        <v>42850</v>
      </c>
      <c r="C134" s="403" t="s">
        <v>3793</v>
      </c>
      <c r="D134" s="403" t="s">
        <v>3225</v>
      </c>
      <c r="E134" s="404" t="s">
        <v>2971</v>
      </c>
      <c r="F134" s="404">
        <v>1</v>
      </c>
      <c r="G134" s="404" t="s">
        <v>2841</v>
      </c>
      <c r="H134" s="404" t="s">
        <v>685</v>
      </c>
      <c r="I134" s="404" t="s">
        <v>229</v>
      </c>
      <c r="J134" s="422">
        <v>42886</v>
      </c>
      <c r="K134" s="437"/>
      <c r="L134" s="437"/>
      <c r="M134" s="404" t="s">
        <v>2853</v>
      </c>
      <c r="N134" s="404" t="s">
        <v>2088</v>
      </c>
      <c r="O134" s="422">
        <v>42889</v>
      </c>
      <c r="P134" s="406" t="s">
        <v>4224</v>
      </c>
      <c r="Q134" s="404" t="s">
        <v>2832</v>
      </c>
      <c r="R134" s="423"/>
      <c r="S134" s="420">
        <f t="shared" si="2"/>
        <v>39</v>
      </c>
    </row>
    <row r="135" spans="1:19" ht="38.25" x14ac:dyDescent="0.2">
      <c r="A135" s="407" t="s">
        <v>3794</v>
      </c>
      <c r="B135" s="424">
        <v>42852</v>
      </c>
      <c r="C135" s="405" t="s">
        <v>3796</v>
      </c>
      <c r="D135" s="405" t="s">
        <v>3225</v>
      </c>
      <c r="E135" s="406" t="s">
        <v>2971</v>
      </c>
      <c r="F135" s="406">
        <v>1</v>
      </c>
      <c r="G135" s="406" t="s">
        <v>2841</v>
      </c>
      <c r="H135" s="406" t="s">
        <v>3144</v>
      </c>
      <c r="I135" s="406" t="s">
        <v>229</v>
      </c>
      <c r="J135" s="424">
        <v>42886</v>
      </c>
      <c r="K135" s="400"/>
      <c r="L135" s="400"/>
      <c r="M135" s="406" t="s">
        <v>2853</v>
      </c>
      <c r="N135" s="406" t="s">
        <v>2088</v>
      </c>
      <c r="O135" s="424">
        <v>42867</v>
      </c>
      <c r="P135" s="406" t="s">
        <v>4224</v>
      </c>
      <c r="Q135" s="406" t="s">
        <v>2829</v>
      </c>
      <c r="R135" s="412"/>
      <c r="S135" s="419">
        <f t="shared" si="2"/>
        <v>15</v>
      </c>
    </row>
    <row r="136" spans="1:19" ht="38.25" x14ac:dyDescent="0.2">
      <c r="A136" s="408" t="s">
        <v>3795</v>
      </c>
      <c r="B136" s="422">
        <v>42852</v>
      </c>
      <c r="C136" s="403" t="s">
        <v>3797</v>
      </c>
      <c r="D136" s="403" t="s">
        <v>3225</v>
      </c>
      <c r="E136" s="404" t="s">
        <v>2971</v>
      </c>
      <c r="F136" s="404">
        <v>1</v>
      </c>
      <c r="G136" s="404" t="s">
        <v>2841</v>
      </c>
      <c r="H136" s="404" t="s">
        <v>685</v>
      </c>
      <c r="I136" s="404" t="s">
        <v>229</v>
      </c>
      <c r="J136" s="422">
        <v>42886</v>
      </c>
      <c r="K136" s="437"/>
      <c r="L136" s="437"/>
      <c r="M136" s="404" t="s">
        <v>2853</v>
      </c>
      <c r="N136" s="404" t="s">
        <v>2088</v>
      </c>
      <c r="O136" s="422">
        <v>42889</v>
      </c>
      <c r="P136" s="406" t="s">
        <v>4224</v>
      </c>
      <c r="Q136" s="404" t="s">
        <v>2832</v>
      </c>
      <c r="R136" s="423"/>
      <c r="S136" s="420">
        <f t="shared" si="2"/>
        <v>37</v>
      </c>
    </row>
    <row r="137" spans="1:19" ht="38.25" x14ac:dyDescent="0.2">
      <c r="A137" s="407" t="s">
        <v>3800</v>
      </c>
      <c r="B137" s="424">
        <v>42856</v>
      </c>
      <c r="C137" s="405" t="s">
        <v>3798</v>
      </c>
      <c r="D137" s="405" t="s">
        <v>3799</v>
      </c>
      <c r="E137" s="406" t="s">
        <v>3777</v>
      </c>
      <c r="F137" s="406">
        <v>1</v>
      </c>
      <c r="G137" s="406" t="s">
        <v>2828</v>
      </c>
      <c r="H137" s="406" t="s">
        <v>2058</v>
      </c>
      <c r="I137" s="406" t="s">
        <v>3211</v>
      </c>
      <c r="J137" s="424">
        <v>42888</v>
      </c>
      <c r="K137" s="400"/>
      <c r="L137" s="400"/>
      <c r="M137" s="406" t="s">
        <v>2853</v>
      </c>
      <c r="N137" s="406" t="s">
        <v>2088</v>
      </c>
      <c r="O137" s="424">
        <v>42857</v>
      </c>
      <c r="P137" s="406" t="s">
        <v>4224</v>
      </c>
      <c r="Q137" s="406" t="s">
        <v>2829</v>
      </c>
      <c r="R137" s="412"/>
      <c r="S137" s="419">
        <f t="shared" si="2"/>
        <v>1</v>
      </c>
    </row>
    <row r="138" spans="1:19" ht="38.25" x14ac:dyDescent="0.2">
      <c r="A138" s="408" t="s">
        <v>3801</v>
      </c>
      <c r="B138" s="422">
        <v>42858</v>
      </c>
      <c r="C138" s="403" t="s">
        <v>3803</v>
      </c>
      <c r="D138" s="403" t="s">
        <v>3225</v>
      </c>
      <c r="E138" s="404" t="s">
        <v>2971</v>
      </c>
      <c r="F138" s="404">
        <v>1</v>
      </c>
      <c r="G138" s="404" t="s">
        <v>2841</v>
      </c>
      <c r="H138" s="404" t="s">
        <v>229</v>
      </c>
      <c r="I138" s="404" t="s">
        <v>229</v>
      </c>
      <c r="J138" s="422">
        <v>42916</v>
      </c>
      <c r="K138" s="437"/>
      <c r="L138" s="437"/>
      <c r="M138" s="404" t="s">
        <v>2853</v>
      </c>
      <c r="N138" s="404" t="s">
        <v>2088</v>
      </c>
      <c r="O138" s="422">
        <v>42889</v>
      </c>
      <c r="P138" s="406" t="s">
        <v>4224</v>
      </c>
      <c r="Q138" s="404" t="s">
        <v>2829</v>
      </c>
      <c r="R138" s="423"/>
      <c r="S138" s="420">
        <f t="shared" si="2"/>
        <v>31</v>
      </c>
    </row>
    <row r="139" spans="1:19" ht="38.25" x14ac:dyDescent="0.2">
      <c r="A139" s="407" t="s">
        <v>3802</v>
      </c>
      <c r="B139" s="424">
        <v>42858</v>
      </c>
      <c r="C139" s="405" t="s">
        <v>3804</v>
      </c>
      <c r="D139" s="405" t="s">
        <v>3225</v>
      </c>
      <c r="E139" s="406" t="s">
        <v>2971</v>
      </c>
      <c r="F139" s="406">
        <v>1</v>
      </c>
      <c r="G139" s="406" t="s">
        <v>2841</v>
      </c>
      <c r="H139" s="406" t="s">
        <v>229</v>
      </c>
      <c r="I139" s="406" t="s">
        <v>229</v>
      </c>
      <c r="J139" s="424">
        <v>42916</v>
      </c>
      <c r="K139" s="400"/>
      <c r="L139" s="400"/>
      <c r="M139" s="406" t="s">
        <v>2853</v>
      </c>
      <c r="N139" s="406" t="s">
        <v>2088</v>
      </c>
      <c r="O139" s="424">
        <v>42889</v>
      </c>
      <c r="P139" s="406" t="s">
        <v>4224</v>
      </c>
      <c r="Q139" s="406" t="s">
        <v>2829</v>
      </c>
      <c r="R139" s="412"/>
      <c r="S139" s="419">
        <f t="shared" si="2"/>
        <v>31</v>
      </c>
    </row>
    <row r="140" spans="1:19" ht="76.5" x14ac:dyDescent="0.2">
      <c r="A140" s="408" t="s">
        <v>3805</v>
      </c>
      <c r="B140" s="422">
        <v>42859</v>
      </c>
      <c r="C140" s="403" t="s">
        <v>3806</v>
      </c>
      <c r="D140" s="403" t="s">
        <v>3807</v>
      </c>
      <c r="E140" s="404" t="s">
        <v>2971</v>
      </c>
      <c r="F140" s="404">
        <v>1</v>
      </c>
      <c r="G140" s="404" t="s">
        <v>2841</v>
      </c>
      <c r="H140" s="404" t="s">
        <v>229</v>
      </c>
      <c r="I140" s="404" t="s">
        <v>229</v>
      </c>
      <c r="J140" s="422">
        <v>42860</v>
      </c>
      <c r="K140" s="437"/>
      <c r="L140" s="437"/>
      <c r="M140" s="404" t="s">
        <v>2853</v>
      </c>
      <c r="N140" s="404" t="s">
        <v>2088</v>
      </c>
      <c r="O140" s="422">
        <v>42859</v>
      </c>
      <c r="P140" s="406" t="s">
        <v>4224</v>
      </c>
      <c r="Q140" s="404" t="s">
        <v>2829</v>
      </c>
      <c r="R140" s="423"/>
      <c r="S140" s="420">
        <f t="shared" si="2"/>
        <v>0</v>
      </c>
    </row>
    <row r="141" spans="1:19" ht="38.25" x14ac:dyDescent="0.2">
      <c r="A141" s="407" t="s">
        <v>3808</v>
      </c>
      <c r="B141" s="424">
        <v>42870</v>
      </c>
      <c r="C141" s="405" t="s">
        <v>3809</v>
      </c>
      <c r="D141" s="405" t="s">
        <v>3810</v>
      </c>
      <c r="E141" s="406" t="s">
        <v>3667</v>
      </c>
      <c r="F141" s="406">
        <v>1</v>
      </c>
      <c r="G141" s="406" t="s">
        <v>2828</v>
      </c>
      <c r="H141" s="406" t="s">
        <v>3729</v>
      </c>
      <c r="I141" s="406" t="s">
        <v>3211</v>
      </c>
      <c r="J141" s="424">
        <v>42881</v>
      </c>
      <c r="K141" s="400"/>
      <c r="L141" s="400"/>
      <c r="M141" s="406" t="s">
        <v>2853</v>
      </c>
      <c r="N141" s="406" t="s">
        <v>2088</v>
      </c>
      <c r="O141" s="424">
        <v>42874</v>
      </c>
      <c r="P141" s="406" t="s">
        <v>4224</v>
      </c>
      <c r="Q141" s="406" t="s">
        <v>2829</v>
      </c>
      <c r="R141" s="412"/>
      <c r="S141" s="419">
        <f t="shared" si="2"/>
        <v>4</v>
      </c>
    </row>
    <row r="142" spans="1:19" ht="63.75" x14ac:dyDescent="0.2">
      <c r="A142" s="408" t="s">
        <v>3811</v>
      </c>
      <c r="B142" s="422">
        <v>42871</v>
      </c>
      <c r="C142" s="403" t="s">
        <v>3813</v>
      </c>
      <c r="D142" s="403" t="s">
        <v>3814</v>
      </c>
      <c r="E142" s="404" t="s">
        <v>3812</v>
      </c>
      <c r="F142" s="404">
        <v>1</v>
      </c>
      <c r="G142" s="404" t="s">
        <v>2838</v>
      </c>
      <c r="H142" s="404" t="s">
        <v>3423</v>
      </c>
      <c r="I142" s="404" t="s">
        <v>3211</v>
      </c>
      <c r="J142" s="422">
        <v>42902</v>
      </c>
      <c r="K142" s="437"/>
      <c r="L142" s="437"/>
      <c r="M142" s="404" t="s">
        <v>2853</v>
      </c>
      <c r="N142" s="404" t="s">
        <v>2088</v>
      </c>
      <c r="O142" s="422">
        <v>42872</v>
      </c>
      <c r="P142" s="406" t="s">
        <v>4224</v>
      </c>
      <c r="Q142" s="404" t="s">
        <v>2829</v>
      </c>
      <c r="R142" s="423"/>
      <c r="S142" s="420">
        <f t="shared" si="2"/>
        <v>1</v>
      </c>
    </row>
    <row r="143" spans="1:19" ht="89.25" x14ac:dyDescent="0.2">
      <c r="A143" s="407" t="s">
        <v>3815</v>
      </c>
      <c r="B143" s="424">
        <v>42877</v>
      </c>
      <c r="C143" s="405" t="s">
        <v>3816</v>
      </c>
      <c r="D143" s="405" t="s">
        <v>3818</v>
      </c>
      <c r="E143" s="406" t="s">
        <v>3817</v>
      </c>
      <c r="F143" s="406">
        <v>1</v>
      </c>
      <c r="G143" s="406" t="s">
        <v>2836</v>
      </c>
      <c r="H143" s="406" t="s">
        <v>441</v>
      </c>
      <c r="I143" s="406" t="s">
        <v>229</v>
      </c>
      <c r="J143" s="424">
        <v>42879</v>
      </c>
      <c r="K143" s="400"/>
      <c r="L143" s="400"/>
      <c r="M143" s="406" t="s">
        <v>2853</v>
      </c>
      <c r="N143" s="406" t="s">
        <v>2088</v>
      </c>
      <c r="O143" s="424">
        <v>42877</v>
      </c>
      <c r="P143" s="406" t="s">
        <v>4224</v>
      </c>
      <c r="Q143" s="406" t="s">
        <v>2829</v>
      </c>
      <c r="R143" s="412"/>
      <c r="S143" s="419">
        <f t="shared" si="2"/>
        <v>0</v>
      </c>
    </row>
    <row r="144" spans="1:19" ht="38.25" x14ac:dyDescent="0.2">
      <c r="A144" s="408" t="s">
        <v>3819</v>
      </c>
      <c r="B144" s="422">
        <v>42878</v>
      </c>
      <c r="C144" s="403" t="s">
        <v>3820</v>
      </c>
      <c r="D144" s="403" t="s">
        <v>3821</v>
      </c>
      <c r="E144" s="404" t="s">
        <v>3667</v>
      </c>
      <c r="F144" s="404">
        <v>1</v>
      </c>
      <c r="G144" s="404" t="s">
        <v>2828</v>
      </c>
      <c r="H144" s="404" t="s">
        <v>3729</v>
      </c>
      <c r="I144" s="404" t="s">
        <v>3211</v>
      </c>
      <c r="J144" s="422">
        <v>42880</v>
      </c>
      <c r="K144" s="437"/>
      <c r="L144" s="437"/>
      <c r="M144" s="404" t="s">
        <v>2853</v>
      </c>
      <c r="N144" s="404" t="s">
        <v>2088</v>
      </c>
      <c r="O144" s="422">
        <v>42878</v>
      </c>
      <c r="P144" s="406" t="s">
        <v>4224</v>
      </c>
      <c r="Q144" s="404" t="s">
        <v>2829</v>
      </c>
      <c r="R144" s="423"/>
      <c r="S144" s="420">
        <f t="shared" si="2"/>
        <v>0</v>
      </c>
    </row>
    <row r="145" spans="1:19" ht="25.5" x14ac:dyDescent="0.2">
      <c r="A145" s="407" t="s">
        <v>3822</v>
      </c>
      <c r="B145" s="424">
        <v>42878</v>
      </c>
      <c r="C145" s="405" t="s">
        <v>3823</v>
      </c>
      <c r="D145" s="405" t="s">
        <v>3824</v>
      </c>
      <c r="E145" s="406" t="s">
        <v>3825</v>
      </c>
      <c r="F145" s="406">
        <v>1</v>
      </c>
      <c r="G145" s="406" t="s">
        <v>2828</v>
      </c>
      <c r="H145" s="406" t="s">
        <v>2058</v>
      </c>
      <c r="I145" s="406" t="s">
        <v>229</v>
      </c>
      <c r="J145" s="424">
        <v>42895</v>
      </c>
      <c r="K145" s="400"/>
      <c r="L145" s="400"/>
      <c r="M145" s="406" t="s">
        <v>2853</v>
      </c>
      <c r="N145" s="406" t="s">
        <v>2088</v>
      </c>
      <c r="O145" s="424">
        <v>42879</v>
      </c>
      <c r="P145" s="406" t="s">
        <v>4224</v>
      </c>
      <c r="Q145" s="406" t="s">
        <v>2829</v>
      </c>
      <c r="R145" s="412"/>
      <c r="S145" s="419">
        <f t="shared" si="2"/>
        <v>1</v>
      </c>
    </row>
    <row r="146" spans="1:19" ht="51" x14ac:dyDescent="0.2">
      <c r="A146" s="408" t="s">
        <v>3826</v>
      </c>
      <c r="B146" s="422">
        <v>42878</v>
      </c>
      <c r="C146" s="403" t="s">
        <v>3827</v>
      </c>
      <c r="D146" s="403" t="s">
        <v>3828</v>
      </c>
      <c r="E146" s="404" t="s">
        <v>2971</v>
      </c>
      <c r="F146" s="404">
        <v>1</v>
      </c>
      <c r="G146" s="404" t="s">
        <v>2838</v>
      </c>
      <c r="H146" s="404" t="s">
        <v>516</v>
      </c>
      <c r="I146" s="404" t="s">
        <v>229</v>
      </c>
      <c r="J146" s="422">
        <v>42916</v>
      </c>
      <c r="K146" s="437"/>
      <c r="L146" s="437"/>
      <c r="M146" s="404" t="s">
        <v>2853</v>
      </c>
      <c r="N146" s="404" t="s">
        <v>2088</v>
      </c>
      <c r="O146" s="422">
        <v>42879</v>
      </c>
      <c r="P146" s="406" t="s">
        <v>4224</v>
      </c>
      <c r="Q146" s="404" t="s">
        <v>2829</v>
      </c>
      <c r="R146" s="423"/>
      <c r="S146" s="420">
        <f t="shared" si="2"/>
        <v>1</v>
      </c>
    </row>
    <row r="147" spans="1:19" ht="51" x14ac:dyDescent="0.2">
      <c r="A147" s="407" t="s">
        <v>3829</v>
      </c>
      <c r="B147" s="424">
        <v>42880</v>
      </c>
      <c r="C147" s="405" t="s">
        <v>3903</v>
      </c>
      <c r="D147" s="405" t="s">
        <v>3830</v>
      </c>
      <c r="E147" s="406" t="s">
        <v>3586</v>
      </c>
      <c r="F147" s="406">
        <v>1</v>
      </c>
      <c r="G147" s="406" t="s">
        <v>2828</v>
      </c>
      <c r="H147" s="406" t="s">
        <v>3167</v>
      </c>
      <c r="I147" s="406" t="s">
        <v>3211</v>
      </c>
      <c r="J147" s="424">
        <v>43008</v>
      </c>
      <c r="K147" s="400"/>
      <c r="L147" s="400"/>
      <c r="M147" s="406" t="s">
        <v>2853</v>
      </c>
      <c r="N147" s="406" t="s">
        <v>2088</v>
      </c>
      <c r="O147" s="424">
        <v>42975</v>
      </c>
      <c r="P147" s="406" t="s">
        <v>4224</v>
      </c>
      <c r="Q147" s="406" t="s">
        <v>2835</v>
      </c>
      <c r="R147" s="412"/>
      <c r="S147" s="419">
        <f t="shared" si="2"/>
        <v>95</v>
      </c>
    </row>
    <row r="148" spans="1:19" ht="38.25" x14ac:dyDescent="0.2">
      <c r="A148" s="408" t="s">
        <v>3831</v>
      </c>
      <c r="B148" s="422">
        <v>42885</v>
      </c>
      <c r="C148" s="403" t="s">
        <v>3985</v>
      </c>
      <c r="D148" s="403" t="s">
        <v>3832</v>
      </c>
      <c r="E148" s="404" t="s">
        <v>3335</v>
      </c>
      <c r="F148" s="404">
        <v>1</v>
      </c>
      <c r="G148" s="404" t="s">
        <v>2828</v>
      </c>
      <c r="H148" s="404" t="s">
        <v>3167</v>
      </c>
      <c r="I148" s="404" t="s">
        <v>3211</v>
      </c>
      <c r="J148" s="422">
        <v>43028</v>
      </c>
      <c r="K148" s="437"/>
      <c r="L148" s="437"/>
      <c r="M148" s="404" t="s">
        <v>2853</v>
      </c>
      <c r="N148" s="404" t="s">
        <v>2088</v>
      </c>
      <c r="O148" s="422">
        <v>43005</v>
      </c>
      <c r="P148" s="406" t="s">
        <v>4224</v>
      </c>
      <c r="Q148" s="404" t="s">
        <v>2835</v>
      </c>
      <c r="R148" s="423"/>
      <c r="S148" s="420">
        <f t="shared" si="2"/>
        <v>120</v>
      </c>
    </row>
    <row r="149" spans="1:19" ht="38.25" x14ac:dyDescent="0.2">
      <c r="A149" s="407" t="s">
        <v>3833</v>
      </c>
      <c r="B149" s="424">
        <v>42886</v>
      </c>
      <c r="C149" s="405" t="s">
        <v>3837</v>
      </c>
      <c r="D149" s="405" t="s">
        <v>3834</v>
      </c>
      <c r="E149" s="406" t="s">
        <v>2869</v>
      </c>
      <c r="F149" s="406">
        <v>2</v>
      </c>
      <c r="G149" s="406" t="s">
        <v>2828</v>
      </c>
      <c r="H149" s="406" t="s">
        <v>3227</v>
      </c>
      <c r="I149" s="406" t="s">
        <v>3211</v>
      </c>
      <c r="J149" s="424">
        <v>42916</v>
      </c>
      <c r="K149" s="400"/>
      <c r="L149" s="400"/>
      <c r="M149" s="406" t="s">
        <v>2853</v>
      </c>
      <c r="N149" s="406" t="s">
        <v>2088</v>
      </c>
      <c r="O149" s="424">
        <v>42888</v>
      </c>
      <c r="P149" s="406" t="s">
        <v>4224</v>
      </c>
      <c r="Q149" s="406" t="s">
        <v>2829</v>
      </c>
      <c r="R149" s="412"/>
      <c r="S149" s="419">
        <f t="shared" si="2"/>
        <v>2</v>
      </c>
    </row>
    <row r="150" spans="1:19" ht="38.25" x14ac:dyDescent="0.2">
      <c r="A150" s="408" t="s">
        <v>3835</v>
      </c>
      <c r="B150" s="422">
        <v>42887</v>
      </c>
      <c r="C150" s="403" t="s">
        <v>3836</v>
      </c>
      <c r="D150" s="403" t="s">
        <v>3838</v>
      </c>
      <c r="E150" s="404" t="s">
        <v>3839</v>
      </c>
      <c r="F150" s="404">
        <v>1</v>
      </c>
      <c r="G150" s="404" t="s">
        <v>2828</v>
      </c>
      <c r="H150" s="404" t="s">
        <v>615</v>
      </c>
      <c r="I150" s="404" t="s">
        <v>3211</v>
      </c>
      <c r="J150" s="422">
        <v>42901</v>
      </c>
      <c r="K150" s="437"/>
      <c r="L150" s="437"/>
      <c r="M150" s="404" t="s">
        <v>2853</v>
      </c>
      <c r="N150" s="404" t="s">
        <v>2088</v>
      </c>
      <c r="O150" s="422">
        <v>42893</v>
      </c>
      <c r="P150" s="406" t="s">
        <v>4224</v>
      </c>
      <c r="Q150" s="404" t="s">
        <v>2829</v>
      </c>
      <c r="R150" s="423"/>
      <c r="S150" s="420">
        <f t="shared" si="2"/>
        <v>6</v>
      </c>
    </row>
    <row r="151" spans="1:19" ht="38.25" x14ac:dyDescent="0.2">
      <c r="A151" s="407" t="s">
        <v>3840</v>
      </c>
      <c r="B151" s="424">
        <v>42900</v>
      </c>
      <c r="C151" s="405" t="s">
        <v>3841</v>
      </c>
      <c r="D151" s="405" t="s">
        <v>3843</v>
      </c>
      <c r="E151" s="406" t="s">
        <v>2971</v>
      </c>
      <c r="F151" s="406">
        <v>1</v>
      </c>
      <c r="G151" s="406" t="s">
        <v>2836</v>
      </c>
      <c r="H151" s="406" t="s">
        <v>3842</v>
      </c>
      <c r="I151" s="406" t="s">
        <v>229</v>
      </c>
      <c r="J151" s="424">
        <v>42902</v>
      </c>
      <c r="K151" s="400"/>
      <c r="L151" s="400"/>
      <c r="M151" s="406" t="s">
        <v>2853</v>
      </c>
      <c r="N151" s="406" t="s">
        <v>2088</v>
      </c>
      <c r="O151" s="424">
        <v>42906</v>
      </c>
      <c r="P151" s="406" t="s">
        <v>4224</v>
      </c>
      <c r="Q151" s="406" t="s">
        <v>2829</v>
      </c>
      <c r="R151" s="412"/>
      <c r="S151" s="419">
        <f t="shared" si="2"/>
        <v>6</v>
      </c>
    </row>
    <row r="152" spans="1:19" ht="51" x14ac:dyDescent="0.2">
      <c r="A152" s="408" t="s">
        <v>3844</v>
      </c>
      <c r="B152" s="422">
        <v>42905</v>
      </c>
      <c r="C152" s="403" t="s">
        <v>3846</v>
      </c>
      <c r="D152" s="403" t="s">
        <v>3845</v>
      </c>
      <c r="E152" s="404" t="s">
        <v>3825</v>
      </c>
      <c r="F152" s="404">
        <v>1</v>
      </c>
      <c r="G152" s="404" t="s">
        <v>2828</v>
      </c>
      <c r="H152" s="404" t="s">
        <v>2058</v>
      </c>
      <c r="I152" s="404" t="s">
        <v>3211</v>
      </c>
      <c r="J152" s="422">
        <v>42935</v>
      </c>
      <c r="K152" s="437"/>
      <c r="L152" s="437"/>
      <c r="M152" s="404" t="s">
        <v>2853</v>
      </c>
      <c r="N152" s="404" t="s">
        <v>2088</v>
      </c>
      <c r="O152" s="422">
        <v>42905</v>
      </c>
      <c r="P152" s="406" t="s">
        <v>4224</v>
      </c>
      <c r="Q152" s="404" t="s">
        <v>2829</v>
      </c>
      <c r="R152" s="423"/>
      <c r="S152" s="420">
        <f t="shared" si="2"/>
        <v>0</v>
      </c>
    </row>
    <row r="153" spans="1:19" ht="38.25" x14ac:dyDescent="0.2">
      <c r="A153" s="407" t="s">
        <v>3847</v>
      </c>
      <c r="B153" s="424">
        <v>42906</v>
      </c>
      <c r="C153" s="405" t="s">
        <v>3848</v>
      </c>
      <c r="D153" s="405" t="s">
        <v>3849</v>
      </c>
      <c r="E153" s="406" t="s">
        <v>2971</v>
      </c>
      <c r="F153" s="406">
        <v>1</v>
      </c>
      <c r="G153" s="406" t="s">
        <v>2836</v>
      </c>
      <c r="H153" s="406" t="s">
        <v>685</v>
      </c>
      <c r="I153" s="406" t="s">
        <v>229</v>
      </c>
      <c r="J153" s="424">
        <v>42947</v>
      </c>
      <c r="K153" s="400"/>
      <c r="L153" s="400"/>
      <c r="M153" s="406" t="s">
        <v>2853</v>
      </c>
      <c r="N153" s="406" t="s">
        <v>3022</v>
      </c>
      <c r="O153" s="424">
        <v>43096</v>
      </c>
      <c r="P153" s="406" t="s">
        <v>2912</v>
      </c>
      <c r="Q153" s="406" t="s">
        <v>2835</v>
      </c>
      <c r="R153" s="412"/>
      <c r="S153" s="419">
        <f t="shared" si="2"/>
        <v>190</v>
      </c>
    </row>
    <row r="154" spans="1:19" ht="51" x14ac:dyDescent="0.2">
      <c r="A154" s="408" t="s">
        <v>3850</v>
      </c>
      <c r="B154" s="422">
        <v>42907</v>
      </c>
      <c r="C154" s="403" t="s">
        <v>4210</v>
      </c>
      <c r="D154" s="403" t="s">
        <v>3838</v>
      </c>
      <c r="E154" s="404" t="s">
        <v>3084</v>
      </c>
      <c r="F154" s="404">
        <v>1</v>
      </c>
      <c r="G154" s="404" t="s">
        <v>2828</v>
      </c>
      <c r="H154" s="404" t="s">
        <v>3975</v>
      </c>
      <c r="I154" s="404" t="s">
        <v>3211</v>
      </c>
      <c r="J154" s="422" t="s">
        <v>2088</v>
      </c>
      <c r="K154" s="437"/>
      <c r="L154" s="437"/>
      <c r="M154" s="404" t="s">
        <v>1056</v>
      </c>
      <c r="N154" s="404" t="s">
        <v>3022</v>
      </c>
      <c r="O154" s="422" t="s">
        <v>2088</v>
      </c>
      <c r="P154" s="404" t="s">
        <v>2088</v>
      </c>
      <c r="Q154" s="404" t="s">
        <v>2839</v>
      </c>
      <c r="R154" s="423"/>
      <c r="S154" s="420" t="e">
        <f t="shared" si="2"/>
        <v>#VALUE!</v>
      </c>
    </row>
    <row r="155" spans="1:19" ht="38.25" x14ac:dyDescent="0.2">
      <c r="A155" s="407" t="s">
        <v>3853</v>
      </c>
      <c r="B155" s="424">
        <v>42909</v>
      </c>
      <c r="C155" s="405" t="s">
        <v>3854</v>
      </c>
      <c r="D155" s="405" t="s">
        <v>3855</v>
      </c>
      <c r="E155" s="406" t="s">
        <v>3323</v>
      </c>
      <c r="F155" s="406">
        <v>1</v>
      </c>
      <c r="G155" s="406" t="s">
        <v>2828</v>
      </c>
      <c r="H155" s="406" t="s">
        <v>3227</v>
      </c>
      <c r="I155" s="406" t="s">
        <v>3211</v>
      </c>
      <c r="J155" s="424">
        <v>42916</v>
      </c>
      <c r="K155" s="400"/>
      <c r="L155" s="400"/>
      <c r="M155" s="406" t="s">
        <v>2853</v>
      </c>
      <c r="N155" s="406" t="s">
        <v>2088</v>
      </c>
      <c r="O155" s="424">
        <v>42909</v>
      </c>
      <c r="P155" s="406" t="s">
        <v>4224</v>
      </c>
      <c r="Q155" s="406" t="s">
        <v>2829</v>
      </c>
      <c r="R155" s="412"/>
      <c r="S155" s="419">
        <f t="shared" si="2"/>
        <v>0</v>
      </c>
    </row>
    <row r="156" spans="1:19" ht="63.75" x14ac:dyDescent="0.2">
      <c r="A156" s="408" t="s">
        <v>3856</v>
      </c>
      <c r="B156" s="422">
        <v>42909</v>
      </c>
      <c r="C156" s="403" t="s">
        <v>3857</v>
      </c>
      <c r="D156" s="403" t="s">
        <v>3858</v>
      </c>
      <c r="E156" s="404" t="s">
        <v>2971</v>
      </c>
      <c r="F156" s="404">
        <v>1</v>
      </c>
      <c r="G156" s="404" t="s">
        <v>2836</v>
      </c>
      <c r="H156" s="404" t="s">
        <v>3859</v>
      </c>
      <c r="I156" s="404" t="s">
        <v>229</v>
      </c>
      <c r="J156" s="422">
        <v>42947</v>
      </c>
      <c r="K156" s="437"/>
      <c r="L156" s="437"/>
      <c r="M156" s="404" t="s">
        <v>2853</v>
      </c>
      <c r="N156" s="404" t="s">
        <v>3022</v>
      </c>
      <c r="O156" s="422">
        <v>43032</v>
      </c>
      <c r="P156" s="404" t="s">
        <v>3022</v>
      </c>
      <c r="Q156" s="404" t="s">
        <v>2835</v>
      </c>
      <c r="R156" s="423"/>
      <c r="S156" s="420">
        <f t="shared" si="2"/>
        <v>123</v>
      </c>
    </row>
    <row r="157" spans="1:19" ht="76.5" x14ac:dyDescent="0.2">
      <c r="A157" s="407" t="s">
        <v>3860</v>
      </c>
      <c r="B157" s="424">
        <v>42909</v>
      </c>
      <c r="C157" s="405" t="s">
        <v>3861</v>
      </c>
      <c r="D157" s="405" t="s">
        <v>3862</v>
      </c>
      <c r="E157" s="406" t="s">
        <v>2971</v>
      </c>
      <c r="F157" s="406">
        <v>1</v>
      </c>
      <c r="G157" s="406" t="s">
        <v>2838</v>
      </c>
      <c r="H157" s="406" t="s">
        <v>685</v>
      </c>
      <c r="I157" s="406" t="s">
        <v>229</v>
      </c>
      <c r="J157" s="424">
        <v>42916</v>
      </c>
      <c r="K157" s="438"/>
      <c r="L157" s="438"/>
      <c r="M157" s="406" t="s">
        <v>2853</v>
      </c>
      <c r="N157" s="406" t="s">
        <v>2088</v>
      </c>
      <c r="O157" s="424">
        <v>42909</v>
      </c>
      <c r="P157" s="406" t="s">
        <v>4224</v>
      </c>
      <c r="Q157" s="406" t="s">
        <v>2829</v>
      </c>
      <c r="R157" s="412"/>
      <c r="S157" s="419">
        <f t="shared" si="2"/>
        <v>0</v>
      </c>
    </row>
    <row r="158" spans="1:19" ht="38.25" x14ac:dyDescent="0.2">
      <c r="A158" s="408" t="s">
        <v>3863</v>
      </c>
      <c r="B158" s="422">
        <v>42913</v>
      </c>
      <c r="C158" s="423" t="s">
        <v>3865</v>
      </c>
      <c r="D158" s="403" t="s">
        <v>3864</v>
      </c>
      <c r="E158" s="404" t="s">
        <v>3825</v>
      </c>
      <c r="F158" s="404">
        <v>1</v>
      </c>
      <c r="G158" s="404" t="s">
        <v>2828</v>
      </c>
      <c r="H158" s="404" t="s">
        <v>3859</v>
      </c>
      <c r="I158" s="404" t="s">
        <v>229</v>
      </c>
      <c r="J158" s="422">
        <v>42914</v>
      </c>
      <c r="K158" s="437"/>
      <c r="L158" s="437"/>
      <c r="M158" s="404" t="s">
        <v>2853</v>
      </c>
      <c r="N158" s="404" t="s">
        <v>3022</v>
      </c>
      <c r="O158" s="422">
        <v>42914</v>
      </c>
      <c r="P158" s="404" t="s">
        <v>3061</v>
      </c>
      <c r="Q158" s="404" t="s">
        <v>2829</v>
      </c>
      <c r="R158" s="423"/>
      <c r="S158" s="420">
        <f t="shared" si="2"/>
        <v>1</v>
      </c>
    </row>
    <row r="159" spans="1:19" ht="25.5" x14ac:dyDescent="0.2">
      <c r="A159" s="407" t="s">
        <v>3866</v>
      </c>
      <c r="B159" s="424">
        <v>42923</v>
      </c>
      <c r="C159" s="412" t="s">
        <v>3867</v>
      </c>
      <c r="D159" s="405" t="s">
        <v>3868</v>
      </c>
      <c r="E159" s="406" t="s">
        <v>3825</v>
      </c>
      <c r="F159" s="406">
        <v>1</v>
      </c>
      <c r="G159" s="406" t="s">
        <v>2828</v>
      </c>
      <c r="H159" s="406" t="s">
        <v>2058</v>
      </c>
      <c r="I159" s="406" t="s">
        <v>3211</v>
      </c>
      <c r="J159" s="424">
        <v>42954</v>
      </c>
      <c r="K159" s="400"/>
      <c r="L159" s="400"/>
      <c r="M159" s="406" t="s">
        <v>2853</v>
      </c>
      <c r="N159" s="406" t="s">
        <v>2088</v>
      </c>
      <c r="O159" s="424">
        <v>42928</v>
      </c>
      <c r="P159" s="406" t="s">
        <v>4224</v>
      </c>
      <c r="Q159" s="406" t="s">
        <v>2829</v>
      </c>
      <c r="R159" s="412"/>
      <c r="S159" s="419">
        <f t="shared" si="2"/>
        <v>5</v>
      </c>
    </row>
    <row r="160" spans="1:19" x14ac:dyDescent="0.2">
      <c r="A160" s="408" t="s">
        <v>3869</v>
      </c>
      <c r="B160" s="422">
        <v>42923</v>
      </c>
      <c r="C160" s="423" t="s">
        <v>3870</v>
      </c>
      <c r="D160" s="403" t="s">
        <v>3225</v>
      </c>
      <c r="E160" s="404" t="s">
        <v>2971</v>
      </c>
      <c r="F160" s="404">
        <v>1</v>
      </c>
      <c r="G160" s="404" t="s">
        <v>2841</v>
      </c>
      <c r="H160" s="404" t="s">
        <v>516</v>
      </c>
      <c r="I160" s="404" t="s">
        <v>229</v>
      </c>
      <c r="J160" s="422">
        <v>43008</v>
      </c>
      <c r="K160" s="437"/>
      <c r="L160" s="437"/>
      <c r="M160" s="404" t="s">
        <v>2853</v>
      </c>
      <c r="N160" s="404" t="s">
        <v>2088</v>
      </c>
      <c r="O160" s="422">
        <v>42947</v>
      </c>
      <c r="P160" s="406" t="s">
        <v>4224</v>
      </c>
      <c r="Q160" s="404" t="s">
        <v>2829</v>
      </c>
      <c r="R160" s="423"/>
      <c r="S160" s="420">
        <f t="shared" si="2"/>
        <v>24</v>
      </c>
    </row>
    <row r="161" spans="1:19" x14ac:dyDescent="0.2">
      <c r="A161" s="407" t="s">
        <v>3871</v>
      </c>
      <c r="B161" s="424">
        <v>42926</v>
      </c>
      <c r="C161" s="412" t="s">
        <v>3872</v>
      </c>
      <c r="D161" s="405" t="s">
        <v>3873</v>
      </c>
      <c r="E161" s="406" t="s">
        <v>2971</v>
      </c>
      <c r="F161" s="406">
        <v>1</v>
      </c>
      <c r="G161" s="406" t="s">
        <v>2841</v>
      </c>
      <c r="H161" s="406" t="s">
        <v>229</v>
      </c>
      <c r="I161" s="406" t="s">
        <v>229</v>
      </c>
      <c r="J161" s="424">
        <v>42947</v>
      </c>
      <c r="K161" s="400"/>
      <c r="L161" s="400"/>
      <c r="M161" s="406" t="s">
        <v>2853</v>
      </c>
      <c r="N161" s="406" t="s">
        <v>2088</v>
      </c>
      <c r="O161" s="424">
        <v>42947</v>
      </c>
      <c r="P161" s="406" t="s">
        <v>4224</v>
      </c>
      <c r="Q161" s="406" t="s">
        <v>2829</v>
      </c>
      <c r="R161" s="412"/>
      <c r="S161" s="419">
        <f t="shared" si="2"/>
        <v>21</v>
      </c>
    </row>
    <row r="162" spans="1:19" x14ac:dyDescent="0.2">
      <c r="A162" s="408" t="s">
        <v>3874</v>
      </c>
      <c r="B162" s="422">
        <v>42926</v>
      </c>
      <c r="C162" s="423" t="s">
        <v>3875</v>
      </c>
      <c r="D162" s="403" t="s">
        <v>3873</v>
      </c>
      <c r="E162" s="404" t="s">
        <v>2971</v>
      </c>
      <c r="F162" s="404">
        <v>1</v>
      </c>
      <c r="G162" s="404" t="s">
        <v>2841</v>
      </c>
      <c r="H162" s="404" t="s">
        <v>441</v>
      </c>
      <c r="I162" s="404" t="s">
        <v>229</v>
      </c>
      <c r="J162" s="422">
        <v>42930</v>
      </c>
      <c r="K162" s="437"/>
      <c r="L162" s="437"/>
      <c r="M162" s="404" t="s">
        <v>2853</v>
      </c>
      <c r="N162" s="404" t="s">
        <v>2088</v>
      </c>
      <c r="O162" s="422">
        <v>42927</v>
      </c>
      <c r="P162" s="404" t="s">
        <v>3061</v>
      </c>
      <c r="Q162" s="404" t="s">
        <v>2829</v>
      </c>
      <c r="R162" s="423"/>
      <c r="S162" s="420">
        <f t="shared" si="2"/>
        <v>1</v>
      </c>
    </row>
    <row r="163" spans="1:19" ht="76.5" x14ac:dyDescent="0.2">
      <c r="A163" s="407" t="s">
        <v>3876</v>
      </c>
      <c r="B163" s="424">
        <v>42927</v>
      </c>
      <c r="C163" s="409" t="s">
        <v>3877</v>
      </c>
      <c r="D163" s="405" t="s">
        <v>3878</v>
      </c>
      <c r="E163" s="406" t="s">
        <v>3825</v>
      </c>
      <c r="F163" s="406">
        <v>2</v>
      </c>
      <c r="G163" s="406" t="s">
        <v>2828</v>
      </c>
      <c r="H163" s="406" t="s">
        <v>2058</v>
      </c>
      <c r="I163" s="406" t="s">
        <v>3211</v>
      </c>
      <c r="J163" s="424">
        <v>42958</v>
      </c>
      <c r="K163" s="400"/>
      <c r="L163" s="400"/>
      <c r="M163" s="406" t="s">
        <v>2853</v>
      </c>
      <c r="N163" s="406" t="s">
        <v>2088</v>
      </c>
      <c r="O163" s="424">
        <v>42929</v>
      </c>
      <c r="P163" s="406" t="s">
        <v>3061</v>
      </c>
      <c r="Q163" s="406" t="s">
        <v>2829</v>
      </c>
      <c r="R163" s="412"/>
      <c r="S163" s="419">
        <f t="shared" si="2"/>
        <v>2</v>
      </c>
    </row>
    <row r="164" spans="1:19" ht="38.25" x14ac:dyDescent="0.2">
      <c r="A164" s="408" t="s">
        <v>3879</v>
      </c>
      <c r="B164" s="422">
        <v>42927</v>
      </c>
      <c r="C164" s="410" t="s">
        <v>3880</v>
      </c>
      <c r="D164" s="403" t="s">
        <v>3881</v>
      </c>
      <c r="E164" s="404" t="s">
        <v>3617</v>
      </c>
      <c r="F164" s="404">
        <v>1</v>
      </c>
      <c r="G164" s="404" t="s">
        <v>2828</v>
      </c>
      <c r="H164" s="404" t="s">
        <v>3423</v>
      </c>
      <c r="I164" s="404" t="s">
        <v>3211</v>
      </c>
      <c r="J164" s="422">
        <v>42930</v>
      </c>
      <c r="K164" s="437"/>
      <c r="L164" s="437"/>
      <c r="M164" s="404" t="s">
        <v>2853</v>
      </c>
      <c r="N164" s="404" t="s">
        <v>2088</v>
      </c>
      <c r="O164" s="422">
        <v>42927</v>
      </c>
      <c r="P164" s="406" t="s">
        <v>4224</v>
      </c>
      <c r="Q164" s="404" t="s">
        <v>3677</v>
      </c>
      <c r="R164" s="423"/>
      <c r="S164" s="420">
        <f t="shared" si="2"/>
        <v>0</v>
      </c>
    </row>
    <row r="165" spans="1:19" ht="76.5" x14ac:dyDescent="0.2">
      <c r="A165" s="407" t="s">
        <v>3882</v>
      </c>
      <c r="B165" s="424">
        <v>42928</v>
      </c>
      <c r="C165" s="409" t="s">
        <v>3883</v>
      </c>
      <c r="D165" s="405" t="s">
        <v>3225</v>
      </c>
      <c r="E165" s="406" t="s">
        <v>2971</v>
      </c>
      <c r="F165" s="406">
        <v>1</v>
      </c>
      <c r="G165" s="406" t="s">
        <v>2841</v>
      </c>
      <c r="H165" s="406" t="s">
        <v>229</v>
      </c>
      <c r="I165" s="406" t="s">
        <v>229</v>
      </c>
      <c r="J165" s="424">
        <v>42978</v>
      </c>
      <c r="K165" s="400"/>
      <c r="L165" s="400"/>
      <c r="M165" s="406" t="s">
        <v>2853</v>
      </c>
      <c r="N165" s="406" t="s">
        <v>2088</v>
      </c>
      <c r="O165" s="424">
        <v>42947</v>
      </c>
      <c r="P165" s="406" t="s">
        <v>3061</v>
      </c>
      <c r="Q165" s="406" t="s">
        <v>2829</v>
      </c>
      <c r="R165" s="412"/>
      <c r="S165" s="419">
        <f t="shared" si="2"/>
        <v>19</v>
      </c>
    </row>
    <row r="166" spans="1:19" ht="63.75" x14ac:dyDescent="0.2">
      <c r="A166" s="408" t="s">
        <v>3884</v>
      </c>
      <c r="B166" s="422">
        <v>42933</v>
      </c>
      <c r="C166" s="410" t="s">
        <v>3885</v>
      </c>
      <c r="D166" s="403" t="s">
        <v>3873</v>
      </c>
      <c r="E166" s="404" t="s">
        <v>2971</v>
      </c>
      <c r="F166" s="404">
        <v>1</v>
      </c>
      <c r="G166" s="404" t="s">
        <v>2841</v>
      </c>
      <c r="H166" s="404" t="s">
        <v>3227</v>
      </c>
      <c r="I166" s="404" t="s">
        <v>3211</v>
      </c>
      <c r="J166" s="422">
        <v>43008</v>
      </c>
      <c r="K166" s="437"/>
      <c r="L166" s="437"/>
      <c r="M166" s="404" t="s">
        <v>2853</v>
      </c>
      <c r="N166" s="404" t="s">
        <v>3022</v>
      </c>
      <c r="O166" s="422">
        <v>43040</v>
      </c>
      <c r="P166" s="404" t="s">
        <v>3022</v>
      </c>
      <c r="Q166" s="404" t="s">
        <v>2835</v>
      </c>
      <c r="R166" s="423"/>
      <c r="S166" s="420">
        <f t="shared" ref="S166:S229" si="3">O166-B166</f>
        <v>107</v>
      </c>
    </row>
    <row r="167" spans="1:19" ht="38.25" x14ac:dyDescent="0.2">
      <c r="A167" s="407" t="s">
        <v>3886</v>
      </c>
      <c r="B167" s="424">
        <v>42933</v>
      </c>
      <c r="C167" s="409" t="s">
        <v>3887</v>
      </c>
      <c r="D167" s="405" t="s">
        <v>3888</v>
      </c>
      <c r="E167" s="406" t="s">
        <v>3825</v>
      </c>
      <c r="F167" s="406">
        <v>1</v>
      </c>
      <c r="G167" s="406" t="s">
        <v>2828</v>
      </c>
      <c r="H167" s="406" t="s">
        <v>3167</v>
      </c>
      <c r="I167" s="406" t="s">
        <v>3211</v>
      </c>
      <c r="J167" s="424">
        <v>42942</v>
      </c>
      <c r="K167" s="400"/>
      <c r="L167" s="400"/>
      <c r="M167" s="406" t="s">
        <v>2853</v>
      </c>
      <c r="N167" s="406" t="s">
        <v>2088</v>
      </c>
      <c r="O167" s="424">
        <v>42934</v>
      </c>
      <c r="P167" s="406" t="s">
        <v>3061</v>
      </c>
      <c r="Q167" s="406" t="s">
        <v>2829</v>
      </c>
      <c r="R167" s="412"/>
      <c r="S167" s="419">
        <f t="shared" si="3"/>
        <v>1</v>
      </c>
    </row>
    <row r="168" spans="1:19" ht="38.25" x14ac:dyDescent="0.2">
      <c r="A168" s="408" t="s">
        <v>3889</v>
      </c>
      <c r="B168" s="422">
        <v>42933</v>
      </c>
      <c r="C168" s="410" t="s">
        <v>3890</v>
      </c>
      <c r="D168" s="403" t="s">
        <v>3891</v>
      </c>
      <c r="E168" s="404" t="s">
        <v>2869</v>
      </c>
      <c r="F168" s="404">
        <v>2</v>
      </c>
      <c r="G168" s="404" t="s">
        <v>2828</v>
      </c>
      <c r="H168" s="404" t="s">
        <v>3227</v>
      </c>
      <c r="I168" s="404" t="s">
        <v>3211</v>
      </c>
      <c r="J168" s="422">
        <v>42978</v>
      </c>
      <c r="K168" s="437"/>
      <c r="L168" s="437"/>
      <c r="M168" s="404" t="s">
        <v>2853</v>
      </c>
      <c r="N168" s="404" t="s">
        <v>2088</v>
      </c>
      <c r="O168" s="422">
        <v>42933</v>
      </c>
      <c r="P168" s="404" t="s">
        <v>3061</v>
      </c>
      <c r="Q168" s="404" t="s">
        <v>2829</v>
      </c>
      <c r="R168" s="423"/>
      <c r="S168" s="420">
        <f t="shared" si="3"/>
        <v>0</v>
      </c>
    </row>
    <row r="169" spans="1:19" ht="38.25" x14ac:dyDescent="0.2">
      <c r="A169" s="407" t="s">
        <v>3892</v>
      </c>
      <c r="B169" s="424">
        <v>42934</v>
      </c>
      <c r="C169" s="409" t="s">
        <v>3893</v>
      </c>
      <c r="D169" s="405" t="s">
        <v>3894</v>
      </c>
      <c r="E169" s="406" t="s">
        <v>3617</v>
      </c>
      <c r="F169" s="406">
        <v>1</v>
      </c>
      <c r="G169" s="406" t="s">
        <v>2828</v>
      </c>
      <c r="H169" s="406" t="s">
        <v>3423</v>
      </c>
      <c r="I169" s="406" t="s">
        <v>3211</v>
      </c>
      <c r="J169" s="424">
        <v>43325</v>
      </c>
      <c r="K169" s="400"/>
      <c r="L169" s="400"/>
      <c r="M169" s="406" t="s">
        <v>2853</v>
      </c>
      <c r="N169" s="406" t="s">
        <v>2088</v>
      </c>
      <c r="O169" s="424">
        <v>43300</v>
      </c>
      <c r="P169" s="406" t="s">
        <v>3061</v>
      </c>
      <c r="Q169" s="406" t="s">
        <v>2829</v>
      </c>
      <c r="R169" s="412"/>
      <c r="S169" s="419">
        <f t="shared" si="3"/>
        <v>366</v>
      </c>
    </row>
    <row r="170" spans="1:19" ht="63.75" x14ac:dyDescent="0.2">
      <c r="A170" s="408" t="s">
        <v>3895</v>
      </c>
      <c r="B170" s="422">
        <v>42935</v>
      </c>
      <c r="C170" s="410" t="s">
        <v>3896</v>
      </c>
      <c r="D170" s="403" t="s">
        <v>3897</v>
      </c>
      <c r="E170" s="404" t="s">
        <v>3617</v>
      </c>
      <c r="F170" s="404">
        <v>2</v>
      </c>
      <c r="G170" s="404" t="s">
        <v>2828</v>
      </c>
      <c r="H170" s="404" t="s">
        <v>3423</v>
      </c>
      <c r="I170" s="404" t="s">
        <v>3211</v>
      </c>
      <c r="J170" s="422">
        <v>42944</v>
      </c>
      <c r="K170" s="437"/>
      <c r="L170" s="437"/>
      <c r="M170" s="404" t="s">
        <v>2853</v>
      </c>
      <c r="N170" s="404" t="s">
        <v>2088</v>
      </c>
      <c r="O170" s="422">
        <v>42937</v>
      </c>
      <c r="P170" s="404" t="s">
        <v>3061</v>
      </c>
      <c r="Q170" s="404" t="s">
        <v>2829</v>
      </c>
      <c r="R170" s="423"/>
      <c r="S170" s="420">
        <f t="shared" si="3"/>
        <v>2</v>
      </c>
    </row>
    <row r="171" spans="1:19" ht="38.25" x14ac:dyDescent="0.2">
      <c r="A171" s="407" t="s">
        <v>3898</v>
      </c>
      <c r="B171" s="424">
        <v>42937</v>
      </c>
      <c r="C171" s="409" t="s">
        <v>3900</v>
      </c>
      <c r="D171" s="405" t="s">
        <v>3901</v>
      </c>
      <c r="E171" s="406" t="s">
        <v>2971</v>
      </c>
      <c r="F171" s="406">
        <v>1</v>
      </c>
      <c r="G171" s="406" t="s">
        <v>2841</v>
      </c>
      <c r="H171" s="406" t="s">
        <v>229</v>
      </c>
      <c r="I171" s="406" t="s">
        <v>229</v>
      </c>
      <c r="J171" s="424">
        <v>42978</v>
      </c>
      <c r="K171" s="400"/>
      <c r="L171" s="400"/>
      <c r="M171" s="406" t="s">
        <v>2853</v>
      </c>
      <c r="N171" s="406" t="s">
        <v>2088</v>
      </c>
      <c r="O171" s="424">
        <v>42961</v>
      </c>
      <c r="P171" s="406" t="s">
        <v>3061</v>
      </c>
      <c r="Q171" s="406" t="s">
        <v>2832</v>
      </c>
      <c r="R171" s="412"/>
      <c r="S171" s="419">
        <f t="shared" si="3"/>
        <v>24</v>
      </c>
    </row>
    <row r="172" spans="1:19" ht="38.25" x14ac:dyDescent="0.2">
      <c r="A172" s="408" t="s">
        <v>3899</v>
      </c>
      <c r="B172" s="422">
        <v>42937</v>
      </c>
      <c r="C172" s="410" t="s">
        <v>3902</v>
      </c>
      <c r="D172" s="403" t="s">
        <v>3225</v>
      </c>
      <c r="E172" s="404" t="s">
        <v>2971</v>
      </c>
      <c r="F172" s="404">
        <v>1</v>
      </c>
      <c r="G172" s="404" t="s">
        <v>2841</v>
      </c>
      <c r="H172" s="404" t="s">
        <v>229</v>
      </c>
      <c r="I172" s="404" t="s">
        <v>229</v>
      </c>
      <c r="J172" s="422">
        <v>42978</v>
      </c>
      <c r="K172" s="437"/>
      <c r="L172" s="437"/>
      <c r="M172" s="404" t="s">
        <v>2853</v>
      </c>
      <c r="N172" s="404" t="s">
        <v>2088</v>
      </c>
      <c r="O172" s="422">
        <v>42978</v>
      </c>
      <c r="P172" s="404" t="s">
        <v>3061</v>
      </c>
      <c r="Q172" s="404" t="s">
        <v>2832</v>
      </c>
      <c r="R172" s="423"/>
      <c r="S172" s="420">
        <f t="shared" si="3"/>
        <v>41</v>
      </c>
    </row>
    <row r="173" spans="1:19" ht="38.25" x14ac:dyDescent="0.2">
      <c r="A173" s="407" t="s">
        <v>3904</v>
      </c>
      <c r="B173" s="424">
        <v>42943</v>
      </c>
      <c r="C173" s="409" t="s">
        <v>3905</v>
      </c>
      <c r="D173" s="405" t="s">
        <v>3906</v>
      </c>
      <c r="E173" s="406" t="s">
        <v>2971</v>
      </c>
      <c r="F173" s="406">
        <v>1</v>
      </c>
      <c r="G173" s="406" t="s">
        <v>2838</v>
      </c>
      <c r="H173" s="406" t="s">
        <v>685</v>
      </c>
      <c r="I173" s="406" t="s">
        <v>229</v>
      </c>
      <c r="J173" s="424">
        <v>42947</v>
      </c>
      <c r="K173" s="400"/>
      <c r="L173" s="400"/>
      <c r="M173" s="406" t="s">
        <v>2853</v>
      </c>
      <c r="N173" s="406" t="s">
        <v>2088</v>
      </c>
      <c r="O173" s="424">
        <v>42943</v>
      </c>
      <c r="P173" s="406" t="s">
        <v>3061</v>
      </c>
      <c r="Q173" s="406" t="s">
        <v>2829</v>
      </c>
      <c r="R173" s="412"/>
      <c r="S173" s="419">
        <f t="shared" si="3"/>
        <v>0</v>
      </c>
    </row>
    <row r="174" spans="1:19" ht="38.25" x14ac:dyDescent="0.2">
      <c r="A174" s="408" t="s">
        <v>3907</v>
      </c>
      <c r="B174" s="422">
        <v>42943</v>
      </c>
      <c r="C174" s="410" t="s">
        <v>3908</v>
      </c>
      <c r="D174" s="403" t="s">
        <v>3909</v>
      </c>
      <c r="E174" s="404" t="s">
        <v>2971</v>
      </c>
      <c r="F174" s="404">
        <v>1</v>
      </c>
      <c r="G174" s="404" t="s">
        <v>2828</v>
      </c>
      <c r="H174" s="404" t="s">
        <v>3842</v>
      </c>
      <c r="I174" s="404" t="s">
        <v>3211</v>
      </c>
      <c r="J174" s="422">
        <v>42954</v>
      </c>
      <c r="K174" s="437"/>
      <c r="L174" s="437"/>
      <c r="M174" s="404" t="s">
        <v>2853</v>
      </c>
      <c r="N174" s="404" t="s">
        <v>2088</v>
      </c>
      <c r="O174" s="422">
        <v>42950</v>
      </c>
      <c r="P174" s="404" t="s">
        <v>3061</v>
      </c>
      <c r="Q174" s="404" t="s">
        <v>2829</v>
      </c>
      <c r="R174" s="423"/>
      <c r="S174" s="420">
        <f t="shared" si="3"/>
        <v>7</v>
      </c>
    </row>
    <row r="175" spans="1:19" ht="38.25" x14ac:dyDescent="0.2">
      <c r="A175" s="407" t="s">
        <v>3912</v>
      </c>
      <c r="B175" s="424">
        <v>42949</v>
      </c>
      <c r="C175" s="409" t="s">
        <v>3913</v>
      </c>
      <c r="D175" s="405" t="s">
        <v>3914</v>
      </c>
      <c r="E175" s="406" t="s">
        <v>3915</v>
      </c>
      <c r="F175" s="406">
        <v>2</v>
      </c>
      <c r="G175" s="406" t="s">
        <v>2828</v>
      </c>
      <c r="H175" s="406" t="s">
        <v>615</v>
      </c>
      <c r="I175" s="406" t="s">
        <v>3211</v>
      </c>
      <c r="J175" s="424" t="s">
        <v>2088</v>
      </c>
      <c r="K175" s="400"/>
      <c r="L175" s="400"/>
      <c r="M175" s="406" t="s">
        <v>1056</v>
      </c>
      <c r="N175" s="406" t="s">
        <v>2088</v>
      </c>
      <c r="O175" s="424">
        <v>42955</v>
      </c>
      <c r="P175" s="406" t="s">
        <v>2088</v>
      </c>
      <c r="Q175" s="406" t="s">
        <v>2829</v>
      </c>
      <c r="R175" s="409" t="s">
        <v>3922</v>
      </c>
      <c r="S175" s="419">
        <f t="shared" si="3"/>
        <v>6</v>
      </c>
    </row>
    <row r="176" spans="1:19" ht="51" x14ac:dyDescent="0.2">
      <c r="A176" s="408" t="s">
        <v>3916</v>
      </c>
      <c r="B176" s="422">
        <v>42951</v>
      </c>
      <c r="C176" s="410" t="s">
        <v>3996</v>
      </c>
      <c r="D176" s="403" t="s">
        <v>3997</v>
      </c>
      <c r="E176" s="404" t="s">
        <v>2971</v>
      </c>
      <c r="F176" s="404">
        <v>1</v>
      </c>
      <c r="G176" s="404" t="s">
        <v>2836</v>
      </c>
      <c r="H176" s="404" t="s">
        <v>685</v>
      </c>
      <c r="I176" s="404" t="s">
        <v>229</v>
      </c>
      <c r="J176" s="422">
        <v>43007</v>
      </c>
      <c r="K176" s="437"/>
      <c r="L176" s="437"/>
      <c r="M176" s="404" t="s">
        <v>2853</v>
      </c>
      <c r="N176" s="404" t="s">
        <v>2088</v>
      </c>
      <c r="O176" s="422">
        <v>43018</v>
      </c>
      <c r="P176" s="404" t="s">
        <v>3061</v>
      </c>
      <c r="Q176" s="404" t="s">
        <v>2832</v>
      </c>
      <c r="R176" s="423"/>
      <c r="S176" s="420">
        <f t="shared" si="3"/>
        <v>67</v>
      </c>
    </row>
    <row r="177" spans="1:19" ht="38.25" x14ac:dyDescent="0.2">
      <c r="A177" s="407" t="s">
        <v>3917</v>
      </c>
      <c r="B177" s="424">
        <v>42954</v>
      </c>
      <c r="C177" s="409" t="s">
        <v>3913</v>
      </c>
      <c r="D177" s="405" t="s">
        <v>3918</v>
      </c>
      <c r="E177" s="406" t="s">
        <v>3915</v>
      </c>
      <c r="F177" s="406">
        <v>2</v>
      </c>
      <c r="G177" s="406" t="s">
        <v>2828</v>
      </c>
      <c r="H177" s="406" t="s">
        <v>3167</v>
      </c>
      <c r="I177" s="406" t="s">
        <v>3211</v>
      </c>
      <c r="J177" s="424">
        <v>42965</v>
      </c>
      <c r="K177" s="400"/>
      <c r="L177" s="400"/>
      <c r="M177" s="406" t="s">
        <v>2853</v>
      </c>
      <c r="N177" s="406" t="s">
        <v>2088</v>
      </c>
      <c r="O177" s="424">
        <v>42956</v>
      </c>
      <c r="P177" s="406" t="s">
        <v>3061</v>
      </c>
      <c r="Q177" s="406" t="s">
        <v>2829</v>
      </c>
      <c r="R177" s="412"/>
      <c r="S177" s="419">
        <f t="shared" si="3"/>
        <v>2</v>
      </c>
    </row>
    <row r="178" spans="1:19" ht="38.25" x14ac:dyDescent="0.2">
      <c r="A178" s="408" t="s">
        <v>3919</v>
      </c>
      <c r="B178" s="422">
        <v>42955</v>
      </c>
      <c r="C178" s="410" t="s">
        <v>3920</v>
      </c>
      <c r="D178" s="403" t="s">
        <v>3909</v>
      </c>
      <c r="E178" s="404" t="s">
        <v>3921</v>
      </c>
      <c r="F178" s="404">
        <v>1</v>
      </c>
      <c r="G178" s="404" t="s">
        <v>2828</v>
      </c>
      <c r="H178" s="404" t="s">
        <v>3842</v>
      </c>
      <c r="I178" s="404" t="s">
        <v>3211</v>
      </c>
      <c r="J178" s="422">
        <v>42958</v>
      </c>
      <c r="K178" s="437"/>
      <c r="L178" s="437"/>
      <c r="M178" s="404" t="s">
        <v>2853</v>
      </c>
      <c r="N178" s="404" t="s">
        <v>2088</v>
      </c>
      <c r="O178" s="422">
        <v>42956</v>
      </c>
      <c r="P178" s="404" t="s">
        <v>3061</v>
      </c>
      <c r="Q178" s="404" t="s">
        <v>3677</v>
      </c>
      <c r="R178" s="423"/>
      <c r="S178" s="420">
        <f t="shared" si="3"/>
        <v>1</v>
      </c>
    </row>
    <row r="179" spans="1:19" ht="89.25" x14ac:dyDescent="0.2">
      <c r="A179" s="407" t="s">
        <v>3923</v>
      </c>
      <c r="B179" s="424">
        <v>42956</v>
      </c>
      <c r="C179" s="409" t="s">
        <v>4094</v>
      </c>
      <c r="D179" s="405" t="s">
        <v>4048</v>
      </c>
      <c r="E179" s="406" t="s">
        <v>3915</v>
      </c>
      <c r="F179" s="406">
        <v>1</v>
      </c>
      <c r="G179" s="406" t="s">
        <v>2828</v>
      </c>
      <c r="H179" s="406" t="s">
        <v>3851</v>
      </c>
      <c r="I179" s="406" t="s">
        <v>3211</v>
      </c>
      <c r="J179" s="424">
        <v>43066</v>
      </c>
      <c r="K179" s="400"/>
      <c r="L179" s="400"/>
      <c r="M179" s="406" t="s">
        <v>2853</v>
      </c>
      <c r="N179" s="406" t="s">
        <v>2088</v>
      </c>
      <c r="O179" s="424">
        <v>43067</v>
      </c>
      <c r="P179" s="406" t="s">
        <v>3022</v>
      </c>
      <c r="Q179" s="406" t="s">
        <v>2835</v>
      </c>
      <c r="R179" s="412"/>
      <c r="S179" s="419">
        <f t="shared" si="3"/>
        <v>111</v>
      </c>
    </row>
    <row r="180" spans="1:19" ht="51" x14ac:dyDescent="0.2">
      <c r="A180" s="408" t="s">
        <v>3924</v>
      </c>
      <c r="B180" s="422">
        <v>42958</v>
      </c>
      <c r="C180" s="410" t="s">
        <v>3929</v>
      </c>
      <c r="D180" s="403" t="s">
        <v>3928</v>
      </c>
      <c r="E180" s="404" t="s">
        <v>3927</v>
      </c>
      <c r="F180" s="404">
        <v>1</v>
      </c>
      <c r="G180" s="404" t="s">
        <v>2828</v>
      </c>
      <c r="H180" s="404" t="s">
        <v>3167</v>
      </c>
      <c r="I180" s="404" t="s">
        <v>3926</v>
      </c>
      <c r="J180" s="422">
        <v>43008</v>
      </c>
      <c r="K180" s="437"/>
      <c r="L180" s="437"/>
      <c r="M180" s="404" t="s">
        <v>2853</v>
      </c>
      <c r="N180" s="404" t="s">
        <v>2088</v>
      </c>
      <c r="O180" s="422">
        <v>43031</v>
      </c>
      <c r="P180" s="404" t="s">
        <v>3022</v>
      </c>
      <c r="Q180" s="404" t="s">
        <v>2829</v>
      </c>
      <c r="R180" s="423"/>
      <c r="S180" s="420">
        <f t="shared" si="3"/>
        <v>73</v>
      </c>
    </row>
    <row r="181" spans="1:19" ht="51" x14ac:dyDescent="0.2">
      <c r="A181" s="407" t="s">
        <v>3925</v>
      </c>
      <c r="B181" s="424">
        <v>42961</v>
      </c>
      <c r="C181" s="409" t="s">
        <v>3930</v>
      </c>
      <c r="D181" s="405" t="s">
        <v>3931</v>
      </c>
      <c r="E181" s="406" t="s">
        <v>3667</v>
      </c>
      <c r="F181" s="406">
        <v>1</v>
      </c>
      <c r="G181" s="406" t="s">
        <v>2828</v>
      </c>
      <c r="H181" s="406" t="s">
        <v>3167</v>
      </c>
      <c r="I181" s="406" t="s">
        <v>3926</v>
      </c>
      <c r="J181" s="424">
        <v>42993</v>
      </c>
      <c r="K181" s="400"/>
      <c r="L181" s="400"/>
      <c r="M181" s="406" t="s">
        <v>2853</v>
      </c>
      <c r="N181" s="406" t="s">
        <v>2088</v>
      </c>
      <c r="O181" s="424">
        <v>42964</v>
      </c>
      <c r="P181" s="406" t="s">
        <v>3061</v>
      </c>
      <c r="Q181" s="406" t="s">
        <v>2829</v>
      </c>
      <c r="R181" s="412"/>
      <c r="S181" s="419">
        <f t="shared" si="3"/>
        <v>3</v>
      </c>
    </row>
    <row r="182" spans="1:19" ht="63.75" x14ac:dyDescent="0.2">
      <c r="A182" s="408" t="s">
        <v>3934</v>
      </c>
      <c r="B182" s="422">
        <v>42965</v>
      </c>
      <c r="C182" s="410" t="s">
        <v>3935</v>
      </c>
      <c r="D182" s="403" t="s">
        <v>3936</v>
      </c>
      <c r="E182" s="404" t="s">
        <v>3586</v>
      </c>
      <c r="F182" s="404">
        <v>1</v>
      </c>
      <c r="G182" s="404" t="s">
        <v>2828</v>
      </c>
      <c r="H182" s="404" t="s">
        <v>2058</v>
      </c>
      <c r="I182" s="404" t="s">
        <v>3211</v>
      </c>
      <c r="J182" s="422">
        <v>42972</v>
      </c>
      <c r="K182" s="437"/>
      <c r="L182" s="437"/>
      <c r="M182" s="404" t="s">
        <v>2853</v>
      </c>
      <c r="N182" s="404" t="s">
        <v>2088</v>
      </c>
      <c r="O182" s="422">
        <v>42970</v>
      </c>
      <c r="P182" s="404" t="s">
        <v>3061</v>
      </c>
      <c r="Q182" s="404" t="s">
        <v>2829</v>
      </c>
      <c r="R182" s="423"/>
      <c r="S182" s="420">
        <f t="shared" si="3"/>
        <v>5</v>
      </c>
    </row>
    <row r="183" spans="1:19" ht="102" x14ac:dyDescent="0.2">
      <c r="A183" s="407" t="s">
        <v>3937</v>
      </c>
      <c r="B183" s="424">
        <v>42971</v>
      </c>
      <c r="C183" s="409" t="s">
        <v>3938</v>
      </c>
      <c r="D183" s="405" t="s">
        <v>3939</v>
      </c>
      <c r="E183" s="406" t="s">
        <v>3825</v>
      </c>
      <c r="F183" s="406">
        <v>1</v>
      </c>
      <c r="G183" s="406" t="s">
        <v>2828</v>
      </c>
      <c r="H183" s="406" t="s">
        <v>2058</v>
      </c>
      <c r="I183" s="406" t="s">
        <v>3211</v>
      </c>
      <c r="J183" s="424">
        <v>43003</v>
      </c>
      <c r="K183" s="400"/>
      <c r="L183" s="400"/>
      <c r="M183" s="406" t="s">
        <v>2853</v>
      </c>
      <c r="N183" s="406" t="s">
        <v>2088</v>
      </c>
      <c r="O183" s="424">
        <v>42972</v>
      </c>
      <c r="P183" s="406" t="s">
        <v>3061</v>
      </c>
      <c r="Q183" s="406" t="s">
        <v>2829</v>
      </c>
      <c r="R183" s="412"/>
      <c r="S183" s="419">
        <f t="shared" si="3"/>
        <v>1</v>
      </c>
    </row>
    <row r="184" spans="1:19" ht="153" x14ac:dyDescent="0.2">
      <c r="A184" s="408" t="s">
        <v>3940</v>
      </c>
      <c r="B184" s="422">
        <v>42976</v>
      </c>
      <c r="C184" s="410" t="s">
        <v>3941</v>
      </c>
      <c r="D184" s="403" t="s">
        <v>3942</v>
      </c>
      <c r="E184" s="404" t="s">
        <v>3825</v>
      </c>
      <c r="F184" s="404">
        <v>1</v>
      </c>
      <c r="G184" s="404" t="s">
        <v>2828</v>
      </c>
      <c r="H184" s="404" t="s">
        <v>2058</v>
      </c>
      <c r="I184" s="404" t="s">
        <v>3211</v>
      </c>
      <c r="J184" s="422">
        <v>43007</v>
      </c>
      <c r="K184" s="437"/>
      <c r="L184" s="437"/>
      <c r="M184" s="404" t="s">
        <v>2853</v>
      </c>
      <c r="N184" s="404" t="s">
        <v>2088</v>
      </c>
      <c r="O184" s="422">
        <v>42977</v>
      </c>
      <c r="P184" s="404" t="s">
        <v>3061</v>
      </c>
      <c r="Q184" s="404" t="s">
        <v>2829</v>
      </c>
      <c r="R184" s="423"/>
      <c r="S184" s="420">
        <f t="shared" si="3"/>
        <v>1</v>
      </c>
    </row>
    <row r="185" spans="1:19" ht="153" x14ac:dyDescent="0.2">
      <c r="A185" s="407" t="s">
        <v>3943</v>
      </c>
      <c r="B185" s="424">
        <v>42986</v>
      </c>
      <c r="C185" s="409" t="s">
        <v>3944</v>
      </c>
      <c r="D185" s="405" t="s">
        <v>3945</v>
      </c>
      <c r="E185" s="406" t="s">
        <v>3825</v>
      </c>
      <c r="F185" s="406">
        <v>1</v>
      </c>
      <c r="G185" s="406" t="s">
        <v>2828</v>
      </c>
      <c r="H185" s="406" t="s">
        <v>2058</v>
      </c>
      <c r="I185" s="406" t="s">
        <v>3211</v>
      </c>
      <c r="J185" s="424">
        <v>43016</v>
      </c>
      <c r="K185" s="400"/>
      <c r="L185" s="400"/>
      <c r="M185" s="406" t="s">
        <v>2853</v>
      </c>
      <c r="N185" s="406" t="s">
        <v>2088</v>
      </c>
      <c r="O185" s="424">
        <v>42989</v>
      </c>
      <c r="P185" s="406" t="s">
        <v>3061</v>
      </c>
      <c r="Q185" s="406" t="s">
        <v>2829</v>
      </c>
      <c r="R185" s="412"/>
      <c r="S185" s="419">
        <f t="shared" si="3"/>
        <v>3</v>
      </c>
    </row>
    <row r="186" spans="1:19" ht="51" x14ac:dyDescent="0.2">
      <c r="A186" s="408" t="s">
        <v>3946</v>
      </c>
      <c r="B186" s="422">
        <v>42989</v>
      </c>
      <c r="C186" s="410" t="s">
        <v>3947</v>
      </c>
      <c r="D186" s="403" t="s">
        <v>3518</v>
      </c>
      <c r="E186" s="404" t="s">
        <v>3386</v>
      </c>
      <c r="F186" s="404">
        <v>1</v>
      </c>
      <c r="G186" s="404" t="s">
        <v>2828</v>
      </c>
      <c r="H186" s="404" t="s">
        <v>3227</v>
      </c>
      <c r="I186" s="404" t="s">
        <v>3211</v>
      </c>
      <c r="J186" s="422">
        <v>43019</v>
      </c>
      <c r="K186" s="437"/>
      <c r="L186" s="437"/>
      <c r="M186" s="404" t="s">
        <v>2853</v>
      </c>
      <c r="N186" s="404" t="s">
        <v>2088</v>
      </c>
      <c r="O186" s="422">
        <v>42990</v>
      </c>
      <c r="P186" s="404" t="s">
        <v>3061</v>
      </c>
      <c r="Q186" s="404" t="s">
        <v>2829</v>
      </c>
      <c r="R186" s="423"/>
      <c r="S186" s="420">
        <f t="shared" si="3"/>
        <v>1</v>
      </c>
    </row>
    <row r="187" spans="1:19" ht="38.25" x14ac:dyDescent="0.2">
      <c r="A187" s="407" t="s">
        <v>3948</v>
      </c>
      <c r="B187" s="424">
        <v>42989</v>
      </c>
      <c r="C187" s="409" t="s">
        <v>3949</v>
      </c>
      <c r="D187" s="405" t="s">
        <v>3950</v>
      </c>
      <c r="E187" s="406" t="s">
        <v>2971</v>
      </c>
      <c r="F187" s="406">
        <v>1</v>
      </c>
      <c r="G187" s="406" t="s">
        <v>2828</v>
      </c>
      <c r="H187" s="406" t="s">
        <v>3842</v>
      </c>
      <c r="I187" s="406" t="s">
        <v>3211</v>
      </c>
      <c r="J187" s="424">
        <v>43100</v>
      </c>
      <c r="K187" s="400"/>
      <c r="L187" s="400"/>
      <c r="M187" s="406" t="s">
        <v>2853</v>
      </c>
      <c r="N187" s="406" t="s">
        <v>2088</v>
      </c>
      <c r="O187" s="424">
        <v>43083</v>
      </c>
      <c r="P187" s="406" t="s">
        <v>3061</v>
      </c>
      <c r="Q187" s="406" t="s">
        <v>2832</v>
      </c>
      <c r="R187" s="412"/>
      <c r="S187" s="419">
        <f t="shared" si="3"/>
        <v>94</v>
      </c>
    </row>
    <row r="188" spans="1:19" ht="76.5" x14ac:dyDescent="0.2">
      <c r="A188" s="408" t="s">
        <v>3951</v>
      </c>
      <c r="B188" s="422">
        <v>42989</v>
      </c>
      <c r="C188" s="410" t="s">
        <v>3952</v>
      </c>
      <c r="D188" s="403" t="s">
        <v>3953</v>
      </c>
      <c r="E188" s="404" t="s">
        <v>2971</v>
      </c>
      <c r="F188" s="404">
        <v>1</v>
      </c>
      <c r="G188" s="404" t="s">
        <v>2838</v>
      </c>
      <c r="H188" s="404" t="s">
        <v>685</v>
      </c>
      <c r="I188" s="404" t="s">
        <v>229</v>
      </c>
      <c r="J188" s="422">
        <v>43007</v>
      </c>
      <c r="K188" s="437"/>
      <c r="L188" s="437"/>
      <c r="M188" s="404" t="s">
        <v>2853</v>
      </c>
      <c r="N188" s="404" t="s">
        <v>2088</v>
      </c>
      <c r="O188" s="422">
        <v>42993</v>
      </c>
      <c r="P188" s="404" t="s">
        <v>3061</v>
      </c>
      <c r="Q188" s="404" t="s">
        <v>2829</v>
      </c>
      <c r="R188" s="423" t="s">
        <v>5068</v>
      </c>
      <c r="S188" s="420">
        <f t="shared" si="3"/>
        <v>4</v>
      </c>
    </row>
    <row r="189" spans="1:19" ht="51" x14ac:dyDescent="0.2">
      <c r="A189" s="407" t="s">
        <v>3954</v>
      </c>
      <c r="B189" s="424">
        <v>42990</v>
      </c>
      <c r="C189" s="409" t="s">
        <v>3955</v>
      </c>
      <c r="D189" s="405" t="s">
        <v>3956</v>
      </c>
      <c r="E189" s="406" t="s">
        <v>2971</v>
      </c>
      <c r="F189" s="406">
        <v>1</v>
      </c>
      <c r="G189" s="406" t="s">
        <v>2828</v>
      </c>
      <c r="H189" s="406" t="s">
        <v>2058</v>
      </c>
      <c r="I189" s="406" t="s">
        <v>3211</v>
      </c>
      <c r="J189" s="424">
        <v>43049</v>
      </c>
      <c r="K189" s="400"/>
      <c r="L189" s="400"/>
      <c r="M189" s="406" t="s">
        <v>2853</v>
      </c>
      <c r="N189" s="406" t="s">
        <v>2088</v>
      </c>
      <c r="O189" s="424">
        <v>43019</v>
      </c>
      <c r="P189" s="406" t="s">
        <v>3061</v>
      </c>
      <c r="Q189" s="406" t="s">
        <v>2829</v>
      </c>
      <c r="R189" s="412"/>
      <c r="S189" s="419">
        <f t="shared" si="3"/>
        <v>29</v>
      </c>
    </row>
    <row r="190" spans="1:19" ht="38.25" x14ac:dyDescent="0.2">
      <c r="A190" s="408" t="s">
        <v>3957</v>
      </c>
      <c r="B190" s="422">
        <v>42990</v>
      </c>
      <c r="C190" s="410" t="s">
        <v>3958</v>
      </c>
      <c r="D190" s="403" t="s">
        <v>3959</v>
      </c>
      <c r="E190" s="404" t="s">
        <v>2971</v>
      </c>
      <c r="F190" s="404">
        <v>1</v>
      </c>
      <c r="G190" s="404" t="s">
        <v>2841</v>
      </c>
      <c r="H190" s="404" t="s">
        <v>3960</v>
      </c>
      <c r="I190" s="404" t="s">
        <v>229</v>
      </c>
      <c r="J190" s="422">
        <v>43189</v>
      </c>
      <c r="K190" s="437"/>
      <c r="L190" s="437"/>
      <c r="M190" s="404" t="s">
        <v>1056</v>
      </c>
      <c r="N190" s="404" t="s">
        <v>2088</v>
      </c>
      <c r="O190" s="422" t="s">
        <v>2088</v>
      </c>
      <c r="P190" s="404" t="s">
        <v>2088</v>
      </c>
      <c r="Q190" s="404" t="s">
        <v>2088</v>
      </c>
      <c r="R190" s="423" t="s">
        <v>5029</v>
      </c>
      <c r="S190" s="420" t="e">
        <f t="shared" si="3"/>
        <v>#VALUE!</v>
      </c>
    </row>
    <row r="191" spans="1:19" ht="63.75" x14ac:dyDescent="0.2">
      <c r="A191" s="407" t="s">
        <v>3961</v>
      </c>
      <c r="B191" s="424">
        <v>42991</v>
      </c>
      <c r="C191" s="409" t="s">
        <v>3962</v>
      </c>
      <c r="D191" s="405" t="s">
        <v>3963</v>
      </c>
      <c r="E191" s="406" t="s">
        <v>2971</v>
      </c>
      <c r="F191" s="406">
        <v>1</v>
      </c>
      <c r="G191" s="406" t="s">
        <v>2838</v>
      </c>
      <c r="H191" s="406" t="s">
        <v>685</v>
      </c>
      <c r="I191" s="406" t="s">
        <v>229</v>
      </c>
      <c r="J191" s="424">
        <v>43007</v>
      </c>
      <c r="K191" s="400"/>
      <c r="L191" s="400"/>
      <c r="M191" s="406" t="s">
        <v>2853</v>
      </c>
      <c r="N191" s="406" t="s">
        <v>2088</v>
      </c>
      <c r="O191" s="424">
        <v>43000</v>
      </c>
      <c r="P191" s="406" t="s">
        <v>4224</v>
      </c>
      <c r="Q191" s="406" t="s">
        <v>2829</v>
      </c>
      <c r="R191" s="419"/>
      <c r="S191" s="419">
        <f t="shared" si="3"/>
        <v>9</v>
      </c>
    </row>
    <row r="192" spans="1:19" ht="63.75" x14ac:dyDescent="0.2">
      <c r="A192" s="408" t="s">
        <v>3964</v>
      </c>
      <c r="B192" s="422">
        <v>42996</v>
      </c>
      <c r="C192" s="410" t="s">
        <v>3965</v>
      </c>
      <c r="D192" s="403" t="s">
        <v>3995</v>
      </c>
      <c r="E192" s="404" t="s">
        <v>3667</v>
      </c>
      <c r="F192" s="404">
        <v>1</v>
      </c>
      <c r="G192" s="404" t="s">
        <v>2828</v>
      </c>
      <c r="H192" s="404" t="s">
        <v>3167</v>
      </c>
      <c r="I192" s="404" t="s">
        <v>3926</v>
      </c>
      <c r="J192" s="422">
        <v>43033</v>
      </c>
      <c r="K192" s="437"/>
      <c r="L192" s="437"/>
      <c r="M192" s="404" t="s">
        <v>2853</v>
      </c>
      <c r="N192" s="404" t="s">
        <v>2088</v>
      </c>
      <c r="O192" s="422">
        <v>43006</v>
      </c>
      <c r="P192" s="404" t="s">
        <v>3061</v>
      </c>
      <c r="Q192" s="404" t="s">
        <v>2829</v>
      </c>
      <c r="R192" s="423"/>
      <c r="S192" s="420">
        <f t="shared" si="3"/>
        <v>10</v>
      </c>
    </row>
    <row r="193" spans="1:19" ht="89.25" x14ac:dyDescent="0.2">
      <c r="A193" s="407" t="s">
        <v>3966</v>
      </c>
      <c r="B193" s="424">
        <v>42996</v>
      </c>
      <c r="C193" s="409" t="s">
        <v>3967</v>
      </c>
      <c r="D193" s="405" t="s">
        <v>3968</v>
      </c>
      <c r="E193" s="406" t="s">
        <v>3969</v>
      </c>
      <c r="F193" s="406">
        <v>1</v>
      </c>
      <c r="G193" s="406" t="s">
        <v>2828</v>
      </c>
      <c r="H193" s="406" t="s">
        <v>3975</v>
      </c>
      <c r="I193" s="406" t="s">
        <v>3211</v>
      </c>
      <c r="J193" s="424">
        <v>43026</v>
      </c>
      <c r="K193" s="400"/>
      <c r="L193" s="400"/>
      <c r="M193" s="406" t="s">
        <v>2853</v>
      </c>
      <c r="N193" s="406" t="s">
        <v>2088</v>
      </c>
      <c r="O193" s="424">
        <v>42997</v>
      </c>
      <c r="P193" s="406" t="s">
        <v>4224</v>
      </c>
      <c r="Q193" s="406" t="s">
        <v>2829</v>
      </c>
      <c r="R193" s="412"/>
      <c r="S193" s="419">
        <f t="shared" si="3"/>
        <v>1</v>
      </c>
    </row>
    <row r="194" spans="1:19" ht="89.25" x14ac:dyDescent="0.2">
      <c r="A194" s="408" t="s">
        <v>3970</v>
      </c>
      <c r="B194" s="422">
        <v>42998</v>
      </c>
      <c r="C194" s="410" t="s">
        <v>3978</v>
      </c>
      <c r="D194" s="403" t="s">
        <v>3971</v>
      </c>
      <c r="E194" s="404" t="s">
        <v>3335</v>
      </c>
      <c r="F194" s="404">
        <v>1</v>
      </c>
      <c r="G194" s="404" t="s">
        <v>2828</v>
      </c>
      <c r="H194" s="404" t="s">
        <v>3167</v>
      </c>
      <c r="I194" s="404" t="s">
        <v>3211</v>
      </c>
      <c r="J194" s="422">
        <v>43028</v>
      </c>
      <c r="K194" s="437"/>
      <c r="L194" s="437"/>
      <c r="M194" s="404" t="s">
        <v>2853</v>
      </c>
      <c r="N194" s="404" t="s">
        <v>2088</v>
      </c>
      <c r="O194" s="422">
        <v>43000</v>
      </c>
      <c r="P194" s="406" t="s">
        <v>4224</v>
      </c>
      <c r="Q194" s="404" t="s">
        <v>2829</v>
      </c>
      <c r="R194" s="423"/>
      <c r="S194" s="420">
        <f t="shared" si="3"/>
        <v>2</v>
      </c>
    </row>
    <row r="195" spans="1:19" ht="51" x14ac:dyDescent="0.2">
      <c r="A195" s="407" t="s">
        <v>3972</v>
      </c>
      <c r="B195" s="424">
        <v>42998</v>
      </c>
      <c r="C195" s="409" t="s">
        <v>3973</v>
      </c>
      <c r="D195" s="405" t="s">
        <v>3974</v>
      </c>
      <c r="E195" s="406" t="s">
        <v>3586</v>
      </c>
      <c r="F195" s="406">
        <v>1</v>
      </c>
      <c r="G195" s="406" t="s">
        <v>2828</v>
      </c>
      <c r="H195" s="406" t="s">
        <v>3423</v>
      </c>
      <c r="I195" s="406" t="s">
        <v>3211</v>
      </c>
      <c r="J195" s="424">
        <v>43033</v>
      </c>
      <c r="K195" s="400"/>
      <c r="L195" s="400"/>
      <c r="M195" s="406" t="s">
        <v>2853</v>
      </c>
      <c r="N195" s="406" t="s">
        <v>2088</v>
      </c>
      <c r="O195" s="424">
        <v>43012</v>
      </c>
      <c r="P195" s="406" t="s">
        <v>4224</v>
      </c>
      <c r="Q195" s="406" t="s">
        <v>2829</v>
      </c>
      <c r="R195" s="412"/>
      <c r="S195" s="419">
        <f t="shared" si="3"/>
        <v>14</v>
      </c>
    </row>
    <row r="196" spans="1:19" ht="51" x14ac:dyDescent="0.2">
      <c r="A196" s="408" t="s">
        <v>3976</v>
      </c>
      <c r="B196" s="422">
        <v>43000</v>
      </c>
      <c r="C196" s="410" t="s">
        <v>3984</v>
      </c>
      <c r="D196" s="403" t="s">
        <v>3977</v>
      </c>
      <c r="E196" s="404" t="s">
        <v>3400</v>
      </c>
      <c r="F196" s="404">
        <v>1</v>
      </c>
      <c r="G196" s="404" t="s">
        <v>2828</v>
      </c>
      <c r="H196" s="404" t="s">
        <v>3167</v>
      </c>
      <c r="I196" s="404" t="s">
        <v>3926</v>
      </c>
      <c r="J196" s="422">
        <v>43048</v>
      </c>
      <c r="K196" s="437"/>
      <c r="L196" s="437"/>
      <c r="M196" s="404" t="s">
        <v>2853</v>
      </c>
      <c r="N196" s="404" t="s">
        <v>2912</v>
      </c>
      <c r="O196" s="422">
        <v>43019</v>
      </c>
      <c r="P196" s="406" t="s">
        <v>2912</v>
      </c>
      <c r="Q196" s="404" t="s">
        <v>2829</v>
      </c>
      <c r="R196" s="423"/>
      <c r="S196" s="420">
        <f t="shared" si="3"/>
        <v>19</v>
      </c>
    </row>
    <row r="197" spans="1:19" ht="51" x14ac:dyDescent="0.2">
      <c r="A197" s="407" t="s">
        <v>3979</v>
      </c>
      <c r="B197" s="424">
        <v>43003</v>
      </c>
      <c r="C197" s="409" t="s">
        <v>3980</v>
      </c>
      <c r="D197" s="405" t="s">
        <v>3981</v>
      </c>
      <c r="E197" s="406" t="s">
        <v>3825</v>
      </c>
      <c r="F197" s="406">
        <v>1</v>
      </c>
      <c r="G197" s="406" t="s">
        <v>2828</v>
      </c>
      <c r="H197" s="406" t="s">
        <v>2058</v>
      </c>
      <c r="I197" s="406" t="s">
        <v>3211</v>
      </c>
      <c r="J197" s="424">
        <v>43033</v>
      </c>
      <c r="K197" s="400"/>
      <c r="L197" s="400"/>
      <c r="M197" s="406" t="s">
        <v>2853</v>
      </c>
      <c r="N197" s="406" t="s">
        <v>2088</v>
      </c>
      <c r="O197" s="424">
        <v>43004</v>
      </c>
      <c r="P197" s="406" t="s">
        <v>4224</v>
      </c>
      <c r="Q197" s="406" t="s">
        <v>2829</v>
      </c>
      <c r="R197" s="412"/>
      <c r="S197" s="419">
        <f t="shared" si="3"/>
        <v>1</v>
      </c>
    </row>
    <row r="198" spans="1:19" ht="114.75" x14ac:dyDescent="0.2">
      <c r="A198" s="408" t="s">
        <v>3982</v>
      </c>
      <c r="B198" s="422">
        <v>43004</v>
      </c>
      <c r="C198" s="410" t="s">
        <v>3983</v>
      </c>
      <c r="D198" s="403" t="s">
        <v>3873</v>
      </c>
      <c r="E198" s="404" t="s">
        <v>3915</v>
      </c>
      <c r="F198" s="404">
        <v>1</v>
      </c>
      <c r="G198" s="404" t="s">
        <v>2836</v>
      </c>
      <c r="H198" s="404" t="s">
        <v>3975</v>
      </c>
      <c r="I198" s="404" t="s">
        <v>3211</v>
      </c>
      <c r="J198" s="422">
        <v>43034</v>
      </c>
      <c r="K198" s="437"/>
      <c r="L198" s="437"/>
      <c r="M198" s="404" t="s">
        <v>2853</v>
      </c>
      <c r="N198" s="404" t="s">
        <v>2088</v>
      </c>
      <c r="O198" s="422">
        <v>43025</v>
      </c>
      <c r="P198" s="406" t="s">
        <v>4224</v>
      </c>
      <c r="Q198" s="404" t="s">
        <v>2829</v>
      </c>
      <c r="R198" s="423"/>
      <c r="S198" s="420">
        <f t="shared" si="3"/>
        <v>21</v>
      </c>
    </row>
    <row r="199" spans="1:19" ht="51" x14ac:dyDescent="0.2">
      <c r="A199" s="407" t="s">
        <v>3986</v>
      </c>
      <c r="B199" s="424">
        <v>43004</v>
      </c>
      <c r="C199" s="409" t="s">
        <v>3987</v>
      </c>
      <c r="D199" s="405" t="s">
        <v>3988</v>
      </c>
      <c r="E199" s="406" t="s">
        <v>3825</v>
      </c>
      <c r="F199" s="406">
        <v>1</v>
      </c>
      <c r="G199" s="406" t="s">
        <v>2841</v>
      </c>
      <c r="H199" s="406" t="s">
        <v>685</v>
      </c>
      <c r="I199" s="406" t="s">
        <v>229</v>
      </c>
      <c r="J199" s="424">
        <v>43098</v>
      </c>
      <c r="K199" s="400"/>
      <c r="L199" s="400"/>
      <c r="M199" s="406" t="s">
        <v>2853</v>
      </c>
      <c r="N199" s="406" t="s">
        <v>2088</v>
      </c>
      <c r="O199" s="424">
        <v>43020</v>
      </c>
      <c r="P199" s="406" t="s">
        <v>4224</v>
      </c>
      <c r="Q199" s="406" t="s">
        <v>2829</v>
      </c>
      <c r="R199" s="412"/>
      <c r="S199" s="419">
        <f t="shared" si="3"/>
        <v>16</v>
      </c>
    </row>
    <row r="200" spans="1:19" ht="102" x14ac:dyDescent="0.2">
      <c r="A200" s="408" t="s">
        <v>3989</v>
      </c>
      <c r="B200" s="422">
        <v>43010</v>
      </c>
      <c r="C200" s="410" t="s">
        <v>3990</v>
      </c>
      <c r="D200" s="403" t="s">
        <v>3307</v>
      </c>
      <c r="E200" s="404" t="s">
        <v>2971</v>
      </c>
      <c r="F200" s="404">
        <v>1</v>
      </c>
      <c r="G200" s="404" t="s">
        <v>2841</v>
      </c>
      <c r="H200" s="404" t="s">
        <v>3991</v>
      </c>
      <c r="I200" s="404" t="s">
        <v>229</v>
      </c>
      <c r="J200" s="422">
        <v>43028</v>
      </c>
      <c r="K200" s="437"/>
      <c r="L200" s="437"/>
      <c r="M200" s="404" t="s">
        <v>2853</v>
      </c>
      <c r="N200" s="404" t="s">
        <v>3022</v>
      </c>
      <c r="O200" s="422">
        <v>43033</v>
      </c>
      <c r="P200" s="406" t="s">
        <v>2912</v>
      </c>
      <c r="Q200" s="404" t="s">
        <v>2829</v>
      </c>
      <c r="R200" s="423"/>
      <c r="S200" s="420">
        <f t="shared" si="3"/>
        <v>23</v>
      </c>
    </row>
    <row r="201" spans="1:19" ht="63.75" x14ac:dyDescent="0.2">
      <c r="A201" s="407" t="s">
        <v>3992</v>
      </c>
      <c r="B201" s="424">
        <v>43012</v>
      </c>
      <c r="C201" s="409" t="s">
        <v>3993</v>
      </c>
      <c r="D201" s="405" t="s">
        <v>3994</v>
      </c>
      <c r="E201" s="406" t="s">
        <v>2971</v>
      </c>
      <c r="F201" s="406">
        <v>1</v>
      </c>
      <c r="G201" s="406" t="s">
        <v>2838</v>
      </c>
      <c r="H201" s="406" t="s">
        <v>685</v>
      </c>
      <c r="I201" s="406" t="s">
        <v>229</v>
      </c>
      <c r="J201" s="424">
        <v>43098</v>
      </c>
      <c r="K201" s="400"/>
      <c r="L201" s="400"/>
      <c r="M201" s="406" t="s">
        <v>2853</v>
      </c>
      <c r="N201" s="406" t="s">
        <v>2088</v>
      </c>
      <c r="O201" s="424">
        <v>43066</v>
      </c>
      <c r="P201" s="406" t="s">
        <v>3061</v>
      </c>
      <c r="Q201" s="406" t="s">
        <v>2832</v>
      </c>
      <c r="R201" s="412" t="s">
        <v>5068</v>
      </c>
      <c r="S201" s="419">
        <f t="shared" si="3"/>
        <v>54</v>
      </c>
    </row>
    <row r="202" spans="1:19" ht="63.75" x14ac:dyDescent="0.2">
      <c r="A202" s="408" t="s">
        <v>3998</v>
      </c>
      <c r="B202" s="422">
        <v>43020</v>
      </c>
      <c r="C202" s="410" t="s">
        <v>3999</v>
      </c>
      <c r="D202" s="403" t="s">
        <v>3307</v>
      </c>
      <c r="E202" s="404" t="s">
        <v>2971</v>
      </c>
      <c r="F202" s="404">
        <v>1</v>
      </c>
      <c r="G202" s="404" t="s">
        <v>2841</v>
      </c>
      <c r="H202" s="404" t="s">
        <v>615</v>
      </c>
      <c r="I202" s="404" t="s">
        <v>229</v>
      </c>
      <c r="J202" s="422">
        <v>43098</v>
      </c>
      <c r="K202" s="437"/>
      <c r="L202" s="437"/>
      <c r="M202" s="404" t="s">
        <v>2853</v>
      </c>
      <c r="N202" s="404" t="s">
        <v>3022</v>
      </c>
      <c r="O202" s="422">
        <v>43391</v>
      </c>
      <c r="P202" s="404" t="s">
        <v>3022</v>
      </c>
      <c r="Q202" s="404" t="s">
        <v>2839</v>
      </c>
      <c r="R202" s="423"/>
      <c r="S202" s="420">
        <f t="shared" si="3"/>
        <v>371</v>
      </c>
    </row>
    <row r="203" spans="1:19" ht="38.25" x14ac:dyDescent="0.2">
      <c r="A203" s="407" t="s">
        <v>4000</v>
      </c>
      <c r="B203" s="424">
        <v>43025</v>
      </c>
      <c r="C203" s="409" t="s">
        <v>4001</v>
      </c>
      <c r="D203" s="405" t="s">
        <v>3873</v>
      </c>
      <c r="E203" s="406" t="s">
        <v>2971</v>
      </c>
      <c r="F203" s="406">
        <v>1</v>
      </c>
      <c r="G203" s="406" t="s">
        <v>2841</v>
      </c>
      <c r="H203" s="406" t="s">
        <v>229</v>
      </c>
      <c r="I203" s="406" t="s">
        <v>229</v>
      </c>
      <c r="J203" s="424">
        <v>43039</v>
      </c>
      <c r="K203" s="400"/>
      <c r="L203" s="400"/>
      <c r="M203" s="406" t="s">
        <v>2853</v>
      </c>
      <c r="N203" s="406" t="s">
        <v>2088</v>
      </c>
      <c r="O203" s="424">
        <v>43041</v>
      </c>
      <c r="P203" s="406" t="s">
        <v>3061</v>
      </c>
      <c r="Q203" s="406" t="s">
        <v>2829</v>
      </c>
      <c r="R203" s="412"/>
      <c r="S203" s="419">
        <f t="shared" si="3"/>
        <v>16</v>
      </c>
    </row>
    <row r="204" spans="1:19" ht="76.5" x14ac:dyDescent="0.2">
      <c r="A204" s="408" t="s">
        <v>4002</v>
      </c>
      <c r="B204" s="422">
        <v>43028</v>
      </c>
      <c r="C204" s="410" t="s">
        <v>4003</v>
      </c>
      <c r="D204" s="403" t="s">
        <v>3873</v>
      </c>
      <c r="E204" s="404" t="s">
        <v>2971</v>
      </c>
      <c r="F204" s="404">
        <v>1</v>
      </c>
      <c r="G204" s="404" t="s">
        <v>2841</v>
      </c>
      <c r="H204" s="404" t="s">
        <v>229</v>
      </c>
      <c r="I204" s="404" t="s">
        <v>229</v>
      </c>
      <c r="J204" s="422">
        <v>43049</v>
      </c>
      <c r="K204" s="437"/>
      <c r="L204" s="437"/>
      <c r="M204" s="404" t="s">
        <v>2853</v>
      </c>
      <c r="N204" s="404" t="s">
        <v>2088</v>
      </c>
      <c r="O204" s="422">
        <v>43049</v>
      </c>
      <c r="P204" s="404" t="s">
        <v>3061</v>
      </c>
      <c r="Q204" s="404" t="s">
        <v>2829</v>
      </c>
      <c r="R204" s="423"/>
      <c r="S204" s="420">
        <f t="shared" si="3"/>
        <v>21</v>
      </c>
    </row>
    <row r="205" spans="1:19" ht="89.25" x14ac:dyDescent="0.2">
      <c r="A205" s="407" t="s">
        <v>4004</v>
      </c>
      <c r="B205" s="424">
        <v>43028</v>
      </c>
      <c r="C205" s="409" t="s">
        <v>4005</v>
      </c>
      <c r="D205" s="405" t="s">
        <v>4006</v>
      </c>
      <c r="E205" s="406" t="s">
        <v>3825</v>
      </c>
      <c r="F205" s="406">
        <v>1</v>
      </c>
      <c r="G205" s="406" t="s">
        <v>2828</v>
      </c>
      <c r="H205" s="406" t="s">
        <v>2058</v>
      </c>
      <c r="I205" s="406" t="s">
        <v>3211</v>
      </c>
      <c r="J205" s="424">
        <v>43059</v>
      </c>
      <c r="K205" s="400"/>
      <c r="L205" s="400"/>
      <c r="M205" s="406" t="s">
        <v>1056</v>
      </c>
      <c r="N205" s="406" t="s">
        <v>2088</v>
      </c>
      <c r="O205" s="424">
        <v>43033</v>
      </c>
      <c r="P205" s="406" t="s">
        <v>4224</v>
      </c>
      <c r="Q205" s="406" t="s">
        <v>2829</v>
      </c>
      <c r="R205" s="409" t="s">
        <v>4009</v>
      </c>
      <c r="S205" s="419">
        <f t="shared" si="3"/>
        <v>5</v>
      </c>
    </row>
    <row r="206" spans="1:19" ht="89.25" x14ac:dyDescent="0.2">
      <c r="A206" s="408" t="s">
        <v>4007</v>
      </c>
      <c r="B206" s="422">
        <v>43031</v>
      </c>
      <c r="C206" s="410" t="s">
        <v>4008</v>
      </c>
      <c r="D206" s="403" t="s">
        <v>3873</v>
      </c>
      <c r="E206" s="404" t="s">
        <v>2971</v>
      </c>
      <c r="F206" s="404">
        <v>1</v>
      </c>
      <c r="G206" s="404" t="s">
        <v>2841</v>
      </c>
      <c r="H206" s="404" t="s">
        <v>229</v>
      </c>
      <c r="I206" s="404" t="s">
        <v>229</v>
      </c>
      <c r="J206" s="422">
        <v>43069</v>
      </c>
      <c r="K206" s="437"/>
      <c r="L206" s="437"/>
      <c r="M206" s="404" t="s">
        <v>2853</v>
      </c>
      <c r="N206" s="404" t="s">
        <v>2088</v>
      </c>
      <c r="O206" s="422">
        <v>43054</v>
      </c>
      <c r="P206" s="406" t="s">
        <v>4224</v>
      </c>
      <c r="Q206" s="404" t="s">
        <v>2832</v>
      </c>
      <c r="R206" s="423"/>
      <c r="S206" s="420">
        <f t="shared" si="3"/>
        <v>23</v>
      </c>
    </row>
    <row r="207" spans="1:19" ht="89.25" x14ac:dyDescent="0.2">
      <c r="A207" s="407" t="s">
        <v>4010</v>
      </c>
      <c r="B207" s="424">
        <v>43033</v>
      </c>
      <c r="C207" s="409" t="s">
        <v>4011</v>
      </c>
      <c r="D207" s="405" t="s">
        <v>3873</v>
      </c>
      <c r="E207" s="406" t="s">
        <v>2971</v>
      </c>
      <c r="F207" s="406">
        <v>1</v>
      </c>
      <c r="G207" s="406" t="s">
        <v>2841</v>
      </c>
      <c r="H207" s="406" t="s">
        <v>229</v>
      </c>
      <c r="I207" s="406" t="s">
        <v>229</v>
      </c>
      <c r="J207" s="424">
        <v>43069</v>
      </c>
      <c r="K207" s="400"/>
      <c r="L207" s="400"/>
      <c r="M207" s="406" t="s">
        <v>2853</v>
      </c>
      <c r="N207" s="406" t="s">
        <v>2088</v>
      </c>
      <c r="O207" s="424">
        <v>43053</v>
      </c>
      <c r="P207" s="406" t="s">
        <v>4224</v>
      </c>
      <c r="Q207" s="406" t="s">
        <v>2829</v>
      </c>
      <c r="R207" s="412"/>
      <c r="S207" s="419">
        <f t="shared" si="3"/>
        <v>20</v>
      </c>
    </row>
    <row r="208" spans="1:19" ht="114.75" x14ac:dyDescent="0.2">
      <c r="A208" s="408" t="s">
        <v>4012</v>
      </c>
      <c r="B208" s="422">
        <v>43033</v>
      </c>
      <c r="C208" s="410" t="s">
        <v>4013</v>
      </c>
      <c r="D208" s="403" t="s">
        <v>3873</v>
      </c>
      <c r="E208" s="404" t="s">
        <v>2971</v>
      </c>
      <c r="F208" s="404">
        <v>1</v>
      </c>
      <c r="G208" s="404" t="s">
        <v>2841</v>
      </c>
      <c r="H208" s="404" t="s">
        <v>229</v>
      </c>
      <c r="I208" s="404" t="s">
        <v>229</v>
      </c>
      <c r="J208" s="422">
        <v>43069</v>
      </c>
      <c r="K208" s="437"/>
      <c r="L208" s="437"/>
      <c r="M208" s="404" t="s">
        <v>2853</v>
      </c>
      <c r="N208" s="404" t="s">
        <v>2088</v>
      </c>
      <c r="O208" s="422">
        <v>43054</v>
      </c>
      <c r="P208" s="406" t="s">
        <v>4224</v>
      </c>
      <c r="Q208" s="404" t="s">
        <v>2829</v>
      </c>
      <c r="R208" s="423"/>
      <c r="S208" s="420">
        <f t="shared" si="3"/>
        <v>21</v>
      </c>
    </row>
    <row r="209" spans="1:19" ht="63.75" x14ac:dyDescent="0.2">
      <c r="A209" s="407" t="s">
        <v>4014</v>
      </c>
      <c r="B209" s="424">
        <v>43034</v>
      </c>
      <c r="C209" s="409" t="s">
        <v>4015</v>
      </c>
      <c r="D209" s="405" t="s">
        <v>4016</v>
      </c>
      <c r="E209" s="406" t="s">
        <v>2971</v>
      </c>
      <c r="F209" s="406">
        <v>1</v>
      </c>
      <c r="G209" s="406" t="s">
        <v>2841</v>
      </c>
      <c r="H209" s="406" t="s">
        <v>229</v>
      </c>
      <c r="I209" s="406" t="s">
        <v>229</v>
      </c>
      <c r="J209" s="424">
        <v>43069</v>
      </c>
      <c r="K209" s="400"/>
      <c r="L209" s="400"/>
      <c r="M209" s="406" t="s">
        <v>2853</v>
      </c>
      <c r="N209" s="406" t="s">
        <v>2088</v>
      </c>
      <c r="O209" s="424">
        <v>43048</v>
      </c>
      <c r="P209" s="406" t="s">
        <v>4224</v>
      </c>
      <c r="Q209" s="406" t="s">
        <v>2829</v>
      </c>
      <c r="R209" s="412"/>
      <c r="S209" s="419">
        <f t="shared" si="3"/>
        <v>14</v>
      </c>
    </row>
    <row r="210" spans="1:19" ht="101.25" x14ac:dyDescent="0.2">
      <c r="A210" s="408" t="s">
        <v>4017</v>
      </c>
      <c r="B210" s="422">
        <v>43034</v>
      </c>
      <c r="C210" s="411" t="s">
        <v>4018</v>
      </c>
      <c r="D210" s="403" t="s">
        <v>4019</v>
      </c>
      <c r="E210" s="404" t="s">
        <v>3667</v>
      </c>
      <c r="F210" s="404">
        <v>1</v>
      </c>
      <c r="G210" s="404" t="s">
        <v>2828</v>
      </c>
      <c r="H210" s="404" t="s">
        <v>3167</v>
      </c>
      <c r="I210" s="404" t="s">
        <v>3211</v>
      </c>
      <c r="J210" s="422">
        <v>43065</v>
      </c>
      <c r="K210" s="437"/>
      <c r="L210" s="437"/>
      <c r="M210" s="404" t="s">
        <v>2853</v>
      </c>
      <c r="N210" s="404" t="s">
        <v>2088</v>
      </c>
      <c r="O210" s="422">
        <v>43061</v>
      </c>
      <c r="P210" s="406" t="s">
        <v>4224</v>
      </c>
      <c r="Q210" s="404" t="s">
        <v>2829</v>
      </c>
      <c r="R210" s="423"/>
      <c r="S210" s="420">
        <f t="shared" si="3"/>
        <v>27</v>
      </c>
    </row>
    <row r="211" spans="1:19" ht="89.25" x14ac:dyDescent="0.2">
      <c r="A211" s="407" t="s">
        <v>4020</v>
      </c>
      <c r="B211" s="424">
        <v>43034</v>
      </c>
      <c r="C211" s="409" t="s">
        <v>4022</v>
      </c>
      <c r="D211" s="405" t="s">
        <v>4016</v>
      </c>
      <c r="E211" s="406" t="s">
        <v>2971</v>
      </c>
      <c r="F211" s="406">
        <v>1</v>
      </c>
      <c r="G211" s="406" t="s">
        <v>2841</v>
      </c>
      <c r="H211" s="406" t="s">
        <v>4021</v>
      </c>
      <c r="I211" s="406" t="s">
        <v>229</v>
      </c>
      <c r="J211" s="424">
        <v>43098</v>
      </c>
      <c r="K211" s="400"/>
      <c r="L211" s="400"/>
      <c r="M211" s="406" t="s">
        <v>2853</v>
      </c>
      <c r="N211" s="406" t="s">
        <v>2088</v>
      </c>
      <c r="O211" s="424">
        <v>43039</v>
      </c>
      <c r="P211" s="406" t="s">
        <v>3061</v>
      </c>
      <c r="Q211" s="406" t="s">
        <v>2829</v>
      </c>
      <c r="R211" s="412"/>
      <c r="S211" s="419">
        <f t="shared" si="3"/>
        <v>5</v>
      </c>
    </row>
    <row r="212" spans="1:19" ht="25.5" x14ac:dyDescent="0.2">
      <c r="A212" s="408" t="s">
        <v>4023</v>
      </c>
      <c r="B212" s="422">
        <v>43034</v>
      </c>
      <c r="C212" s="423" t="s">
        <v>4024</v>
      </c>
      <c r="D212" s="410" t="s">
        <v>4025</v>
      </c>
      <c r="E212" s="404" t="s">
        <v>2971</v>
      </c>
      <c r="F212" s="404">
        <v>1</v>
      </c>
      <c r="G212" s="404" t="s">
        <v>2841</v>
      </c>
      <c r="H212" s="404" t="s">
        <v>229</v>
      </c>
      <c r="I212" s="404" t="s">
        <v>229</v>
      </c>
      <c r="J212" s="422">
        <v>43131</v>
      </c>
      <c r="K212" s="437"/>
      <c r="L212" s="437"/>
      <c r="M212" s="404" t="s">
        <v>2853</v>
      </c>
      <c r="N212" s="404" t="s">
        <v>3022</v>
      </c>
      <c r="O212" s="422">
        <v>43195</v>
      </c>
      <c r="P212" s="404" t="s">
        <v>3022</v>
      </c>
      <c r="Q212" s="404" t="s">
        <v>2835</v>
      </c>
      <c r="R212" s="423"/>
      <c r="S212" s="420">
        <f t="shared" si="3"/>
        <v>161</v>
      </c>
    </row>
    <row r="213" spans="1:19" ht="25.5" x14ac:dyDescent="0.2">
      <c r="A213" s="407" t="s">
        <v>4026</v>
      </c>
      <c r="B213" s="424">
        <v>43035</v>
      </c>
      <c r="C213" s="412" t="s">
        <v>4027</v>
      </c>
      <c r="D213" s="409" t="s">
        <v>4028</v>
      </c>
      <c r="E213" s="406" t="s">
        <v>3586</v>
      </c>
      <c r="F213" s="406">
        <v>1</v>
      </c>
      <c r="G213" s="406" t="s">
        <v>2828</v>
      </c>
      <c r="H213" s="406" t="s">
        <v>3167</v>
      </c>
      <c r="I213" s="406" t="s">
        <v>441</v>
      </c>
      <c r="J213" s="424">
        <v>43066</v>
      </c>
      <c r="K213" s="400"/>
      <c r="L213" s="400"/>
      <c r="M213" s="406" t="s">
        <v>2853</v>
      </c>
      <c r="N213" s="406" t="s">
        <v>2088</v>
      </c>
      <c r="O213" s="424">
        <v>43038</v>
      </c>
      <c r="P213" s="406" t="s">
        <v>4224</v>
      </c>
      <c r="Q213" s="406" t="s">
        <v>2829</v>
      </c>
      <c r="R213" s="412"/>
      <c r="S213" s="419">
        <f t="shared" si="3"/>
        <v>3</v>
      </c>
    </row>
    <row r="214" spans="1:19" ht="102" x14ac:dyDescent="0.2">
      <c r="A214" s="408" t="s">
        <v>4029</v>
      </c>
      <c r="B214" s="422">
        <v>43038</v>
      </c>
      <c r="C214" s="410" t="s">
        <v>4031</v>
      </c>
      <c r="D214" s="410" t="s">
        <v>4030</v>
      </c>
      <c r="E214" s="404" t="s">
        <v>3969</v>
      </c>
      <c r="F214" s="404">
        <v>1</v>
      </c>
      <c r="G214" s="404" t="s">
        <v>2828</v>
      </c>
      <c r="H214" s="404" t="s">
        <v>3423</v>
      </c>
      <c r="I214" s="404" t="s">
        <v>3211</v>
      </c>
      <c r="J214" s="422">
        <v>43069</v>
      </c>
      <c r="K214" s="437"/>
      <c r="L214" s="437"/>
      <c r="M214" s="404" t="s">
        <v>2853</v>
      </c>
      <c r="N214" s="404" t="s">
        <v>2088</v>
      </c>
      <c r="O214" s="422">
        <v>43046</v>
      </c>
      <c r="P214" s="406" t="s">
        <v>4224</v>
      </c>
      <c r="Q214" s="404" t="s">
        <v>2829</v>
      </c>
      <c r="R214" s="423"/>
      <c r="S214" s="420">
        <f t="shared" si="3"/>
        <v>8</v>
      </c>
    </row>
    <row r="215" spans="1:19" ht="102" x14ac:dyDescent="0.2">
      <c r="A215" s="407" t="s">
        <v>4032</v>
      </c>
      <c r="B215" s="424">
        <v>43039</v>
      </c>
      <c r="C215" s="409" t="s">
        <v>4034</v>
      </c>
      <c r="D215" s="409" t="s">
        <v>4035</v>
      </c>
      <c r="E215" s="406" t="s">
        <v>4033</v>
      </c>
      <c r="F215" s="406">
        <v>1</v>
      </c>
      <c r="G215" s="406" t="s">
        <v>2828</v>
      </c>
      <c r="H215" s="406" t="s">
        <v>3423</v>
      </c>
      <c r="I215" s="406" t="s">
        <v>3211</v>
      </c>
      <c r="J215" s="424">
        <v>43053</v>
      </c>
      <c r="K215" s="400"/>
      <c r="L215" s="400"/>
      <c r="M215" s="406" t="s">
        <v>2853</v>
      </c>
      <c r="N215" s="406" t="s">
        <v>2088</v>
      </c>
      <c r="O215" s="424">
        <v>43040</v>
      </c>
      <c r="P215" s="406" t="s">
        <v>4224</v>
      </c>
      <c r="Q215" s="406" t="s">
        <v>2829</v>
      </c>
      <c r="R215" s="412"/>
      <c r="S215" s="419">
        <f t="shared" si="3"/>
        <v>1</v>
      </c>
    </row>
    <row r="216" spans="1:19" ht="51" x14ac:dyDescent="0.2">
      <c r="A216" s="408" t="s">
        <v>4036</v>
      </c>
      <c r="B216" s="422">
        <v>43041</v>
      </c>
      <c r="C216" s="410" t="s">
        <v>4037</v>
      </c>
      <c r="D216" s="410" t="s">
        <v>4038</v>
      </c>
      <c r="E216" s="404" t="s">
        <v>3825</v>
      </c>
      <c r="F216" s="404">
        <v>2</v>
      </c>
      <c r="G216" s="404" t="s">
        <v>2828</v>
      </c>
      <c r="H216" s="404" t="s">
        <v>2058</v>
      </c>
      <c r="I216" s="404" t="s">
        <v>3211</v>
      </c>
      <c r="J216" s="422">
        <v>43071</v>
      </c>
      <c r="K216" s="437"/>
      <c r="L216" s="437"/>
      <c r="M216" s="404" t="s">
        <v>2853</v>
      </c>
      <c r="N216" s="404" t="s">
        <v>2088</v>
      </c>
      <c r="O216" s="422">
        <v>43041</v>
      </c>
      <c r="P216" s="406" t="s">
        <v>4224</v>
      </c>
      <c r="Q216" s="404" t="s">
        <v>2829</v>
      </c>
      <c r="R216" s="423"/>
      <c r="S216" s="420">
        <f t="shared" si="3"/>
        <v>0</v>
      </c>
    </row>
    <row r="217" spans="1:19" ht="51" x14ac:dyDescent="0.2">
      <c r="A217" s="407" t="s">
        <v>4039</v>
      </c>
      <c r="B217" s="424">
        <v>43041</v>
      </c>
      <c r="C217" s="409" t="s">
        <v>4040</v>
      </c>
      <c r="D217" s="409" t="s">
        <v>4041</v>
      </c>
      <c r="E217" s="406" t="s">
        <v>2971</v>
      </c>
      <c r="F217" s="406">
        <v>1</v>
      </c>
      <c r="G217" s="406" t="s">
        <v>2841</v>
      </c>
      <c r="H217" s="406" t="s">
        <v>516</v>
      </c>
      <c r="I217" s="406" t="s">
        <v>229</v>
      </c>
      <c r="J217" s="424">
        <v>43098</v>
      </c>
      <c r="K217" s="400"/>
      <c r="L217" s="400"/>
      <c r="M217" s="406" t="s">
        <v>2853</v>
      </c>
      <c r="N217" s="406" t="s">
        <v>2088</v>
      </c>
      <c r="O217" s="424">
        <v>43070</v>
      </c>
      <c r="P217" s="406" t="s">
        <v>4224</v>
      </c>
      <c r="Q217" s="406" t="s">
        <v>2829</v>
      </c>
      <c r="R217" s="412"/>
      <c r="S217" s="419">
        <f t="shared" si="3"/>
        <v>29</v>
      </c>
    </row>
    <row r="218" spans="1:19" ht="51" x14ac:dyDescent="0.2">
      <c r="A218" s="408" t="s">
        <v>4042</v>
      </c>
      <c r="B218" s="422">
        <v>43045</v>
      </c>
      <c r="C218" s="410" t="s">
        <v>4043</v>
      </c>
      <c r="D218" s="410" t="s">
        <v>4044</v>
      </c>
      <c r="E218" s="404" t="s">
        <v>3825</v>
      </c>
      <c r="F218" s="404">
        <v>1</v>
      </c>
      <c r="G218" s="404" t="s">
        <v>2828</v>
      </c>
      <c r="H218" s="404" t="s">
        <v>2058</v>
      </c>
      <c r="I218" s="404" t="s">
        <v>3926</v>
      </c>
      <c r="J218" s="422">
        <v>43075</v>
      </c>
      <c r="K218" s="437"/>
      <c r="L218" s="437"/>
      <c r="M218" s="404" t="s">
        <v>2853</v>
      </c>
      <c r="N218" s="404" t="s">
        <v>2088</v>
      </c>
      <c r="O218" s="422">
        <v>43045</v>
      </c>
      <c r="P218" s="406" t="s">
        <v>4224</v>
      </c>
      <c r="Q218" s="404" t="s">
        <v>2829</v>
      </c>
      <c r="R218" s="423"/>
      <c r="S218" s="420">
        <f t="shared" si="3"/>
        <v>0</v>
      </c>
    </row>
    <row r="219" spans="1:19" ht="89.25" x14ac:dyDescent="0.2">
      <c r="A219" s="407" t="s">
        <v>4045</v>
      </c>
      <c r="B219" s="424">
        <v>43045</v>
      </c>
      <c r="C219" s="409" t="s">
        <v>4143</v>
      </c>
      <c r="D219" s="409" t="s">
        <v>4144</v>
      </c>
      <c r="E219" s="406" t="s">
        <v>3586</v>
      </c>
      <c r="F219" s="406">
        <v>1</v>
      </c>
      <c r="G219" s="406" t="s">
        <v>2828</v>
      </c>
      <c r="H219" s="406" t="s">
        <v>3167</v>
      </c>
      <c r="I219" s="406" t="s">
        <v>3211</v>
      </c>
      <c r="J219" s="424">
        <v>43131</v>
      </c>
      <c r="K219" s="400"/>
      <c r="L219" s="400"/>
      <c r="M219" s="406" t="s">
        <v>2853</v>
      </c>
      <c r="N219" s="406" t="s">
        <v>2088</v>
      </c>
      <c r="O219" s="424">
        <v>43124</v>
      </c>
      <c r="P219" s="406" t="s">
        <v>4224</v>
      </c>
      <c r="Q219" s="406" t="s">
        <v>2832</v>
      </c>
      <c r="R219" s="412"/>
      <c r="S219" s="419">
        <f t="shared" si="3"/>
        <v>79</v>
      </c>
    </row>
    <row r="220" spans="1:19" ht="63.75" x14ac:dyDescent="0.2">
      <c r="A220" s="408" t="s">
        <v>4046</v>
      </c>
      <c r="B220" s="422">
        <v>43046</v>
      </c>
      <c r="C220" s="410" t="s">
        <v>4047</v>
      </c>
      <c r="D220" s="410" t="s">
        <v>4048</v>
      </c>
      <c r="E220" s="404" t="s">
        <v>2971</v>
      </c>
      <c r="F220" s="404">
        <v>1</v>
      </c>
      <c r="G220" s="404" t="s">
        <v>2828</v>
      </c>
      <c r="H220" s="404" t="s">
        <v>3211</v>
      </c>
      <c r="I220" s="404" t="s">
        <v>441</v>
      </c>
      <c r="J220" s="422">
        <v>43098</v>
      </c>
      <c r="K220" s="437"/>
      <c r="L220" s="437"/>
      <c r="M220" s="404" t="s">
        <v>2853</v>
      </c>
      <c r="N220" s="404" t="s">
        <v>2088</v>
      </c>
      <c r="O220" s="422">
        <v>43048</v>
      </c>
      <c r="P220" s="406" t="s">
        <v>4224</v>
      </c>
      <c r="Q220" s="404" t="s">
        <v>2829</v>
      </c>
      <c r="R220" s="423"/>
      <c r="S220" s="420">
        <f t="shared" si="3"/>
        <v>2</v>
      </c>
    </row>
    <row r="221" spans="1:19" ht="38.25" x14ac:dyDescent="0.2">
      <c r="A221" s="407" t="s">
        <v>4049</v>
      </c>
      <c r="B221" s="424">
        <v>43047</v>
      </c>
      <c r="C221" s="409" t="s">
        <v>4052</v>
      </c>
      <c r="D221" s="409" t="s">
        <v>4053</v>
      </c>
      <c r="E221" s="406" t="s">
        <v>2971</v>
      </c>
      <c r="F221" s="406">
        <v>1</v>
      </c>
      <c r="G221" s="406" t="s">
        <v>2841</v>
      </c>
      <c r="H221" s="406" t="s">
        <v>2067</v>
      </c>
      <c r="I221" s="406" t="s">
        <v>229</v>
      </c>
      <c r="J221" s="424">
        <v>43098</v>
      </c>
      <c r="K221" s="400"/>
      <c r="L221" s="400"/>
      <c r="M221" s="406" t="s">
        <v>2853</v>
      </c>
      <c r="N221" s="406" t="s">
        <v>3022</v>
      </c>
      <c r="O221" s="424">
        <v>43209</v>
      </c>
      <c r="P221" s="406" t="s">
        <v>2912</v>
      </c>
      <c r="Q221" s="406" t="s">
        <v>2835</v>
      </c>
      <c r="R221" s="412"/>
      <c r="S221" s="419">
        <f t="shared" si="3"/>
        <v>162</v>
      </c>
    </row>
    <row r="222" spans="1:19" ht="38.25" x14ac:dyDescent="0.2">
      <c r="A222" s="408" t="s">
        <v>4050</v>
      </c>
      <c r="B222" s="422">
        <v>43047</v>
      </c>
      <c r="C222" s="410" t="s">
        <v>4054</v>
      </c>
      <c r="D222" s="410" t="s">
        <v>3177</v>
      </c>
      <c r="E222" s="404" t="s">
        <v>2971</v>
      </c>
      <c r="F222" s="404">
        <v>1</v>
      </c>
      <c r="G222" s="404" t="s">
        <v>2841</v>
      </c>
      <c r="H222" s="404" t="s">
        <v>3211</v>
      </c>
      <c r="I222" s="404" t="s">
        <v>229</v>
      </c>
      <c r="J222" s="422">
        <v>43098</v>
      </c>
      <c r="K222" s="437"/>
      <c r="L222" s="437"/>
      <c r="M222" s="404" t="s">
        <v>2853</v>
      </c>
      <c r="N222" s="404" t="s">
        <v>2088</v>
      </c>
      <c r="O222" s="422">
        <v>43067</v>
      </c>
      <c r="P222" s="406" t="s">
        <v>4224</v>
      </c>
      <c r="Q222" s="404" t="s">
        <v>2829</v>
      </c>
      <c r="R222" s="423"/>
      <c r="S222" s="420">
        <f t="shared" si="3"/>
        <v>20</v>
      </c>
    </row>
    <row r="223" spans="1:19" ht="51" x14ac:dyDescent="0.2">
      <c r="A223" s="407" t="s">
        <v>4051</v>
      </c>
      <c r="B223" s="424">
        <v>43047</v>
      </c>
      <c r="C223" s="409" t="s">
        <v>4055</v>
      </c>
      <c r="D223" s="409" t="s">
        <v>3873</v>
      </c>
      <c r="E223" s="406" t="s">
        <v>2971</v>
      </c>
      <c r="F223" s="406">
        <v>1</v>
      </c>
      <c r="G223" s="406" t="s">
        <v>2841</v>
      </c>
      <c r="H223" s="406" t="s">
        <v>229</v>
      </c>
      <c r="I223" s="406" t="s">
        <v>229</v>
      </c>
      <c r="J223" s="424">
        <v>43098</v>
      </c>
      <c r="K223" s="400"/>
      <c r="L223" s="400"/>
      <c r="M223" s="406" t="s">
        <v>2853</v>
      </c>
      <c r="N223" s="406" t="s">
        <v>2088</v>
      </c>
      <c r="O223" s="424">
        <v>43070</v>
      </c>
      <c r="P223" s="406" t="s">
        <v>4224</v>
      </c>
      <c r="Q223" s="406" t="s">
        <v>2829</v>
      </c>
      <c r="R223" s="412"/>
      <c r="S223" s="419">
        <f t="shared" si="3"/>
        <v>23</v>
      </c>
    </row>
    <row r="224" spans="1:19" ht="38.25" x14ac:dyDescent="0.2">
      <c r="A224" s="408" t="s">
        <v>4056</v>
      </c>
      <c r="B224" s="422">
        <v>43047</v>
      </c>
      <c r="C224" s="410" t="s">
        <v>4057</v>
      </c>
      <c r="D224" s="410" t="s">
        <v>4058</v>
      </c>
      <c r="E224" s="404" t="s">
        <v>2971</v>
      </c>
      <c r="F224" s="404">
        <v>1</v>
      </c>
      <c r="G224" s="404" t="s">
        <v>2841</v>
      </c>
      <c r="H224" s="404" t="s">
        <v>229</v>
      </c>
      <c r="I224" s="404" t="s">
        <v>229</v>
      </c>
      <c r="J224" s="422">
        <v>43098</v>
      </c>
      <c r="K224" s="437"/>
      <c r="L224" s="437"/>
      <c r="M224" s="404" t="s">
        <v>2853</v>
      </c>
      <c r="N224" s="404" t="s">
        <v>2912</v>
      </c>
      <c r="O224" s="422">
        <v>43677</v>
      </c>
      <c r="P224" s="404" t="s">
        <v>3022</v>
      </c>
      <c r="Q224" s="404" t="s">
        <v>2839</v>
      </c>
      <c r="R224" s="423"/>
      <c r="S224" s="420">
        <f t="shared" si="3"/>
        <v>630</v>
      </c>
    </row>
    <row r="225" spans="1:19" ht="38.25" x14ac:dyDescent="0.2">
      <c r="A225" s="407" t="s">
        <v>4059</v>
      </c>
      <c r="B225" s="424">
        <v>43047</v>
      </c>
      <c r="C225" s="409" t="s">
        <v>4060</v>
      </c>
      <c r="D225" s="409" t="s">
        <v>4061</v>
      </c>
      <c r="E225" s="406" t="s">
        <v>2971</v>
      </c>
      <c r="F225" s="406">
        <v>1</v>
      </c>
      <c r="G225" s="406" t="s">
        <v>2841</v>
      </c>
      <c r="H225" s="406" t="s">
        <v>3227</v>
      </c>
      <c r="I225" s="406" t="s">
        <v>229</v>
      </c>
      <c r="J225" s="424">
        <v>43098</v>
      </c>
      <c r="K225" s="400"/>
      <c r="L225" s="400"/>
      <c r="M225" s="406" t="s">
        <v>2853</v>
      </c>
      <c r="N225" s="406" t="s">
        <v>2088</v>
      </c>
      <c r="O225" s="424">
        <v>43055</v>
      </c>
      <c r="P225" s="406" t="s">
        <v>3061</v>
      </c>
      <c r="Q225" s="406" t="s">
        <v>2829</v>
      </c>
      <c r="R225" s="412"/>
      <c r="S225" s="419">
        <f t="shared" si="3"/>
        <v>8</v>
      </c>
    </row>
    <row r="226" spans="1:19" ht="38.25" x14ac:dyDescent="0.2">
      <c r="A226" s="408" t="s">
        <v>4062</v>
      </c>
      <c r="B226" s="422">
        <v>43052</v>
      </c>
      <c r="C226" s="410" t="s">
        <v>4063</v>
      </c>
      <c r="D226" s="410" t="s">
        <v>4048</v>
      </c>
      <c r="E226" s="404" t="s">
        <v>2971</v>
      </c>
      <c r="F226" s="404">
        <v>1</v>
      </c>
      <c r="G226" s="404" t="s">
        <v>2841</v>
      </c>
      <c r="H226" s="404" t="s">
        <v>3167</v>
      </c>
      <c r="I226" s="404" t="s">
        <v>3211</v>
      </c>
      <c r="J226" s="422">
        <v>43098</v>
      </c>
      <c r="K226" s="437"/>
      <c r="L226" s="437"/>
      <c r="M226" s="404" t="s">
        <v>2853</v>
      </c>
      <c r="N226" s="404" t="s">
        <v>2088</v>
      </c>
      <c r="O226" s="422">
        <v>43280</v>
      </c>
      <c r="P226" s="404" t="s">
        <v>3022</v>
      </c>
      <c r="Q226" s="404" t="s">
        <v>2837</v>
      </c>
      <c r="R226" s="423"/>
      <c r="S226" s="420">
        <f t="shared" si="3"/>
        <v>228</v>
      </c>
    </row>
    <row r="227" spans="1:19" ht="51" x14ac:dyDescent="0.2">
      <c r="A227" s="407" t="s">
        <v>4064</v>
      </c>
      <c r="B227" s="424">
        <v>43054</v>
      </c>
      <c r="C227" s="409" t="s">
        <v>4065</v>
      </c>
      <c r="D227" s="409" t="s">
        <v>4066</v>
      </c>
      <c r="E227" s="406" t="s">
        <v>3519</v>
      </c>
      <c r="F227" s="406">
        <v>1</v>
      </c>
      <c r="G227" s="406" t="s">
        <v>2828</v>
      </c>
      <c r="H227" s="406" t="s">
        <v>3842</v>
      </c>
      <c r="I227" s="406" t="s">
        <v>3211</v>
      </c>
      <c r="J227" s="424">
        <v>43069</v>
      </c>
      <c r="K227" s="400"/>
      <c r="L227" s="400"/>
      <c r="M227" s="406" t="s">
        <v>2853</v>
      </c>
      <c r="N227" s="406" t="s">
        <v>2088</v>
      </c>
      <c r="O227" s="424">
        <v>43056</v>
      </c>
      <c r="P227" s="406" t="s">
        <v>3061</v>
      </c>
      <c r="Q227" s="406" t="s">
        <v>2829</v>
      </c>
      <c r="R227" s="412"/>
      <c r="S227" s="419">
        <f t="shared" si="3"/>
        <v>2</v>
      </c>
    </row>
    <row r="228" spans="1:19" ht="89.25" x14ac:dyDescent="0.2">
      <c r="A228" s="408" t="s">
        <v>4067</v>
      </c>
      <c r="B228" s="422">
        <v>43054</v>
      </c>
      <c r="C228" s="410" t="s">
        <v>4068</v>
      </c>
      <c r="D228" s="410" t="s">
        <v>4069</v>
      </c>
      <c r="E228" s="404" t="s">
        <v>3825</v>
      </c>
      <c r="F228" s="404">
        <v>1</v>
      </c>
      <c r="G228" s="404" t="s">
        <v>2828</v>
      </c>
      <c r="H228" s="404" t="s">
        <v>2058</v>
      </c>
      <c r="I228" s="404" t="s">
        <v>3211</v>
      </c>
      <c r="J228" s="422">
        <v>43084</v>
      </c>
      <c r="K228" s="437"/>
      <c r="L228" s="437"/>
      <c r="M228" s="404" t="s">
        <v>2853</v>
      </c>
      <c r="N228" s="404" t="s">
        <v>2088</v>
      </c>
      <c r="O228" s="422">
        <v>43056</v>
      </c>
      <c r="P228" s="404" t="s">
        <v>3061</v>
      </c>
      <c r="Q228" s="404" t="s">
        <v>2829</v>
      </c>
      <c r="R228" s="423"/>
      <c r="S228" s="420">
        <f t="shared" si="3"/>
        <v>2</v>
      </c>
    </row>
    <row r="229" spans="1:19" ht="38.25" x14ac:dyDescent="0.2">
      <c r="A229" s="407" t="s">
        <v>4070</v>
      </c>
      <c r="B229" s="424">
        <v>43054</v>
      </c>
      <c r="C229" s="409" t="s">
        <v>4071</v>
      </c>
      <c r="D229" s="409" t="s">
        <v>3873</v>
      </c>
      <c r="E229" s="406" t="s">
        <v>2971</v>
      </c>
      <c r="F229" s="406">
        <v>1</v>
      </c>
      <c r="G229" s="406" t="s">
        <v>2841</v>
      </c>
      <c r="H229" s="406" t="s">
        <v>229</v>
      </c>
      <c r="I229" s="406" t="s">
        <v>229</v>
      </c>
      <c r="J229" s="424">
        <v>43098</v>
      </c>
      <c r="K229" s="400"/>
      <c r="L229" s="400"/>
      <c r="M229" s="406" t="s">
        <v>2853</v>
      </c>
      <c r="N229" s="406" t="s">
        <v>2088</v>
      </c>
      <c r="O229" s="424">
        <v>43061</v>
      </c>
      <c r="P229" s="406" t="s">
        <v>3061</v>
      </c>
      <c r="Q229" s="406" t="s">
        <v>2829</v>
      </c>
      <c r="R229" s="412"/>
      <c r="S229" s="419">
        <f t="shared" si="3"/>
        <v>7</v>
      </c>
    </row>
    <row r="230" spans="1:19" ht="165.75" x14ac:dyDescent="0.2">
      <c r="A230" s="408" t="s">
        <v>4072</v>
      </c>
      <c r="B230" s="422">
        <v>43055</v>
      </c>
      <c r="C230" s="410" t="s">
        <v>4073</v>
      </c>
      <c r="D230" s="410" t="s">
        <v>3873</v>
      </c>
      <c r="E230" s="404" t="s">
        <v>3825</v>
      </c>
      <c r="F230" s="404">
        <v>1</v>
      </c>
      <c r="G230" s="404" t="s">
        <v>2838</v>
      </c>
      <c r="H230" s="404" t="s">
        <v>685</v>
      </c>
      <c r="I230" s="404" t="s">
        <v>229</v>
      </c>
      <c r="J230" s="422">
        <v>43056</v>
      </c>
      <c r="K230" s="437"/>
      <c r="L230" s="437"/>
      <c r="M230" s="404" t="s">
        <v>2853</v>
      </c>
      <c r="N230" s="404" t="s">
        <v>2088</v>
      </c>
      <c r="O230" s="422">
        <v>43056</v>
      </c>
      <c r="P230" s="404" t="s">
        <v>3061</v>
      </c>
      <c r="Q230" s="404" t="s">
        <v>2829</v>
      </c>
      <c r="R230" s="423"/>
      <c r="S230" s="420">
        <f t="shared" ref="S230:S247" si="4">O230-B230</f>
        <v>1</v>
      </c>
    </row>
    <row r="231" spans="1:19" ht="102" x14ac:dyDescent="0.2">
      <c r="A231" s="407" t="s">
        <v>4074</v>
      </c>
      <c r="B231" s="424">
        <v>43056</v>
      </c>
      <c r="C231" s="409" t="s">
        <v>4075</v>
      </c>
      <c r="D231" s="409" t="s">
        <v>3873</v>
      </c>
      <c r="E231" s="406" t="s">
        <v>2971</v>
      </c>
      <c r="F231" s="406">
        <v>1</v>
      </c>
      <c r="G231" s="406" t="s">
        <v>2836</v>
      </c>
      <c r="H231" s="406" t="s">
        <v>2106</v>
      </c>
      <c r="I231" s="406" t="s">
        <v>3211</v>
      </c>
      <c r="J231" s="425" t="s">
        <v>4564</v>
      </c>
      <c r="K231" s="400"/>
      <c r="L231" s="400"/>
      <c r="M231" s="406" t="s">
        <v>5056</v>
      </c>
      <c r="N231" s="406" t="s">
        <v>4224</v>
      </c>
      <c r="O231" s="424">
        <v>43656</v>
      </c>
      <c r="P231" s="406" t="s">
        <v>3022</v>
      </c>
      <c r="Q231" s="406" t="s">
        <v>2839</v>
      </c>
      <c r="R231" s="412"/>
      <c r="S231" s="419">
        <f t="shared" si="4"/>
        <v>600</v>
      </c>
    </row>
    <row r="232" spans="1:19" ht="51" x14ac:dyDescent="0.2">
      <c r="A232" s="408" t="s">
        <v>4076</v>
      </c>
      <c r="B232" s="422">
        <v>43059</v>
      </c>
      <c r="C232" s="410" t="s">
        <v>4077</v>
      </c>
      <c r="D232" s="410" t="s">
        <v>3307</v>
      </c>
      <c r="E232" s="404" t="s">
        <v>2971</v>
      </c>
      <c r="F232" s="404">
        <v>1</v>
      </c>
      <c r="G232" s="404" t="s">
        <v>2841</v>
      </c>
      <c r="H232" s="404" t="s">
        <v>4021</v>
      </c>
      <c r="I232" s="404" t="s">
        <v>229</v>
      </c>
      <c r="J232" s="422">
        <v>43098</v>
      </c>
      <c r="K232" s="437"/>
      <c r="L232" s="437"/>
      <c r="M232" s="404" t="s">
        <v>2853</v>
      </c>
      <c r="N232" s="404" t="s">
        <v>2088</v>
      </c>
      <c r="O232" s="422">
        <v>43087</v>
      </c>
      <c r="P232" s="404" t="s">
        <v>3061</v>
      </c>
      <c r="Q232" s="404" t="s">
        <v>2829</v>
      </c>
      <c r="R232" s="423"/>
      <c r="S232" s="420">
        <f t="shared" si="4"/>
        <v>28</v>
      </c>
    </row>
    <row r="233" spans="1:19" ht="102" x14ac:dyDescent="0.2">
      <c r="A233" s="407" t="s">
        <v>4078</v>
      </c>
      <c r="B233" s="424">
        <v>43060</v>
      </c>
      <c r="C233" s="409" t="s">
        <v>4080</v>
      </c>
      <c r="D233" s="409" t="s">
        <v>4081</v>
      </c>
      <c r="E233" s="406" t="s">
        <v>3084</v>
      </c>
      <c r="F233" s="406">
        <v>1</v>
      </c>
      <c r="G233" s="406" t="s">
        <v>2828</v>
      </c>
      <c r="H233" s="406" t="s">
        <v>4079</v>
      </c>
      <c r="I233" s="406" t="s">
        <v>3926</v>
      </c>
      <c r="J233" s="424">
        <v>43098</v>
      </c>
      <c r="K233" s="400"/>
      <c r="L233" s="400"/>
      <c r="M233" s="406" t="s">
        <v>2853</v>
      </c>
      <c r="N233" s="406" t="s">
        <v>2088</v>
      </c>
      <c r="O233" s="424">
        <v>43112</v>
      </c>
      <c r="P233" s="406" t="s">
        <v>3022</v>
      </c>
      <c r="Q233" s="406" t="s">
        <v>2829</v>
      </c>
      <c r="R233" s="412" t="s">
        <v>4225</v>
      </c>
      <c r="S233" s="419">
        <f t="shared" si="4"/>
        <v>52</v>
      </c>
    </row>
    <row r="234" spans="1:19" ht="63.75" x14ac:dyDescent="0.2">
      <c r="A234" s="408" t="s">
        <v>4082</v>
      </c>
      <c r="B234" s="422">
        <v>43060</v>
      </c>
      <c r="C234" s="410" t="s">
        <v>4084</v>
      </c>
      <c r="D234" s="410" t="s">
        <v>4083</v>
      </c>
      <c r="E234" s="404" t="s">
        <v>2971</v>
      </c>
      <c r="F234" s="404">
        <v>1</v>
      </c>
      <c r="G234" s="404" t="s">
        <v>2841</v>
      </c>
      <c r="H234" s="404" t="s">
        <v>229</v>
      </c>
      <c r="I234" s="404" t="s">
        <v>229</v>
      </c>
      <c r="J234" s="422">
        <v>43098</v>
      </c>
      <c r="K234" s="437"/>
      <c r="L234" s="437"/>
      <c r="M234" s="404" t="s">
        <v>2853</v>
      </c>
      <c r="N234" s="404" t="s">
        <v>2088</v>
      </c>
      <c r="O234" s="422">
        <v>43081</v>
      </c>
      <c r="P234" s="404" t="s">
        <v>3061</v>
      </c>
      <c r="Q234" s="404" t="s">
        <v>2829</v>
      </c>
      <c r="R234" s="423"/>
      <c r="S234" s="420">
        <f t="shared" si="4"/>
        <v>21</v>
      </c>
    </row>
    <row r="235" spans="1:19" ht="165.75" x14ac:dyDescent="0.2">
      <c r="A235" s="407" t="s">
        <v>4085</v>
      </c>
      <c r="B235" s="424">
        <v>43061</v>
      </c>
      <c r="C235" s="409" t="s">
        <v>4087</v>
      </c>
      <c r="D235" s="409" t="s">
        <v>4086</v>
      </c>
      <c r="E235" s="406" t="s">
        <v>3764</v>
      </c>
      <c r="F235" s="406">
        <v>1</v>
      </c>
      <c r="G235" s="406" t="s">
        <v>2828</v>
      </c>
      <c r="H235" s="406" t="s">
        <v>4079</v>
      </c>
      <c r="I235" s="406" t="s">
        <v>3926</v>
      </c>
      <c r="J235" s="424">
        <v>43091</v>
      </c>
      <c r="K235" s="400"/>
      <c r="L235" s="400"/>
      <c r="M235" s="406" t="s">
        <v>2853</v>
      </c>
      <c r="N235" s="406" t="s">
        <v>2088</v>
      </c>
      <c r="O235" s="424">
        <v>43076</v>
      </c>
      <c r="P235" s="406" t="s">
        <v>3061</v>
      </c>
      <c r="Q235" s="406" t="s">
        <v>2829</v>
      </c>
      <c r="R235" s="412"/>
      <c r="S235" s="419">
        <f t="shared" si="4"/>
        <v>15</v>
      </c>
    </row>
    <row r="236" spans="1:19" ht="51" x14ac:dyDescent="0.2">
      <c r="A236" s="408" t="s">
        <v>4088</v>
      </c>
      <c r="B236" s="422">
        <v>43067</v>
      </c>
      <c r="C236" s="410" t="s">
        <v>4089</v>
      </c>
      <c r="D236" s="410" t="s">
        <v>4083</v>
      </c>
      <c r="E236" s="404" t="s">
        <v>2971</v>
      </c>
      <c r="F236" s="404">
        <v>1</v>
      </c>
      <c r="G236" s="404" t="s">
        <v>2841</v>
      </c>
      <c r="H236" s="404" t="s">
        <v>229</v>
      </c>
      <c r="I236" s="404" t="s">
        <v>229</v>
      </c>
      <c r="J236" s="422">
        <v>43098</v>
      </c>
      <c r="K236" s="437"/>
      <c r="L236" s="437"/>
      <c r="M236" s="404" t="s">
        <v>2853</v>
      </c>
      <c r="N236" s="404" t="s">
        <v>3022</v>
      </c>
      <c r="O236" s="422">
        <v>43209</v>
      </c>
      <c r="P236" s="404" t="s">
        <v>3022</v>
      </c>
      <c r="Q236" s="404" t="s">
        <v>2835</v>
      </c>
      <c r="R236" s="423"/>
      <c r="S236" s="420">
        <f t="shared" si="4"/>
        <v>142</v>
      </c>
    </row>
    <row r="237" spans="1:19" ht="153" x14ac:dyDescent="0.2">
      <c r="A237" s="407" t="s">
        <v>4090</v>
      </c>
      <c r="B237" s="424">
        <v>43073</v>
      </c>
      <c r="C237" s="409" t="s">
        <v>4091</v>
      </c>
      <c r="D237" s="409" t="s">
        <v>4048</v>
      </c>
      <c r="E237" s="406" t="s">
        <v>2971</v>
      </c>
      <c r="F237" s="406">
        <v>1</v>
      </c>
      <c r="G237" s="406" t="s">
        <v>2831</v>
      </c>
      <c r="H237" s="406" t="s">
        <v>685</v>
      </c>
      <c r="I237" s="406" t="s">
        <v>3645</v>
      </c>
      <c r="J237" s="424">
        <v>43098</v>
      </c>
      <c r="K237" s="400"/>
      <c r="L237" s="400"/>
      <c r="M237" s="406" t="s">
        <v>2853</v>
      </c>
      <c r="N237" s="406" t="s">
        <v>2088</v>
      </c>
      <c r="O237" s="424">
        <v>43117</v>
      </c>
      <c r="P237" s="406" t="s">
        <v>2912</v>
      </c>
      <c r="Q237" s="406" t="s">
        <v>2835</v>
      </c>
      <c r="R237" s="412"/>
      <c r="S237" s="419">
        <f t="shared" si="4"/>
        <v>44</v>
      </c>
    </row>
    <row r="238" spans="1:19" ht="38.25" x14ac:dyDescent="0.2">
      <c r="A238" s="408" t="s">
        <v>4092</v>
      </c>
      <c r="B238" s="422">
        <v>43073</v>
      </c>
      <c r="C238" s="410" t="s">
        <v>4093</v>
      </c>
      <c r="D238" s="410" t="s">
        <v>4048</v>
      </c>
      <c r="E238" s="404" t="s">
        <v>2971</v>
      </c>
      <c r="F238" s="404">
        <v>1</v>
      </c>
      <c r="G238" s="404" t="s">
        <v>2841</v>
      </c>
      <c r="H238" s="404" t="s">
        <v>3211</v>
      </c>
      <c r="I238" s="404" t="s">
        <v>229</v>
      </c>
      <c r="J238" s="422">
        <v>43098</v>
      </c>
      <c r="K238" s="437"/>
      <c r="L238" s="437"/>
      <c r="M238" s="404" t="s">
        <v>2853</v>
      </c>
      <c r="N238" s="404" t="s">
        <v>2088</v>
      </c>
      <c r="O238" s="422">
        <v>43096</v>
      </c>
      <c r="P238" s="404" t="s">
        <v>3061</v>
      </c>
      <c r="Q238" s="404" t="s">
        <v>2829</v>
      </c>
      <c r="R238" s="423"/>
      <c r="S238" s="420">
        <f t="shared" si="4"/>
        <v>23</v>
      </c>
    </row>
    <row r="239" spans="1:19" ht="38.25" x14ac:dyDescent="0.2">
      <c r="A239" s="407" t="s">
        <v>4095</v>
      </c>
      <c r="B239" s="424">
        <v>43075</v>
      </c>
      <c r="C239" s="409" t="s">
        <v>4096</v>
      </c>
      <c r="D239" s="409" t="s">
        <v>4097</v>
      </c>
      <c r="E239" s="406" t="s">
        <v>3617</v>
      </c>
      <c r="F239" s="406">
        <v>2</v>
      </c>
      <c r="G239" s="406" t="s">
        <v>2828</v>
      </c>
      <c r="H239" s="406" t="s">
        <v>3423</v>
      </c>
      <c r="I239" s="406" t="s">
        <v>3211</v>
      </c>
      <c r="J239" s="424">
        <v>43075</v>
      </c>
      <c r="K239" s="400"/>
      <c r="L239" s="400"/>
      <c r="M239" s="406" t="s">
        <v>2853</v>
      </c>
      <c r="N239" s="406" t="s">
        <v>2088</v>
      </c>
      <c r="O239" s="424">
        <v>43075</v>
      </c>
      <c r="P239" s="406" t="s">
        <v>4224</v>
      </c>
      <c r="Q239" s="406" t="s">
        <v>2829</v>
      </c>
      <c r="R239" s="412"/>
      <c r="S239" s="419">
        <f t="shared" si="4"/>
        <v>0</v>
      </c>
    </row>
    <row r="240" spans="1:19" ht="51" x14ac:dyDescent="0.2">
      <c r="A240" s="408" t="s">
        <v>4098</v>
      </c>
      <c r="B240" s="422">
        <v>43075</v>
      </c>
      <c r="C240" s="410" t="s">
        <v>4100</v>
      </c>
      <c r="D240" s="410" t="s">
        <v>3873</v>
      </c>
      <c r="E240" s="404" t="s">
        <v>2971</v>
      </c>
      <c r="F240" s="404">
        <v>1</v>
      </c>
      <c r="G240" s="404" t="s">
        <v>2841</v>
      </c>
      <c r="H240" s="404" t="s">
        <v>3211</v>
      </c>
      <c r="I240" s="404" t="s">
        <v>3211</v>
      </c>
      <c r="J240" s="422">
        <v>43098</v>
      </c>
      <c r="K240" s="437"/>
      <c r="L240" s="437"/>
      <c r="M240" s="404" t="s">
        <v>2853</v>
      </c>
      <c r="N240" s="404" t="s">
        <v>3022</v>
      </c>
      <c r="O240" s="422">
        <v>43209</v>
      </c>
      <c r="P240" s="406" t="s">
        <v>2912</v>
      </c>
      <c r="Q240" s="404" t="s">
        <v>2835</v>
      </c>
      <c r="R240" s="423"/>
      <c r="S240" s="420">
        <f t="shared" si="4"/>
        <v>134</v>
      </c>
    </row>
    <row r="241" spans="1:19" ht="51" x14ac:dyDescent="0.2">
      <c r="A241" s="407" t="s">
        <v>4099</v>
      </c>
      <c r="B241" s="424">
        <v>43075</v>
      </c>
      <c r="C241" s="409" t="s">
        <v>4101</v>
      </c>
      <c r="D241" s="409" t="s">
        <v>4102</v>
      </c>
      <c r="E241" s="406" t="s">
        <v>2971</v>
      </c>
      <c r="F241" s="406">
        <v>1</v>
      </c>
      <c r="G241" s="406" t="s">
        <v>2841</v>
      </c>
      <c r="H241" s="406" t="s">
        <v>4021</v>
      </c>
      <c r="I241" s="406" t="s">
        <v>3211</v>
      </c>
      <c r="J241" s="424">
        <v>43098</v>
      </c>
      <c r="K241" s="400"/>
      <c r="L241" s="400"/>
      <c r="M241" s="406" t="s">
        <v>2853</v>
      </c>
      <c r="N241" s="406" t="s">
        <v>3022</v>
      </c>
      <c r="O241" s="424">
        <v>43257</v>
      </c>
      <c r="P241" s="406" t="s">
        <v>2912</v>
      </c>
      <c r="Q241" s="406" t="s">
        <v>2835</v>
      </c>
      <c r="R241" s="412"/>
      <c r="S241" s="419">
        <f t="shared" si="4"/>
        <v>182</v>
      </c>
    </row>
    <row r="242" spans="1:19" ht="51" x14ac:dyDescent="0.2">
      <c r="A242" s="408" t="s">
        <v>4103</v>
      </c>
      <c r="B242" s="422">
        <v>43076</v>
      </c>
      <c r="C242" s="410" t="s">
        <v>4104</v>
      </c>
      <c r="D242" s="410" t="s">
        <v>4105</v>
      </c>
      <c r="E242" s="404" t="s">
        <v>2971</v>
      </c>
      <c r="F242" s="404">
        <v>1</v>
      </c>
      <c r="G242" s="404" t="s">
        <v>2841</v>
      </c>
      <c r="H242" s="404" t="s">
        <v>3227</v>
      </c>
      <c r="I242" s="404" t="s">
        <v>3211</v>
      </c>
      <c r="J242" s="422">
        <v>43098</v>
      </c>
      <c r="K242" s="437"/>
      <c r="L242" s="437"/>
      <c r="M242" s="404" t="s">
        <v>2853</v>
      </c>
      <c r="N242" s="404" t="s">
        <v>4304</v>
      </c>
      <c r="O242" s="422">
        <v>43221</v>
      </c>
      <c r="P242" s="406" t="s">
        <v>2912</v>
      </c>
      <c r="Q242" s="404" t="s">
        <v>2835</v>
      </c>
      <c r="R242" s="423"/>
      <c r="S242" s="420">
        <f t="shared" si="4"/>
        <v>145</v>
      </c>
    </row>
    <row r="243" spans="1:19" ht="25.5" x14ac:dyDescent="0.2">
      <c r="A243" s="407" t="s">
        <v>4106</v>
      </c>
      <c r="B243" s="424">
        <v>43080</v>
      </c>
      <c r="C243" s="409" t="s">
        <v>4107</v>
      </c>
      <c r="D243" s="409" t="s">
        <v>4108</v>
      </c>
      <c r="E243" s="406" t="s">
        <v>2971</v>
      </c>
      <c r="F243" s="406">
        <v>1</v>
      </c>
      <c r="G243" s="406" t="s">
        <v>2838</v>
      </c>
      <c r="H243" s="406" t="s">
        <v>229</v>
      </c>
      <c r="I243" s="406" t="s">
        <v>229</v>
      </c>
      <c r="J243" s="424">
        <v>43098</v>
      </c>
      <c r="K243" s="400"/>
      <c r="L243" s="400"/>
      <c r="M243" s="406" t="s">
        <v>2853</v>
      </c>
      <c r="N243" s="406" t="s">
        <v>2088</v>
      </c>
      <c r="O243" s="424">
        <v>43081</v>
      </c>
      <c r="P243" s="406" t="s">
        <v>3061</v>
      </c>
      <c r="Q243" s="406" t="s">
        <v>2829</v>
      </c>
      <c r="R243" s="412"/>
      <c r="S243" s="419">
        <f t="shared" si="4"/>
        <v>1</v>
      </c>
    </row>
    <row r="244" spans="1:19" ht="51" x14ac:dyDescent="0.2">
      <c r="A244" s="408" t="s">
        <v>4109</v>
      </c>
      <c r="B244" s="422">
        <v>43081</v>
      </c>
      <c r="C244" s="410" t="s">
        <v>4112</v>
      </c>
      <c r="D244" s="410" t="s">
        <v>4110</v>
      </c>
      <c r="E244" s="404" t="s">
        <v>4111</v>
      </c>
      <c r="F244" s="404">
        <v>1</v>
      </c>
      <c r="G244" s="404" t="s">
        <v>2828</v>
      </c>
      <c r="H244" s="404" t="s">
        <v>3975</v>
      </c>
      <c r="I244" s="404" t="s">
        <v>3926</v>
      </c>
      <c r="J244" s="422">
        <v>42747</v>
      </c>
      <c r="K244" s="437"/>
      <c r="L244" s="437"/>
      <c r="M244" s="404" t="s">
        <v>2853</v>
      </c>
      <c r="N244" s="404" t="s">
        <v>2088</v>
      </c>
      <c r="O244" s="422">
        <v>43081</v>
      </c>
      <c r="P244" s="404" t="s">
        <v>3061</v>
      </c>
      <c r="Q244" s="404" t="s">
        <v>2829</v>
      </c>
      <c r="R244" s="423"/>
      <c r="S244" s="420">
        <f t="shared" si="4"/>
        <v>0</v>
      </c>
    </row>
    <row r="245" spans="1:19" ht="127.5" x14ac:dyDescent="0.2">
      <c r="A245" s="407" t="s">
        <v>4113</v>
      </c>
      <c r="B245" s="424">
        <v>43089</v>
      </c>
      <c r="C245" s="409" t="s">
        <v>4114</v>
      </c>
      <c r="D245" s="413" t="s">
        <v>4115</v>
      </c>
      <c r="E245" s="406" t="s">
        <v>2971</v>
      </c>
      <c r="F245" s="406">
        <v>1</v>
      </c>
      <c r="G245" s="406" t="s">
        <v>2838</v>
      </c>
      <c r="H245" s="406" t="s">
        <v>516</v>
      </c>
      <c r="I245" s="406" t="s">
        <v>229</v>
      </c>
      <c r="J245" s="424">
        <v>43131</v>
      </c>
      <c r="K245" s="400"/>
      <c r="L245" s="400"/>
      <c r="M245" s="406" t="s">
        <v>2853</v>
      </c>
      <c r="N245" s="406" t="s">
        <v>2088</v>
      </c>
      <c r="O245" s="424">
        <v>43096</v>
      </c>
      <c r="P245" s="406" t="s">
        <v>3061</v>
      </c>
      <c r="Q245" s="406" t="s">
        <v>2829</v>
      </c>
      <c r="R245" s="412" t="s">
        <v>5068</v>
      </c>
      <c r="S245" s="419">
        <f t="shared" si="4"/>
        <v>7</v>
      </c>
    </row>
    <row r="246" spans="1:19" ht="38.25" x14ac:dyDescent="0.2">
      <c r="A246" s="408" t="s">
        <v>4116</v>
      </c>
      <c r="B246" s="422">
        <v>43091</v>
      </c>
      <c r="C246" s="410" t="s">
        <v>4117</v>
      </c>
      <c r="D246" s="414" t="s">
        <v>4118</v>
      </c>
      <c r="E246" s="404" t="s">
        <v>2971</v>
      </c>
      <c r="F246" s="404">
        <v>1</v>
      </c>
      <c r="G246" s="404" t="s">
        <v>2838</v>
      </c>
      <c r="H246" s="404" t="s">
        <v>4119</v>
      </c>
      <c r="I246" s="404" t="s">
        <v>3211</v>
      </c>
      <c r="J246" s="422">
        <v>43112</v>
      </c>
      <c r="K246" s="437"/>
      <c r="L246" s="437"/>
      <c r="M246" s="404" t="s">
        <v>2853</v>
      </c>
      <c r="N246" s="404" t="s">
        <v>2088</v>
      </c>
      <c r="O246" s="422">
        <v>43091</v>
      </c>
      <c r="P246" s="404" t="s">
        <v>3061</v>
      </c>
      <c r="Q246" s="404" t="s">
        <v>2829</v>
      </c>
      <c r="R246" s="423"/>
      <c r="S246" s="420">
        <f t="shared" si="4"/>
        <v>0</v>
      </c>
    </row>
    <row r="247" spans="1:19" ht="63.75" x14ac:dyDescent="0.2">
      <c r="A247" s="415" t="s">
        <v>4120</v>
      </c>
      <c r="B247" s="426">
        <v>43096</v>
      </c>
      <c r="C247" s="416" t="s">
        <v>4121</v>
      </c>
      <c r="D247" s="417" t="s">
        <v>4122</v>
      </c>
      <c r="E247" s="418" t="s">
        <v>3825</v>
      </c>
      <c r="F247" s="418">
        <v>1</v>
      </c>
      <c r="G247" s="418" t="s">
        <v>2828</v>
      </c>
      <c r="H247" s="418" t="s">
        <v>2058</v>
      </c>
      <c r="I247" s="418" t="s">
        <v>3926</v>
      </c>
      <c r="J247" s="426">
        <v>43127</v>
      </c>
      <c r="K247" s="339"/>
      <c r="L247" s="339"/>
      <c r="M247" s="418" t="s">
        <v>2853</v>
      </c>
      <c r="N247" s="418" t="s">
        <v>2088</v>
      </c>
      <c r="O247" s="426">
        <v>43097</v>
      </c>
      <c r="P247" s="418" t="s">
        <v>3061</v>
      </c>
      <c r="Q247" s="418" t="s">
        <v>2829</v>
      </c>
      <c r="R247" s="427"/>
      <c r="S247" s="421">
        <f t="shared" si="4"/>
        <v>1</v>
      </c>
    </row>
    <row r="248" spans="1:19" ht="51" x14ac:dyDescent="0.2">
      <c r="A248" s="357" t="s">
        <v>4123</v>
      </c>
      <c r="B248" s="339">
        <v>43103</v>
      </c>
      <c r="C248" s="343" t="s">
        <v>4124</v>
      </c>
      <c r="D248" s="343" t="s">
        <v>4125</v>
      </c>
      <c r="E248" s="344" t="s">
        <v>3532</v>
      </c>
      <c r="F248" s="344">
        <v>1</v>
      </c>
      <c r="G248" s="344" t="s">
        <v>2828</v>
      </c>
      <c r="H248" s="344" t="s">
        <v>3975</v>
      </c>
      <c r="I248" s="344" t="s">
        <v>3926</v>
      </c>
      <c r="J248" s="339">
        <v>43134</v>
      </c>
      <c r="K248" s="339"/>
      <c r="L248" s="339"/>
      <c r="M248" s="344" t="s">
        <v>2853</v>
      </c>
      <c r="N248" s="344" t="s">
        <v>2088</v>
      </c>
      <c r="O248" s="339">
        <v>43108</v>
      </c>
      <c r="P248" s="353" t="s">
        <v>3061</v>
      </c>
      <c r="Q248" s="344" t="s">
        <v>2829</v>
      </c>
      <c r="R248" s="354"/>
      <c r="S248" s="354">
        <f>O248-B248</f>
        <v>5</v>
      </c>
    </row>
    <row r="249" spans="1:19" ht="51" x14ac:dyDescent="0.2">
      <c r="A249" s="340" t="s">
        <v>4126</v>
      </c>
      <c r="B249" s="345">
        <v>43103</v>
      </c>
      <c r="C249" s="341" t="s">
        <v>4127</v>
      </c>
      <c r="D249" s="341" t="s">
        <v>4128</v>
      </c>
      <c r="E249" s="342" t="s">
        <v>3777</v>
      </c>
      <c r="F249" s="342">
        <v>1</v>
      </c>
      <c r="G249" s="342" t="s">
        <v>2828</v>
      </c>
      <c r="H249" s="342" t="s">
        <v>2058</v>
      </c>
      <c r="I249" s="342" t="s">
        <v>3926</v>
      </c>
      <c r="J249" s="345">
        <v>43134</v>
      </c>
      <c r="K249" s="345"/>
      <c r="L249" s="345"/>
      <c r="M249" s="342" t="s">
        <v>2853</v>
      </c>
      <c r="N249" s="342" t="s">
        <v>2088</v>
      </c>
      <c r="O249" s="345">
        <v>43103</v>
      </c>
      <c r="P249" s="355" t="s">
        <v>3061</v>
      </c>
      <c r="Q249" s="342" t="s">
        <v>2829</v>
      </c>
      <c r="R249" s="356"/>
      <c r="S249" s="354">
        <f t="shared" ref="S249:S312" si="5">O249-B249</f>
        <v>0</v>
      </c>
    </row>
    <row r="250" spans="1:19" ht="51" x14ac:dyDescent="0.2">
      <c r="A250" s="338" t="s">
        <v>4129</v>
      </c>
      <c r="B250" s="339">
        <v>43108</v>
      </c>
      <c r="C250" s="343" t="s">
        <v>4130</v>
      </c>
      <c r="D250" s="343" t="s">
        <v>4131</v>
      </c>
      <c r="E250" s="344" t="s">
        <v>3335</v>
      </c>
      <c r="F250" s="344">
        <v>1</v>
      </c>
      <c r="G250" s="344" t="s">
        <v>2828</v>
      </c>
      <c r="H250" s="344" t="s">
        <v>3423</v>
      </c>
      <c r="I250" s="344" t="s">
        <v>3211</v>
      </c>
      <c r="J250" s="339">
        <v>43146</v>
      </c>
      <c r="K250" s="339"/>
      <c r="L250" s="339"/>
      <c r="M250" s="344" t="s">
        <v>2853</v>
      </c>
      <c r="N250" s="344" t="s">
        <v>2912</v>
      </c>
      <c r="O250" s="339">
        <v>43164</v>
      </c>
      <c r="P250" s="353" t="s">
        <v>3022</v>
      </c>
      <c r="Q250" s="344" t="s">
        <v>2832</v>
      </c>
      <c r="R250" s="354"/>
      <c r="S250" s="354">
        <f t="shared" si="5"/>
        <v>56</v>
      </c>
    </row>
    <row r="251" spans="1:19" ht="38.25" x14ac:dyDescent="0.2">
      <c r="A251" s="340" t="s">
        <v>4132</v>
      </c>
      <c r="B251" s="345">
        <v>43109</v>
      </c>
      <c r="C251" s="341" t="s">
        <v>4133</v>
      </c>
      <c r="D251" s="341" t="s">
        <v>4134</v>
      </c>
      <c r="E251" s="342" t="s">
        <v>2971</v>
      </c>
      <c r="F251" s="342">
        <v>1</v>
      </c>
      <c r="G251" s="342" t="s">
        <v>2836</v>
      </c>
      <c r="H251" s="342" t="s">
        <v>481</v>
      </c>
      <c r="I251" s="342" t="s">
        <v>229</v>
      </c>
      <c r="J251" s="345">
        <v>43220</v>
      </c>
      <c r="K251" s="345"/>
      <c r="L251" s="345"/>
      <c r="M251" s="342" t="s">
        <v>2853</v>
      </c>
      <c r="N251" s="342" t="s">
        <v>2088</v>
      </c>
      <c r="O251" s="345">
        <v>43209</v>
      </c>
      <c r="P251" s="355" t="s">
        <v>3061</v>
      </c>
      <c r="Q251" s="342" t="s">
        <v>2835</v>
      </c>
      <c r="R251" s="356"/>
      <c r="S251" s="354">
        <f t="shared" si="5"/>
        <v>100</v>
      </c>
    </row>
    <row r="252" spans="1:19" ht="51" x14ac:dyDescent="0.2">
      <c r="A252" s="338" t="s">
        <v>4135</v>
      </c>
      <c r="B252" s="339">
        <v>43111</v>
      </c>
      <c r="C252" s="343" t="s">
        <v>4136</v>
      </c>
      <c r="D252" s="343" t="s">
        <v>3518</v>
      </c>
      <c r="E252" s="344" t="s">
        <v>3825</v>
      </c>
      <c r="F252" s="344">
        <v>1</v>
      </c>
      <c r="G252" s="344" t="s">
        <v>2828</v>
      </c>
      <c r="H252" s="344" t="s">
        <v>4079</v>
      </c>
      <c r="I252" s="344" t="s">
        <v>3211</v>
      </c>
      <c r="J252" s="339">
        <v>43142</v>
      </c>
      <c r="K252" s="339"/>
      <c r="L252" s="339"/>
      <c r="M252" s="344" t="s">
        <v>2853</v>
      </c>
      <c r="N252" s="344" t="s">
        <v>2912</v>
      </c>
      <c r="O252" s="339">
        <v>43222</v>
      </c>
      <c r="P252" s="353" t="s">
        <v>3022</v>
      </c>
      <c r="Q252" s="344" t="s">
        <v>2835</v>
      </c>
      <c r="R252" s="354"/>
      <c r="S252" s="354">
        <f t="shared" si="5"/>
        <v>111</v>
      </c>
    </row>
    <row r="253" spans="1:19" ht="63.75" x14ac:dyDescent="0.2">
      <c r="A253" s="340" t="s">
        <v>4137</v>
      </c>
      <c r="B253" s="345">
        <v>43115</v>
      </c>
      <c r="C253" s="341" t="s">
        <v>4138</v>
      </c>
      <c r="D253" s="341" t="s">
        <v>4048</v>
      </c>
      <c r="E253" s="342" t="s">
        <v>2971</v>
      </c>
      <c r="F253" s="342">
        <v>1</v>
      </c>
      <c r="G253" s="342" t="s">
        <v>2841</v>
      </c>
      <c r="H253" s="342" t="s">
        <v>727</v>
      </c>
      <c r="I253" s="342" t="s">
        <v>229</v>
      </c>
      <c r="J253" s="345">
        <v>43190</v>
      </c>
      <c r="K253" s="345"/>
      <c r="L253" s="345"/>
      <c r="M253" s="342" t="s">
        <v>2853</v>
      </c>
      <c r="N253" s="342" t="s">
        <v>3022</v>
      </c>
      <c r="O253" s="345">
        <v>43209</v>
      </c>
      <c r="P253" s="355" t="s">
        <v>3022</v>
      </c>
      <c r="Q253" s="342" t="s">
        <v>2835</v>
      </c>
      <c r="R253" s="356"/>
      <c r="S253" s="354">
        <f t="shared" si="5"/>
        <v>94</v>
      </c>
    </row>
    <row r="254" spans="1:19" ht="102" x14ac:dyDescent="0.2">
      <c r="A254" s="338" t="s">
        <v>4139</v>
      </c>
      <c r="B254" s="339">
        <v>43115</v>
      </c>
      <c r="C254" s="343" t="s">
        <v>4140</v>
      </c>
      <c r="D254" s="343" t="s">
        <v>4141</v>
      </c>
      <c r="E254" s="344" t="s">
        <v>2971</v>
      </c>
      <c r="F254" s="344">
        <v>1</v>
      </c>
      <c r="G254" s="344" t="s">
        <v>2841</v>
      </c>
      <c r="H254" s="344" t="s">
        <v>4142</v>
      </c>
      <c r="I254" s="344" t="s">
        <v>229</v>
      </c>
      <c r="J254" s="339">
        <v>43190</v>
      </c>
      <c r="K254" s="339"/>
      <c r="L254" s="339"/>
      <c r="M254" s="344" t="s">
        <v>2853</v>
      </c>
      <c r="N254" s="344" t="s">
        <v>3022</v>
      </c>
      <c r="O254" s="339">
        <v>43312</v>
      </c>
      <c r="P254" s="353" t="s">
        <v>3022</v>
      </c>
      <c r="Q254" s="344" t="s">
        <v>4340</v>
      </c>
      <c r="R254" s="354"/>
      <c r="S254" s="354">
        <f t="shared" si="5"/>
        <v>197</v>
      </c>
    </row>
    <row r="255" spans="1:19" ht="76.5" x14ac:dyDescent="0.2">
      <c r="A255" s="340" t="s">
        <v>4145</v>
      </c>
      <c r="B255" s="345">
        <v>43118</v>
      </c>
      <c r="C255" s="341" t="s">
        <v>4146</v>
      </c>
      <c r="D255" s="341" t="s">
        <v>4141</v>
      </c>
      <c r="E255" s="342" t="s">
        <v>2971</v>
      </c>
      <c r="F255" s="342">
        <v>1</v>
      </c>
      <c r="G255" s="342" t="s">
        <v>2841</v>
      </c>
      <c r="H255" s="342" t="s">
        <v>229</v>
      </c>
      <c r="I255" s="342" t="s">
        <v>229</v>
      </c>
      <c r="J255" s="345">
        <v>43190</v>
      </c>
      <c r="K255" s="345"/>
      <c r="L255" s="345"/>
      <c r="M255" s="342" t="s">
        <v>2853</v>
      </c>
      <c r="N255" s="342" t="s">
        <v>3022</v>
      </c>
      <c r="O255" s="345">
        <v>43209</v>
      </c>
      <c r="P255" s="355" t="s">
        <v>3022</v>
      </c>
      <c r="Q255" s="342" t="s">
        <v>2835</v>
      </c>
      <c r="R255" s="356"/>
      <c r="S255" s="354">
        <f t="shared" si="5"/>
        <v>91</v>
      </c>
    </row>
    <row r="256" spans="1:19" ht="102" x14ac:dyDescent="0.2">
      <c r="A256" s="338" t="s">
        <v>4147</v>
      </c>
      <c r="B256" s="339">
        <v>43118</v>
      </c>
      <c r="C256" s="343" t="s">
        <v>4148</v>
      </c>
      <c r="D256" s="343" t="s">
        <v>4141</v>
      </c>
      <c r="E256" s="344" t="s">
        <v>2971</v>
      </c>
      <c r="F256" s="344">
        <v>1</v>
      </c>
      <c r="G256" s="344" t="s">
        <v>2841</v>
      </c>
      <c r="H256" s="344" t="s">
        <v>229</v>
      </c>
      <c r="I256" s="344" t="s">
        <v>229</v>
      </c>
      <c r="J256" s="339">
        <v>43190</v>
      </c>
      <c r="K256" s="339"/>
      <c r="L256" s="339"/>
      <c r="M256" s="344" t="s">
        <v>2853</v>
      </c>
      <c r="N256" s="344" t="s">
        <v>3022</v>
      </c>
      <c r="O256" s="339">
        <v>43209</v>
      </c>
      <c r="P256" s="353" t="s">
        <v>3022</v>
      </c>
      <c r="Q256" s="344" t="s">
        <v>2835</v>
      </c>
      <c r="R256" s="354"/>
      <c r="S256" s="354">
        <f t="shared" si="5"/>
        <v>91</v>
      </c>
    </row>
    <row r="257" spans="1:19" ht="140.25" x14ac:dyDescent="0.2">
      <c r="A257" s="340" t="s">
        <v>4151</v>
      </c>
      <c r="B257" s="345">
        <v>43119</v>
      </c>
      <c r="C257" s="341" t="s">
        <v>4150</v>
      </c>
      <c r="D257" s="341" t="s">
        <v>4149</v>
      </c>
      <c r="E257" s="342" t="s">
        <v>2971</v>
      </c>
      <c r="F257" s="342">
        <v>1</v>
      </c>
      <c r="G257" s="342" t="s">
        <v>2836</v>
      </c>
      <c r="H257" s="342" t="s">
        <v>481</v>
      </c>
      <c r="I257" s="342" t="s">
        <v>229</v>
      </c>
      <c r="J257" s="345">
        <v>43130</v>
      </c>
      <c r="K257" s="345"/>
      <c r="L257" s="345"/>
      <c r="M257" s="342" t="s">
        <v>1056</v>
      </c>
      <c r="N257" s="342" t="s">
        <v>2088</v>
      </c>
      <c r="O257" s="345" t="s">
        <v>2088</v>
      </c>
      <c r="P257" s="355" t="s">
        <v>2088</v>
      </c>
      <c r="Q257" s="342" t="s">
        <v>2088</v>
      </c>
      <c r="R257" s="356" t="s">
        <v>5013</v>
      </c>
      <c r="S257" s="354" t="e">
        <f t="shared" si="5"/>
        <v>#VALUE!</v>
      </c>
    </row>
    <row r="258" spans="1:19" ht="102" x14ac:dyDescent="0.2">
      <c r="A258" s="338" t="s">
        <v>4152</v>
      </c>
      <c r="B258" s="339">
        <v>43119</v>
      </c>
      <c r="C258" s="343" t="s">
        <v>4153</v>
      </c>
      <c r="D258" s="343" t="s">
        <v>4141</v>
      </c>
      <c r="E258" s="344" t="s">
        <v>2971</v>
      </c>
      <c r="F258" s="344">
        <v>1</v>
      </c>
      <c r="G258" s="344" t="s">
        <v>2841</v>
      </c>
      <c r="H258" s="344" t="s">
        <v>486</v>
      </c>
      <c r="I258" s="344" t="s">
        <v>229</v>
      </c>
      <c r="J258" s="339">
        <v>43190</v>
      </c>
      <c r="K258" s="339"/>
      <c r="L258" s="339"/>
      <c r="M258" s="344" t="s">
        <v>2853</v>
      </c>
      <c r="N258" s="344" t="s">
        <v>2912</v>
      </c>
      <c r="O258" s="339">
        <v>43209</v>
      </c>
      <c r="P258" s="353" t="s">
        <v>3022</v>
      </c>
      <c r="Q258" s="344" t="s">
        <v>2835</v>
      </c>
      <c r="R258" s="354"/>
      <c r="S258" s="354">
        <f t="shared" si="5"/>
        <v>90</v>
      </c>
    </row>
    <row r="259" spans="1:19" ht="140.25" x14ac:dyDescent="0.2">
      <c r="A259" s="340" t="s">
        <v>4154</v>
      </c>
      <c r="B259" s="345">
        <v>43119</v>
      </c>
      <c r="C259" s="341" t="s">
        <v>4155</v>
      </c>
      <c r="D259" s="341" t="s">
        <v>4141</v>
      </c>
      <c r="E259" s="342" t="s">
        <v>2971</v>
      </c>
      <c r="F259" s="342">
        <v>1</v>
      </c>
      <c r="G259" s="342" t="s">
        <v>2841</v>
      </c>
      <c r="H259" s="342" t="s">
        <v>229</v>
      </c>
      <c r="I259" s="342" t="s">
        <v>229</v>
      </c>
      <c r="J259" s="345">
        <v>43190</v>
      </c>
      <c r="K259" s="345"/>
      <c r="L259" s="345"/>
      <c r="M259" s="342" t="s">
        <v>2853</v>
      </c>
      <c r="N259" s="342" t="s">
        <v>2912</v>
      </c>
      <c r="O259" s="345">
        <v>43209</v>
      </c>
      <c r="P259" s="355" t="s">
        <v>3022</v>
      </c>
      <c r="Q259" s="342" t="s">
        <v>2835</v>
      </c>
      <c r="R259" s="356"/>
      <c r="S259" s="354">
        <f t="shared" si="5"/>
        <v>90</v>
      </c>
    </row>
    <row r="260" spans="1:19" ht="63.75" x14ac:dyDescent="0.2">
      <c r="A260" s="338" t="s">
        <v>4157</v>
      </c>
      <c r="B260" s="339">
        <v>43119</v>
      </c>
      <c r="C260" s="343" t="s">
        <v>4156</v>
      </c>
      <c r="D260" s="343" t="s">
        <v>4141</v>
      </c>
      <c r="E260" s="344" t="s">
        <v>2971</v>
      </c>
      <c r="F260" s="344">
        <v>1</v>
      </c>
      <c r="G260" s="344" t="s">
        <v>2841</v>
      </c>
      <c r="H260" s="344" t="s">
        <v>229</v>
      </c>
      <c r="I260" s="344" t="s">
        <v>229</v>
      </c>
      <c r="J260" s="339">
        <v>43190</v>
      </c>
      <c r="K260" s="339"/>
      <c r="L260" s="339"/>
      <c r="M260" s="344" t="s">
        <v>2853</v>
      </c>
      <c r="N260" s="344" t="s">
        <v>3022</v>
      </c>
      <c r="O260" s="339">
        <v>43209</v>
      </c>
      <c r="P260" s="353" t="s">
        <v>3022</v>
      </c>
      <c r="Q260" s="344" t="s">
        <v>2835</v>
      </c>
      <c r="R260" s="354"/>
      <c r="S260" s="354">
        <f t="shared" si="5"/>
        <v>90</v>
      </c>
    </row>
    <row r="261" spans="1:19" ht="51" x14ac:dyDescent="0.2">
      <c r="A261" s="340" t="s">
        <v>4158</v>
      </c>
      <c r="B261" s="345">
        <v>43129</v>
      </c>
      <c r="C261" s="341" t="s">
        <v>4159</v>
      </c>
      <c r="D261" s="341" t="s">
        <v>4160</v>
      </c>
      <c r="E261" s="342" t="s">
        <v>3825</v>
      </c>
      <c r="F261" s="342">
        <v>1</v>
      </c>
      <c r="G261" s="342" t="s">
        <v>2828</v>
      </c>
      <c r="H261" s="342" t="s">
        <v>2058</v>
      </c>
      <c r="I261" s="342" t="s">
        <v>3211</v>
      </c>
      <c r="J261" s="345">
        <v>43159</v>
      </c>
      <c r="K261" s="345"/>
      <c r="L261" s="345"/>
      <c r="M261" s="342" t="s">
        <v>2853</v>
      </c>
      <c r="N261" s="342" t="s">
        <v>4224</v>
      </c>
      <c r="O261" s="345">
        <v>43185</v>
      </c>
      <c r="P261" s="355" t="s">
        <v>3022</v>
      </c>
      <c r="Q261" s="342" t="s">
        <v>2835</v>
      </c>
      <c r="R261" s="356"/>
      <c r="S261" s="354">
        <f t="shared" si="5"/>
        <v>56</v>
      </c>
    </row>
    <row r="262" spans="1:19" ht="51" x14ac:dyDescent="0.2">
      <c r="A262" s="338" t="s">
        <v>4161</v>
      </c>
      <c r="B262" s="339">
        <v>43131</v>
      </c>
      <c r="C262" s="343" t="s">
        <v>4162</v>
      </c>
      <c r="D262" s="343" t="s">
        <v>5070</v>
      </c>
      <c r="E262" s="344" t="s">
        <v>3519</v>
      </c>
      <c r="F262" s="344">
        <v>1</v>
      </c>
      <c r="G262" s="344" t="s">
        <v>2828</v>
      </c>
      <c r="H262" s="344" t="s">
        <v>4163</v>
      </c>
      <c r="I262" s="344" t="s">
        <v>3926</v>
      </c>
      <c r="J262" s="339">
        <v>43159</v>
      </c>
      <c r="K262" s="339"/>
      <c r="L262" s="339"/>
      <c r="M262" s="344" t="s">
        <v>2853</v>
      </c>
      <c r="N262" s="344" t="s">
        <v>2088</v>
      </c>
      <c r="O262" s="339">
        <v>43131</v>
      </c>
      <c r="P262" s="353" t="s">
        <v>3061</v>
      </c>
      <c r="Q262" s="344" t="s">
        <v>2829</v>
      </c>
      <c r="R262" s="354"/>
      <c r="S262" s="354">
        <f t="shared" si="5"/>
        <v>0</v>
      </c>
    </row>
    <row r="263" spans="1:19" ht="51" x14ac:dyDescent="0.2">
      <c r="A263" s="340" t="s">
        <v>4164</v>
      </c>
      <c r="B263" s="345">
        <v>43131</v>
      </c>
      <c r="C263" s="341" t="s">
        <v>4167</v>
      </c>
      <c r="D263" s="341" t="s">
        <v>4160</v>
      </c>
      <c r="E263" s="342" t="s">
        <v>3825</v>
      </c>
      <c r="F263" s="342">
        <v>1</v>
      </c>
      <c r="G263" s="342" t="s">
        <v>2828</v>
      </c>
      <c r="H263" s="342" t="s">
        <v>3842</v>
      </c>
      <c r="I263" s="342" t="s">
        <v>3211</v>
      </c>
      <c r="J263" s="345">
        <v>43281</v>
      </c>
      <c r="K263" s="345"/>
      <c r="L263" s="345"/>
      <c r="M263" s="342" t="s">
        <v>2853</v>
      </c>
      <c r="N263" s="342" t="s">
        <v>2088</v>
      </c>
      <c r="O263" s="345">
        <v>43252</v>
      </c>
      <c r="P263" s="355" t="s">
        <v>3061</v>
      </c>
      <c r="Q263" s="342" t="s">
        <v>2835</v>
      </c>
      <c r="R263" s="356"/>
      <c r="S263" s="354">
        <f t="shared" si="5"/>
        <v>121</v>
      </c>
    </row>
    <row r="264" spans="1:19" ht="51" x14ac:dyDescent="0.2">
      <c r="A264" s="338" t="s">
        <v>4165</v>
      </c>
      <c r="B264" s="339">
        <v>43131</v>
      </c>
      <c r="C264" s="343" t="s">
        <v>4168</v>
      </c>
      <c r="D264" s="343" t="s">
        <v>4160</v>
      </c>
      <c r="E264" s="344" t="s">
        <v>3335</v>
      </c>
      <c r="F264" s="344">
        <v>1</v>
      </c>
      <c r="G264" s="344" t="s">
        <v>2828</v>
      </c>
      <c r="H264" s="344" t="s">
        <v>3842</v>
      </c>
      <c r="I264" s="344" t="s">
        <v>3211</v>
      </c>
      <c r="J264" s="339">
        <v>43251</v>
      </c>
      <c r="K264" s="339"/>
      <c r="L264" s="339"/>
      <c r="M264" s="344" t="s">
        <v>2853</v>
      </c>
      <c r="N264" s="344" t="s">
        <v>2088</v>
      </c>
      <c r="O264" s="339">
        <v>43224</v>
      </c>
      <c r="P264" s="353" t="s">
        <v>3061</v>
      </c>
      <c r="Q264" s="344" t="s">
        <v>2835</v>
      </c>
      <c r="R264" s="354"/>
      <c r="S264" s="354">
        <f t="shared" si="5"/>
        <v>93</v>
      </c>
    </row>
    <row r="265" spans="1:19" ht="51" x14ac:dyDescent="0.2">
      <c r="A265" s="340" t="s">
        <v>4166</v>
      </c>
      <c r="B265" s="345">
        <v>43131</v>
      </c>
      <c r="C265" s="341" t="s">
        <v>4169</v>
      </c>
      <c r="D265" s="341" t="s">
        <v>4160</v>
      </c>
      <c r="E265" s="342" t="s">
        <v>4170</v>
      </c>
      <c r="F265" s="342">
        <v>1</v>
      </c>
      <c r="G265" s="342" t="s">
        <v>2828</v>
      </c>
      <c r="H265" s="342" t="s">
        <v>3842</v>
      </c>
      <c r="I265" s="342" t="s">
        <v>3211</v>
      </c>
      <c r="J265" s="345">
        <v>43287</v>
      </c>
      <c r="K265" s="345"/>
      <c r="L265" s="345"/>
      <c r="M265" s="342" t="s">
        <v>2853</v>
      </c>
      <c r="N265" s="342" t="s">
        <v>2088</v>
      </c>
      <c r="O265" s="345">
        <v>43258</v>
      </c>
      <c r="P265" s="355" t="s">
        <v>3061</v>
      </c>
      <c r="Q265" s="342" t="s">
        <v>4340</v>
      </c>
      <c r="R265" s="356"/>
      <c r="S265" s="354">
        <f t="shared" si="5"/>
        <v>127</v>
      </c>
    </row>
    <row r="266" spans="1:19" ht="51" x14ac:dyDescent="0.2">
      <c r="A266" s="338" t="s">
        <v>4171</v>
      </c>
      <c r="B266" s="339">
        <v>43131</v>
      </c>
      <c r="C266" s="343" t="s">
        <v>4172</v>
      </c>
      <c r="D266" s="343" t="s">
        <v>4173</v>
      </c>
      <c r="E266" s="344" t="s">
        <v>4174</v>
      </c>
      <c r="F266" s="344">
        <v>1</v>
      </c>
      <c r="G266" s="344" t="s">
        <v>2828</v>
      </c>
      <c r="H266" s="344" t="s">
        <v>615</v>
      </c>
      <c r="I266" s="344" t="s">
        <v>3211</v>
      </c>
      <c r="J266" s="339">
        <v>43133</v>
      </c>
      <c r="K266" s="339"/>
      <c r="L266" s="339"/>
      <c r="M266" s="344" t="s">
        <v>2853</v>
      </c>
      <c r="N266" s="344" t="s">
        <v>2088</v>
      </c>
      <c r="O266" s="339">
        <v>43133</v>
      </c>
      <c r="P266" s="353" t="s">
        <v>3061</v>
      </c>
      <c r="Q266" s="344" t="s">
        <v>2829</v>
      </c>
      <c r="R266" s="354"/>
      <c r="S266" s="354">
        <f t="shared" si="5"/>
        <v>2</v>
      </c>
    </row>
    <row r="267" spans="1:19" ht="51" x14ac:dyDescent="0.2">
      <c r="A267" s="340" t="s">
        <v>4175</v>
      </c>
      <c r="B267" s="345">
        <v>43133</v>
      </c>
      <c r="C267" s="341" t="s">
        <v>4176</v>
      </c>
      <c r="D267" s="341" t="s">
        <v>4177</v>
      </c>
      <c r="E267" s="342" t="s">
        <v>4178</v>
      </c>
      <c r="F267" s="342">
        <v>1</v>
      </c>
      <c r="G267" s="342" t="s">
        <v>2828</v>
      </c>
      <c r="H267" s="342" t="s">
        <v>3423</v>
      </c>
      <c r="I267" s="342" t="s">
        <v>3211</v>
      </c>
      <c r="J267" s="345" t="s">
        <v>2088</v>
      </c>
      <c r="K267" s="345"/>
      <c r="L267" s="345"/>
      <c r="M267" s="342" t="s">
        <v>1056</v>
      </c>
      <c r="N267" s="342" t="s">
        <v>2088</v>
      </c>
      <c r="O267" s="345" t="s">
        <v>2088</v>
      </c>
      <c r="P267" s="355" t="s">
        <v>2088</v>
      </c>
      <c r="Q267" s="342" t="s">
        <v>2088</v>
      </c>
      <c r="R267" s="356"/>
      <c r="S267" s="354" t="e">
        <f t="shared" si="5"/>
        <v>#VALUE!</v>
      </c>
    </row>
    <row r="268" spans="1:19" ht="76.5" x14ac:dyDescent="0.2">
      <c r="A268" s="338" t="s">
        <v>4179</v>
      </c>
      <c r="B268" s="339">
        <v>43137</v>
      </c>
      <c r="C268" s="343" t="s">
        <v>4180</v>
      </c>
      <c r="D268" s="343" t="s">
        <v>4181</v>
      </c>
      <c r="E268" s="344" t="s">
        <v>2971</v>
      </c>
      <c r="F268" s="344">
        <v>1</v>
      </c>
      <c r="G268" s="344" t="s">
        <v>2828</v>
      </c>
      <c r="H268" s="344" t="s">
        <v>3842</v>
      </c>
      <c r="I268" s="344" t="s">
        <v>3211</v>
      </c>
      <c r="J268" s="339">
        <v>43160</v>
      </c>
      <c r="K268" s="339"/>
      <c r="L268" s="339"/>
      <c r="M268" s="344" t="s">
        <v>2853</v>
      </c>
      <c r="N268" s="344" t="s">
        <v>2088</v>
      </c>
      <c r="O268" s="339">
        <v>43143</v>
      </c>
      <c r="P268" s="353" t="s">
        <v>3061</v>
      </c>
      <c r="Q268" s="344" t="s">
        <v>2829</v>
      </c>
      <c r="R268" s="354"/>
      <c r="S268" s="354">
        <f t="shared" si="5"/>
        <v>6</v>
      </c>
    </row>
    <row r="269" spans="1:19" ht="25.5" x14ac:dyDescent="0.2">
      <c r="A269" s="340" t="s">
        <v>4182</v>
      </c>
      <c r="B269" s="345">
        <v>43143</v>
      </c>
      <c r="C269" s="341" t="s">
        <v>2204</v>
      </c>
      <c r="D269" s="341" t="s">
        <v>4183</v>
      </c>
      <c r="E269" s="342" t="s">
        <v>3617</v>
      </c>
      <c r="F269" s="342">
        <v>1</v>
      </c>
      <c r="G269" s="342" t="s">
        <v>2841</v>
      </c>
      <c r="H269" s="342" t="s">
        <v>441</v>
      </c>
      <c r="I269" s="342" t="s">
        <v>229</v>
      </c>
      <c r="J269" s="345">
        <v>43159</v>
      </c>
      <c r="K269" s="345"/>
      <c r="L269" s="345"/>
      <c r="M269" s="342" t="s">
        <v>2853</v>
      </c>
      <c r="N269" s="342" t="s">
        <v>2088</v>
      </c>
      <c r="O269" s="345">
        <v>43462</v>
      </c>
      <c r="P269" s="355" t="s">
        <v>3022</v>
      </c>
      <c r="Q269" s="342" t="s">
        <v>2837</v>
      </c>
      <c r="R269" s="356"/>
      <c r="S269" s="354">
        <f t="shared" si="5"/>
        <v>319</v>
      </c>
    </row>
    <row r="270" spans="1:19" ht="38.25" x14ac:dyDescent="0.2">
      <c r="A270" s="338" t="s">
        <v>4185</v>
      </c>
      <c r="B270" s="339">
        <v>43147</v>
      </c>
      <c r="C270" s="343" t="s">
        <v>4186</v>
      </c>
      <c r="D270" s="343" t="s">
        <v>4187</v>
      </c>
      <c r="E270" s="344" t="s">
        <v>3532</v>
      </c>
      <c r="F270" s="344">
        <v>1</v>
      </c>
      <c r="G270" s="344" t="s">
        <v>2828</v>
      </c>
      <c r="H270" s="344" t="s">
        <v>4079</v>
      </c>
      <c r="I270" s="344" t="s">
        <v>3211</v>
      </c>
      <c r="J270" s="339">
        <v>43221</v>
      </c>
      <c r="K270" s="339"/>
      <c r="L270" s="339"/>
      <c r="M270" s="344" t="s">
        <v>2853</v>
      </c>
      <c r="N270" s="344" t="s">
        <v>2912</v>
      </c>
      <c r="O270" s="339">
        <v>43223</v>
      </c>
      <c r="P270" s="353" t="s">
        <v>3022</v>
      </c>
      <c r="Q270" s="344" t="s">
        <v>2832</v>
      </c>
      <c r="R270" s="354"/>
      <c r="S270" s="354">
        <f t="shared" si="5"/>
        <v>76</v>
      </c>
    </row>
    <row r="271" spans="1:19" ht="38.25" x14ac:dyDescent="0.2">
      <c r="A271" s="340" t="s">
        <v>4188</v>
      </c>
      <c r="B271" s="345">
        <v>43151</v>
      </c>
      <c r="C271" s="341" t="s">
        <v>4189</v>
      </c>
      <c r="D271" s="341" t="s">
        <v>4190</v>
      </c>
      <c r="E271" s="342" t="s">
        <v>3777</v>
      </c>
      <c r="F271" s="342">
        <v>1</v>
      </c>
      <c r="G271" s="342" t="s">
        <v>2828</v>
      </c>
      <c r="H271" s="342" t="s">
        <v>4079</v>
      </c>
      <c r="I271" s="342" t="s">
        <v>3211</v>
      </c>
      <c r="J271" s="345">
        <v>43180</v>
      </c>
      <c r="K271" s="345"/>
      <c r="L271" s="345"/>
      <c r="M271" s="342" t="s">
        <v>2853</v>
      </c>
      <c r="N271" s="342" t="s">
        <v>2088</v>
      </c>
      <c r="O271" s="345">
        <v>43154</v>
      </c>
      <c r="P271" s="355" t="s">
        <v>3061</v>
      </c>
      <c r="Q271" s="342" t="s">
        <v>2829</v>
      </c>
      <c r="R271" s="356"/>
      <c r="S271" s="354">
        <f t="shared" si="5"/>
        <v>3</v>
      </c>
    </row>
    <row r="272" spans="1:19" ht="51" x14ac:dyDescent="0.2">
      <c r="A272" s="338" t="s">
        <v>4191</v>
      </c>
      <c r="B272" s="339">
        <v>43152</v>
      </c>
      <c r="C272" s="343" t="s">
        <v>4192</v>
      </c>
      <c r="D272" s="343" t="s">
        <v>4193</v>
      </c>
      <c r="E272" s="344" t="s">
        <v>3969</v>
      </c>
      <c r="F272" s="344">
        <v>1</v>
      </c>
      <c r="G272" s="344" t="s">
        <v>2828</v>
      </c>
      <c r="H272" s="344" t="s">
        <v>3423</v>
      </c>
      <c r="I272" s="344" t="s">
        <v>3211</v>
      </c>
      <c r="J272" s="339">
        <v>43159</v>
      </c>
      <c r="K272" s="339"/>
      <c r="L272" s="339"/>
      <c r="M272" s="344" t="s">
        <v>2853</v>
      </c>
      <c r="N272" s="344" t="s">
        <v>2088</v>
      </c>
      <c r="O272" s="339">
        <v>43152</v>
      </c>
      <c r="P272" s="353" t="s">
        <v>3061</v>
      </c>
      <c r="Q272" s="344" t="s">
        <v>2829</v>
      </c>
      <c r="R272" s="354"/>
      <c r="S272" s="354">
        <f t="shared" si="5"/>
        <v>0</v>
      </c>
    </row>
    <row r="273" spans="1:19" ht="38.25" x14ac:dyDescent="0.2">
      <c r="A273" s="340" t="s">
        <v>4194</v>
      </c>
      <c r="B273" s="345">
        <v>43157</v>
      </c>
      <c r="C273" s="341" t="s">
        <v>4196</v>
      </c>
      <c r="D273" s="341" t="s">
        <v>4198</v>
      </c>
      <c r="E273" s="342" t="s">
        <v>3473</v>
      </c>
      <c r="F273" s="342">
        <v>1</v>
      </c>
      <c r="G273" s="342" t="s">
        <v>2828</v>
      </c>
      <c r="H273" s="342" t="s">
        <v>2058</v>
      </c>
      <c r="I273" s="342" t="s">
        <v>3211</v>
      </c>
      <c r="J273" s="345">
        <v>43159</v>
      </c>
      <c r="K273" s="345"/>
      <c r="L273" s="345"/>
      <c r="M273" s="342" t="s">
        <v>2853</v>
      </c>
      <c r="N273" s="342" t="s">
        <v>2088</v>
      </c>
      <c r="O273" s="345">
        <v>43159</v>
      </c>
      <c r="P273" s="355" t="s">
        <v>3061</v>
      </c>
      <c r="Q273" s="342" t="s">
        <v>2829</v>
      </c>
      <c r="R273" s="356"/>
      <c r="S273" s="354">
        <f t="shared" si="5"/>
        <v>2</v>
      </c>
    </row>
    <row r="274" spans="1:19" ht="38.25" x14ac:dyDescent="0.2">
      <c r="A274" s="338" t="s">
        <v>4195</v>
      </c>
      <c r="B274" s="339">
        <v>43157</v>
      </c>
      <c r="C274" s="343" t="s">
        <v>4197</v>
      </c>
      <c r="D274" s="343" t="s">
        <v>4198</v>
      </c>
      <c r="E274" s="344" t="s">
        <v>3335</v>
      </c>
      <c r="F274" s="344">
        <v>1</v>
      </c>
      <c r="G274" s="344" t="s">
        <v>2828</v>
      </c>
      <c r="H274" s="344" t="s">
        <v>2058</v>
      </c>
      <c r="I274" s="344" t="s">
        <v>3211</v>
      </c>
      <c r="J274" s="339">
        <v>43159</v>
      </c>
      <c r="K274" s="339"/>
      <c r="L274" s="339"/>
      <c r="M274" s="344" t="s">
        <v>2853</v>
      </c>
      <c r="N274" s="344" t="s">
        <v>2088</v>
      </c>
      <c r="O274" s="339">
        <v>43159</v>
      </c>
      <c r="P274" s="353" t="s">
        <v>3061</v>
      </c>
      <c r="Q274" s="344" t="s">
        <v>2829</v>
      </c>
      <c r="R274" s="354"/>
      <c r="S274" s="354">
        <f t="shared" si="5"/>
        <v>2</v>
      </c>
    </row>
    <row r="275" spans="1:19" ht="51" x14ac:dyDescent="0.2">
      <c r="A275" s="340" t="s">
        <v>4199</v>
      </c>
      <c r="B275" s="345">
        <v>43161</v>
      </c>
      <c r="C275" s="341" t="s">
        <v>4200</v>
      </c>
      <c r="D275" s="341" t="s">
        <v>4201</v>
      </c>
      <c r="E275" s="342" t="s">
        <v>4111</v>
      </c>
      <c r="F275" s="342">
        <v>1</v>
      </c>
      <c r="G275" s="342" t="s">
        <v>2828</v>
      </c>
      <c r="H275" s="342" t="s">
        <v>3975</v>
      </c>
      <c r="I275" s="342" t="s">
        <v>3926</v>
      </c>
      <c r="J275" s="345">
        <v>43192</v>
      </c>
      <c r="K275" s="345"/>
      <c r="L275" s="345"/>
      <c r="M275" s="342" t="s">
        <v>2853</v>
      </c>
      <c r="N275" s="342" t="s">
        <v>2088</v>
      </c>
      <c r="O275" s="345">
        <v>43178</v>
      </c>
      <c r="P275" s="355" t="s">
        <v>3061</v>
      </c>
      <c r="Q275" s="342" t="s">
        <v>2829</v>
      </c>
      <c r="R275" s="356"/>
      <c r="S275" s="354">
        <f t="shared" si="5"/>
        <v>17</v>
      </c>
    </row>
    <row r="276" spans="1:19" ht="89.25" x14ac:dyDescent="0.2">
      <c r="A276" s="338" t="s">
        <v>4202</v>
      </c>
      <c r="B276" s="339">
        <v>43164</v>
      </c>
      <c r="C276" s="343" t="s">
        <v>4204</v>
      </c>
      <c r="D276" s="343" t="s">
        <v>4205</v>
      </c>
      <c r="E276" s="344" t="s">
        <v>3825</v>
      </c>
      <c r="F276" s="344">
        <v>1</v>
      </c>
      <c r="G276" s="344" t="s">
        <v>2828</v>
      </c>
      <c r="H276" s="344" t="s">
        <v>2058</v>
      </c>
      <c r="I276" s="344" t="s">
        <v>3211</v>
      </c>
      <c r="J276" s="339">
        <v>43195</v>
      </c>
      <c r="K276" s="339"/>
      <c r="L276" s="339"/>
      <c r="M276" s="344" t="s">
        <v>2853</v>
      </c>
      <c r="N276" s="344" t="s">
        <v>2088</v>
      </c>
      <c r="O276" s="339">
        <v>43167</v>
      </c>
      <c r="P276" s="353" t="s">
        <v>3061</v>
      </c>
      <c r="Q276" s="344" t="s">
        <v>2829</v>
      </c>
      <c r="R276" s="354"/>
      <c r="S276" s="354">
        <f t="shared" si="5"/>
        <v>3</v>
      </c>
    </row>
    <row r="277" spans="1:19" ht="63.75" x14ac:dyDescent="0.2">
      <c r="A277" s="340" t="s">
        <v>4203</v>
      </c>
      <c r="B277" s="345">
        <v>43164</v>
      </c>
      <c r="C277" s="341" t="s">
        <v>4206</v>
      </c>
      <c r="D277" s="341" t="s">
        <v>4207</v>
      </c>
      <c r="E277" s="342" t="s">
        <v>4208</v>
      </c>
      <c r="F277" s="342">
        <v>2</v>
      </c>
      <c r="G277" s="342" t="s">
        <v>2828</v>
      </c>
      <c r="H277" s="342" t="s">
        <v>2106</v>
      </c>
      <c r="I277" s="342" t="s">
        <v>3211</v>
      </c>
      <c r="J277" s="345">
        <v>43196</v>
      </c>
      <c r="K277" s="345"/>
      <c r="L277" s="345"/>
      <c r="M277" s="342" t="s">
        <v>2853</v>
      </c>
      <c r="N277" s="342" t="s">
        <v>2088</v>
      </c>
      <c r="O277" s="345">
        <v>43182</v>
      </c>
      <c r="P277" s="355" t="s">
        <v>3061</v>
      </c>
      <c r="Q277" s="342" t="s">
        <v>2829</v>
      </c>
      <c r="R277" s="356"/>
      <c r="S277" s="354">
        <f t="shared" si="5"/>
        <v>18</v>
      </c>
    </row>
    <row r="278" spans="1:19" ht="51" x14ac:dyDescent="0.2">
      <c r="A278" s="338" t="s">
        <v>4211</v>
      </c>
      <c r="B278" s="339">
        <v>43165</v>
      </c>
      <c r="C278" s="343" t="s">
        <v>4214</v>
      </c>
      <c r="D278" s="343" t="s">
        <v>4212</v>
      </c>
      <c r="E278" s="344" t="s">
        <v>4213</v>
      </c>
      <c r="F278" s="344">
        <v>1</v>
      </c>
      <c r="G278" s="344" t="s">
        <v>2828</v>
      </c>
      <c r="H278" s="344" t="s">
        <v>4079</v>
      </c>
      <c r="I278" s="344" t="s">
        <v>3926</v>
      </c>
      <c r="J278" s="339">
        <v>43220</v>
      </c>
      <c r="K278" s="339"/>
      <c r="L278" s="339"/>
      <c r="M278" s="344" t="s">
        <v>2853</v>
      </c>
      <c r="N278" s="344" t="s">
        <v>2088</v>
      </c>
      <c r="O278" s="339">
        <v>43172</v>
      </c>
      <c r="P278" s="353" t="s">
        <v>3061</v>
      </c>
      <c r="Q278" s="344" t="s">
        <v>2829</v>
      </c>
      <c r="R278" s="354" t="s">
        <v>2088</v>
      </c>
      <c r="S278" s="354">
        <f t="shared" si="5"/>
        <v>7</v>
      </c>
    </row>
    <row r="279" spans="1:19" ht="76.5" x14ac:dyDescent="0.2">
      <c r="A279" s="340" t="s">
        <v>4215</v>
      </c>
      <c r="B279" s="345">
        <v>43172</v>
      </c>
      <c r="C279" s="341" t="s">
        <v>4216</v>
      </c>
      <c r="D279" s="341" t="s">
        <v>4217</v>
      </c>
      <c r="E279" s="342" t="s">
        <v>4111</v>
      </c>
      <c r="F279" s="342">
        <v>1</v>
      </c>
      <c r="G279" s="342" t="s">
        <v>2828</v>
      </c>
      <c r="H279" s="342" t="s">
        <v>3975</v>
      </c>
      <c r="I279" s="342" t="s">
        <v>3211</v>
      </c>
      <c r="J279" s="345">
        <v>43204</v>
      </c>
      <c r="K279" s="345"/>
      <c r="L279" s="345"/>
      <c r="M279" s="342" t="s">
        <v>2853</v>
      </c>
      <c r="N279" s="342" t="s">
        <v>2912</v>
      </c>
      <c r="O279" s="345">
        <v>43213</v>
      </c>
      <c r="P279" s="355" t="s">
        <v>3022</v>
      </c>
      <c r="Q279" s="342" t="s">
        <v>2832</v>
      </c>
      <c r="R279" s="356"/>
      <c r="S279" s="354">
        <f t="shared" si="5"/>
        <v>41</v>
      </c>
    </row>
    <row r="280" spans="1:19" ht="51" x14ac:dyDescent="0.2">
      <c r="A280" s="338" t="s">
        <v>4218</v>
      </c>
      <c r="B280" s="339">
        <v>43174</v>
      </c>
      <c r="C280" s="343" t="s">
        <v>4219</v>
      </c>
      <c r="D280" s="343" t="s">
        <v>4220</v>
      </c>
      <c r="E280" s="344" t="s">
        <v>3969</v>
      </c>
      <c r="F280" s="344">
        <v>1</v>
      </c>
      <c r="G280" s="344" t="s">
        <v>2828</v>
      </c>
      <c r="H280" s="344" t="s">
        <v>4079</v>
      </c>
      <c r="I280" s="344" t="s">
        <v>3926</v>
      </c>
      <c r="J280" s="339">
        <v>43205</v>
      </c>
      <c r="K280" s="339"/>
      <c r="L280" s="339"/>
      <c r="M280" s="344" t="s">
        <v>2853</v>
      </c>
      <c r="N280" s="344" t="s">
        <v>2088</v>
      </c>
      <c r="O280" s="339">
        <v>43174</v>
      </c>
      <c r="P280" s="353" t="s">
        <v>3061</v>
      </c>
      <c r="Q280" s="344" t="s">
        <v>2829</v>
      </c>
      <c r="R280" s="354"/>
      <c r="S280" s="354">
        <f t="shared" si="5"/>
        <v>0</v>
      </c>
    </row>
    <row r="281" spans="1:19" ht="51" x14ac:dyDescent="0.2">
      <c r="A281" s="340" t="s">
        <v>4221</v>
      </c>
      <c r="B281" s="345">
        <v>43182</v>
      </c>
      <c r="C281" s="341" t="s">
        <v>4222</v>
      </c>
      <c r="D281" s="341" t="s">
        <v>4223</v>
      </c>
      <c r="E281" s="342" t="s">
        <v>4174</v>
      </c>
      <c r="F281" s="342">
        <v>1</v>
      </c>
      <c r="G281" s="342" t="s">
        <v>2828</v>
      </c>
      <c r="H281" s="342" t="s">
        <v>615</v>
      </c>
      <c r="I281" s="342" t="s">
        <v>3926</v>
      </c>
      <c r="J281" s="345">
        <v>43213</v>
      </c>
      <c r="K281" s="345"/>
      <c r="L281" s="345"/>
      <c r="M281" s="342" t="s">
        <v>2853</v>
      </c>
      <c r="N281" s="342" t="s">
        <v>2088</v>
      </c>
      <c r="O281" s="345">
        <v>43194</v>
      </c>
      <c r="P281" s="355" t="s">
        <v>3061</v>
      </c>
      <c r="Q281" s="342" t="s">
        <v>2829</v>
      </c>
      <c r="R281" s="356" t="s">
        <v>2088</v>
      </c>
      <c r="S281" s="354">
        <f t="shared" si="5"/>
        <v>12</v>
      </c>
    </row>
    <row r="282" spans="1:19" ht="89.25" x14ac:dyDescent="0.2">
      <c r="A282" s="338" t="s">
        <v>4226</v>
      </c>
      <c r="B282" s="339">
        <v>43188</v>
      </c>
      <c r="C282" s="343" t="s">
        <v>4227</v>
      </c>
      <c r="D282" s="343" t="s">
        <v>4228</v>
      </c>
      <c r="E282" s="344" t="s">
        <v>3825</v>
      </c>
      <c r="F282" s="344">
        <v>1</v>
      </c>
      <c r="G282" s="344" t="s">
        <v>2828</v>
      </c>
      <c r="H282" s="344" t="s">
        <v>2058</v>
      </c>
      <c r="I282" s="344" t="s">
        <v>3211</v>
      </c>
      <c r="J282" s="339">
        <v>43219</v>
      </c>
      <c r="K282" s="339"/>
      <c r="L282" s="339"/>
      <c r="M282" s="344" t="s">
        <v>2853</v>
      </c>
      <c r="N282" s="344" t="s">
        <v>2088</v>
      </c>
      <c r="O282" s="339">
        <v>43188</v>
      </c>
      <c r="P282" s="353" t="s">
        <v>3061</v>
      </c>
      <c r="Q282" s="344" t="s">
        <v>2829</v>
      </c>
      <c r="R282" s="354"/>
      <c r="S282" s="354">
        <f t="shared" si="5"/>
        <v>0</v>
      </c>
    </row>
    <row r="283" spans="1:19" ht="51" x14ac:dyDescent="0.2">
      <c r="A283" s="340" t="s">
        <v>4229</v>
      </c>
      <c r="B283" s="345">
        <v>43188</v>
      </c>
      <c r="C283" s="341" t="s">
        <v>4231</v>
      </c>
      <c r="D283" s="341" t="s">
        <v>4230</v>
      </c>
      <c r="E283" s="342" t="s">
        <v>4208</v>
      </c>
      <c r="F283" s="342">
        <v>1</v>
      </c>
      <c r="G283" s="342" t="s">
        <v>2828</v>
      </c>
      <c r="H283" s="342" t="s">
        <v>4232</v>
      </c>
      <c r="I283" s="342" t="s">
        <v>3211</v>
      </c>
      <c r="J283" s="345">
        <v>43219</v>
      </c>
      <c r="K283" s="345"/>
      <c r="L283" s="345"/>
      <c r="M283" s="342" t="s">
        <v>2853</v>
      </c>
      <c r="N283" s="342" t="s">
        <v>3022</v>
      </c>
      <c r="O283" s="345">
        <v>43227</v>
      </c>
      <c r="P283" s="355" t="s">
        <v>3022</v>
      </c>
      <c r="Q283" s="342" t="s">
        <v>2832</v>
      </c>
      <c r="R283" s="356"/>
      <c r="S283" s="354">
        <f t="shared" si="5"/>
        <v>39</v>
      </c>
    </row>
    <row r="284" spans="1:19" ht="51" x14ac:dyDescent="0.2">
      <c r="A284" s="338" t="s">
        <v>4233</v>
      </c>
      <c r="B284" s="339">
        <v>43188</v>
      </c>
      <c r="C284" s="343" t="s">
        <v>4234</v>
      </c>
      <c r="D284" s="343" t="s">
        <v>4235</v>
      </c>
      <c r="E284" s="344" t="s">
        <v>3084</v>
      </c>
      <c r="F284" s="344">
        <v>1</v>
      </c>
      <c r="G284" s="344" t="s">
        <v>2828</v>
      </c>
      <c r="H284" s="344" t="s">
        <v>4079</v>
      </c>
      <c r="I284" s="344" t="s">
        <v>3926</v>
      </c>
      <c r="J284" s="339">
        <v>43219</v>
      </c>
      <c r="K284" s="339"/>
      <c r="L284" s="339"/>
      <c r="M284" s="344" t="s">
        <v>2853</v>
      </c>
      <c r="N284" s="344" t="s">
        <v>3022</v>
      </c>
      <c r="O284" s="339">
        <v>43258</v>
      </c>
      <c r="P284" s="353" t="s">
        <v>3022</v>
      </c>
      <c r="Q284" s="344" t="s">
        <v>2832</v>
      </c>
      <c r="R284" s="354"/>
      <c r="S284" s="354">
        <f t="shared" si="5"/>
        <v>70</v>
      </c>
    </row>
    <row r="285" spans="1:19" ht="51" x14ac:dyDescent="0.2">
      <c r="A285" s="340" t="s">
        <v>4236</v>
      </c>
      <c r="B285" s="345">
        <v>43194</v>
      </c>
      <c r="C285" s="341" t="s">
        <v>4237</v>
      </c>
      <c r="D285" s="341" t="s">
        <v>4238</v>
      </c>
      <c r="E285" s="342" t="s">
        <v>3084</v>
      </c>
      <c r="F285" s="342">
        <v>1</v>
      </c>
      <c r="G285" s="342" t="s">
        <v>2828</v>
      </c>
      <c r="H285" s="342" t="s">
        <v>4079</v>
      </c>
      <c r="I285" s="342" t="s">
        <v>3211</v>
      </c>
      <c r="J285" s="345">
        <v>43196</v>
      </c>
      <c r="K285" s="345"/>
      <c r="L285" s="345"/>
      <c r="M285" s="342" t="s">
        <v>2853</v>
      </c>
      <c r="N285" s="342" t="s">
        <v>2088</v>
      </c>
      <c r="O285" s="345">
        <v>43196</v>
      </c>
      <c r="P285" s="355" t="s">
        <v>3061</v>
      </c>
      <c r="Q285" s="342" t="s">
        <v>2829</v>
      </c>
      <c r="R285" s="356"/>
      <c r="S285" s="354">
        <f t="shared" si="5"/>
        <v>2</v>
      </c>
    </row>
    <row r="286" spans="1:19" ht="51" x14ac:dyDescent="0.2">
      <c r="A286" s="338" t="s">
        <v>4239</v>
      </c>
      <c r="B286" s="339">
        <v>43195</v>
      </c>
      <c r="C286" s="343" t="s">
        <v>4240</v>
      </c>
      <c r="D286" s="343" t="s">
        <v>4241</v>
      </c>
      <c r="E286" s="344" t="s">
        <v>4242</v>
      </c>
      <c r="F286" s="344">
        <v>1</v>
      </c>
      <c r="G286" s="344" t="s">
        <v>2828</v>
      </c>
      <c r="H286" s="344" t="s">
        <v>2106</v>
      </c>
      <c r="I286" s="344" t="s">
        <v>3211</v>
      </c>
      <c r="J286" s="339">
        <v>43225</v>
      </c>
      <c r="K286" s="339"/>
      <c r="L286" s="339"/>
      <c r="M286" s="344" t="s">
        <v>1056</v>
      </c>
      <c r="N286" s="344"/>
      <c r="O286" s="339"/>
      <c r="P286" s="353"/>
      <c r="Q286" s="344"/>
      <c r="R286" s="354" t="s">
        <v>6029</v>
      </c>
      <c r="S286" s="354">
        <f t="shared" si="5"/>
        <v>-43195</v>
      </c>
    </row>
    <row r="287" spans="1:19" ht="63.75" x14ac:dyDescent="0.2">
      <c r="A287" s="340" t="s">
        <v>4243</v>
      </c>
      <c r="B287" s="345">
        <v>43196</v>
      </c>
      <c r="C287" s="341" t="s">
        <v>4245</v>
      </c>
      <c r="D287" s="341" t="s">
        <v>4244</v>
      </c>
      <c r="E287" s="342" t="s">
        <v>2971</v>
      </c>
      <c r="F287" s="342">
        <v>1</v>
      </c>
      <c r="G287" s="342" t="s">
        <v>2838</v>
      </c>
      <c r="H287" s="342" t="s">
        <v>1123</v>
      </c>
      <c r="I287" s="342" t="s">
        <v>229</v>
      </c>
      <c r="J287" s="345">
        <v>43199</v>
      </c>
      <c r="K287" s="345"/>
      <c r="L287" s="345"/>
      <c r="M287" s="342" t="s">
        <v>2853</v>
      </c>
      <c r="N287" s="342" t="s">
        <v>2088</v>
      </c>
      <c r="O287" s="345">
        <v>43199</v>
      </c>
      <c r="P287" s="355" t="s">
        <v>3061</v>
      </c>
      <c r="Q287" s="342" t="s">
        <v>2829</v>
      </c>
      <c r="R287" s="356"/>
      <c r="S287" s="354">
        <f t="shared" si="5"/>
        <v>3</v>
      </c>
    </row>
    <row r="288" spans="1:19" ht="63.75" x14ac:dyDescent="0.2">
      <c r="A288" s="338" t="s">
        <v>4246</v>
      </c>
      <c r="B288" s="339">
        <v>43196</v>
      </c>
      <c r="C288" s="343" t="s">
        <v>4247</v>
      </c>
      <c r="D288" s="343" t="s">
        <v>4048</v>
      </c>
      <c r="E288" s="344" t="s">
        <v>2971</v>
      </c>
      <c r="F288" s="344">
        <v>1</v>
      </c>
      <c r="G288" s="344" t="s">
        <v>2841</v>
      </c>
      <c r="H288" s="344" t="s">
        <v>229</v>
      </c>
      <c r="I288" s="344" t="s">
        <v>229</v>
      </c>
      <c r="J288" s="339">
        <v>43220</v>
      </c>
      <c r="K288" s="339"/>
      <c r="L288" s="339"/>
      <c r="M288" s="344" t="s">
        <v>2853</v>
      </c>
      <c r="N288" s="344" t="s">
        <v>3022</v>
      </c>
      <c r="O288" s="339">
        <v>43235</v>
      </c>
      <c r="P288" s="353" t="s">
        <v>3022</v>
      </c>
      <c r="Q288" s="344" t="s">
        <v>2832</v>
      </c>
      <c r="R288" s="354"/>
      <c r="S288" s="354">
        <f t="shared" si="5"/>
        <v>39</v>
      </c>
    </row>
    <row r="289" spans="1:19" ht="89.25" x14ac:dyDescent="0.2">
      <c r="A289" s="340" t="s">
        <v>4248</v>
      </c>
      <c r="B289" s="345">
        <v>43200</v>
      </c>
      <c r="C289" s="341" t="s">
        <v>4249</v>
      </c>
      <c r="D289" s="341" t="s">
        <v>4250</v>
      </c>
      <c r="E289" s="342" t="s">
        <v>2971</v>
      </c>
      <c r="F289" s="342">
        <v>1</v>
      </c>
      <c r="G289" s="342" t="s">
        <v>4251</v>
      </c>
      <c r="H289" s="342" t="s">
        <v>3645</v>
      </c>
      <c r="I289" s="342" t="s">
        <v>229</v>
      </c>
      <c r="J289" s="345">
        <v>43554</v>
      </c>
      <c r="K289" s="345"/>
      <c r="L289" s="345"/>
      <c r="M289" s="342" t="s">
        <v>2853</v>
      </c>
      <c r="N289" s="342" t="s">
        <v>4982</v>
      </c>
      <c r="O289" s="345">
        <v>43633</v>
      </c>
      <c r="P289" s="355" t="s">
        <v>3022</v>
      </c>
      <c r="Q289" s="342" t="s">
        <v>2835</v>
      </c>
      <c r="R289" s="352" t="s">
        <v>4983</v>
      </c>
      <c r="S289" s="354">
        <f t="shared" si="5"/>
        <v>433</v>
      </c>
    </row>
    <row r="290" spans="1:19" ht="89.25" x14ac:dyDescent="0.2">
      <c r="A290" s="338" t="s">
        <v>4252</v>
      </c>
      <c r="B290" s="339">
        <v>43201</v>
      </c>
      <c r="C290" s="343" t="s">
        <v>4275</v>
      </c>
      <c r="D290" s="343" t="s">
        <v>4276</v>
      </c>
      <c r="E290" s="344" t="s">
        <v>3586</v>
      </c>
      <c r="F290" s="344">
        <v>2</v>
      </c>
      <c r="G290" s="344" t="s">
        <v>2828</v>
      </c>
      <c r="H290" s="344" t="s">
        <v>3423</v>
      </c>
      <c r="I290" s="344" t="s">
        <v>3926</v>
      </c>
      <c r="J290" s="339">
        <v>43231</v>
      </c>
      <c r="K290" s="339"/>
      <c r="L290" s="339"/>
      <c r="M290" s="344" t="s">
        <v>2853</v>
      </c>
      <c r="N290" s="344" t="s">
        <v>3022</v>
      </c>
      <c r="O290" s="339">
        <v>43270</v>
      </c>
      <c r="P290" s="353" t="s">
        <v>3022</v>
      </c>
      <c r="Q290" s="344" t="s">
        <v>2832</v>
      </c>
      <c r="R290" s="354"/>
      <c r="S290" s="354">
        <f t="shared" si="5"/>
        <v>69</v>
      </c>
    </row>
    <row r="291" spans="1:19" ht="114.75" x14ac:dyDescent="0.2">
      <c r="A291" s="340" t="s">
        <v>4253</v>
      </c>
      <c r="B291" s="345">
        <v>43201</v>
      </c>
      <c r="C291" s="341" t="s">
        <v>4254</v>
      </c>
      <c r="D291" s="341" t="s">
        <v>4255</v>
      </c>
      <c r="E291" s="342" t="s">
        <v>4256</v>
      </c>
      <c r="F291" s="342">
        <v>1</v>
      </c>
      <c r="G291" s="342" t="s">
        <v>2828</v>
      </c>
      <c r="H291" s="342" t="s">
        <v>615</v>
      </c>
      <c r="I291" s="342" t="s">
        <v>3926</v>
      </c>
      <c r="J291" s="345">
        <v>43231</v>
      </c>
      <c r="K291" s="345"/>
      <c r="L291" s="345"/>
      <c r="M291" s="342" t="s">
        <v>2853</v>
      </c>
      <c r="N291" s="342" t="s">
        <v>2088</v>
      </c>
      <c r="O291" s="345">
        <v>43206</v>
      </c>
      <c r="P291" s="355" t="s">
        <v>3061</v>
      </c>
      <c r="Q291" s="342" t="s">
        <v>2829</v>
      </c>
      <c r="R291" s="356" t="s">
        <v>2088</v>
      </c>
      <c r="S291" s="354">
        <f t="shared" si="5"/>
        <v>5</v>
      </c>
    </row>
    <row r="292" spans="1:19" ht="51" x14ac:dyDescent="0.2">
      <c r="A292" s="338" t="s">
        <v>4257</v>
      </c>
      <c r="B292" s="339">
        <v>43202</v>
      </c>
      <c r="C292" s="343" t="s">
        <v>4258</v>
      </c>
      <c r="D292" s="343" t="s">
        <v>4259</v>
      </c>
      <c r="E292" s="344" t="s">
        <v>4260</v>
      </c>
      <c r="F292" s="344">
        <v>1</v>
      </c>
      <c r="G292" s="344" t="s">
        <v>2836</v>
      </c>
      <c r="H292" s="344" t="s">
        <v>685</v>
      </c>
      <c r="I292" s="344" t="s">
        <v>4261</v>
      </c>
      <c r="J292" s="339">
        <v>43220</v>
      </c>
      <c r="K292" s="339"/>
      <c r="L292" s="339"/>
      <c r="M292" s="344" t="s">
        <v>5969</v>
      </c>
      <c r="N292" s="344"/>
      <c r="O292" s="339">
        <v>43202</v>
      </c>
      <c r="P292" s="353" t="s">
        <v>3061</v>
      </c>
      <c r="Q292" s="344" t="s">
        <v>4987</v>
      </c>
      <c r="R292" s="354" t="s">
        <v>5970</v>
      </c>
      <c r="S292" s="354">
        <f t="shared" si="5"/>
        <v>0</v>
      </c>
    </row>
    <row r="293" spans="1:19" ht="51" x14ac:dyDescent="0.2">
      <c r="A293" s="340" t="s">
        <v>4262</v>
      </c>
      <c r="B293" s="345">
        <v>43203</v>
      </c>
      <c r="C293" s="341" t="s">
        <v>4263</v>
      </c>
      <c r="D293" s="341" t="s">
        <v>4264</v>
      </c>
      <c r="E293" s="342" t="s">
        <v>3532</v>
      </c>
      <c r="F293" s="342">
        <v>1</v>
      </c>
      <c r="G293" s="342" t="s">
        <v>2828</v>
      </c>
      <c r="H293" s="342" t="s">
        <v>3975</v>
      </c>
      <c r="I293" s="342" t="s">
        <v>3926</v>
      </c>
      <c r="J293" s="345">
        <v>43233</v>
      </c>
      <c r="K293" s="345"/>
      <c r="L293" s="345"/>
      <c r="M293" s="342" t="s">
        <v>2853</v>
      </c>
      <c r="N293" s="342" t="s">
        <v>2088</v>
      </c>
      <c r="O293" s="345">
        <v>43209</v>
      </c>
      <c r="P293" s="355" t="s">
        <v>3061</v>
      </c>
      <c r="Q293" s="342" t="s">
        <v>2829</v>
      </c>
      <c r="R293" s="356"/>
      <c r="S293" s="354">
        <f t="shared" si="5"/>
        <v>6</v>
      </c>
    </row>
    <row r="294" spans="1:19" ht="63.75" x14ac:dyDescent="0.2">
      <c r="A294" s="338" t="s">
        <v>4265</v>
      </c>
      <c r="B294" s="339">
        <v>43203</v>
      </c>
      <c r="C294" s="343" t="s">
        <v>4266</v>
      </c>
      <c r="D294" s="343" t="s">
        <v>4267</v>
      </c>
      <c r="E294" s="344" t="s">
        <v>3519</v>
      </c>
      <c r="F294" s="344">
        <v>1</v>
      </c>
      <c r="G294" s="344" t="s">
        <v>4271</v>
      </c>
      <c r="H294" s="344" t="s">
        <v>486</v>
      </c>
      <c r="I294" s="344" t="s">
        <v>229</v>
      </c>
      <c r="J294" s="339">
        <v>43210</v>
      </c>
      <c r="K294" s="339"/>
      <c r="L294" s="339"/>
      <c r="M294" s="344" t="s">
        <v>2853</v>
      </c>
      <c r="N294" s="344" t="s">
        <v>2088</v>
      </c>
      <c r="O294" s="339">
        <v>43206</v>
      </c>
      <c r="P294" s="353" t="s">
        <v>3061</v>
      </c>
      <c r="Q294" s="344" t="s">
        <v>2829</v>
      </c>
      <c r="R294" s="354"/>
      <c r="S294" s="354">
        <f t="shared" si="5"/>
        <v>3</v>
      </c>
    </row>
    <row r="295" spans="1:19" ht="63.75" x14ac:dyDescent="0.2">
      <c r="A295" s="340" t="s">
        <v>4268</v>
      </c>
      <c r="B295" s="345">
        <v>43206</v>
      </c>
      <c r="C295" s="341" t="s">
        <v>4269</v>
      </c>
      <c r="D295" s="341" t="s">
        <v>4270</v>
      </c>
      <c r="E295" s="342" t="s">
        <v>2971</v>
      </c>
      <c r="F295" s="342">
        <v>1</v>
      </c>
      <c r="G295" s="342" t="s">
        <v>2841</v>
      </c>
      <c r="H295" s="342" t="s">
        <v>3842</v>
      </c>
      <c r="I295" s="342" t="s">
        <v>3211</v>
      </c>
      <c r="J295" s="345">
        <v>43677</v>
      </c>
      <c r="K295" s="345"/>
      <c r="L295" s="345"/>
      <c r="M295" s="342" t="s">
        <v>2853</v>
      </c>
      <c r="N295" s="342" t="s">
        <v>2088</v>
      </c>
      <c r="O295" s="345">
        <v>43452</v>
      </c>
      <c r="P295" s="355" t="s">
        <v>3061</v>
      </c>
      <c r="Q295" s="342" t="s">
        <v>2837</v>
      </c>
      <c r="R295" s="356"/>
      <c r="S295" s="354">
        <f t="shared" si="5"/>
        <v>246</v>
      </c>
    </row>
    <row r="296" spans="1:19" ht="114.75" x14ac:dyDescent="0.2">
      <c r="A296" s="338" t="s">
        <v>4272</v>
      </c>
      <c r="B296" s="339">
        <v>43208</v>
      </c>
      <c r="C296" s="343" t="s">
        <v>4273</v>
      </c>
      <c r="D296" s="343" t="s">
        <v>4274</v>
      </c>
      <c r="E296" s="344" t="s">
        <v>3825</v>
      </c>
      <c r="F296" s="344">
        <v>1</v>
      </c>
      <c r="G296" s="344" t="s">
        <v>2828</v>
      </c>
      <c r="H296" s="344" t="s">
        <v>2058</v>
      </c>
      <c r="I296" s="344" t="s">
        <v>3926</v>
      </c>
      <c r="J296" s="339">
        <v>43280</v>
      </c>
      <c r="K296" s="339"/>
      <c r="L296" s="339"/>
      <c r="M296" s="344" t="s">
        <v>2853</v>
      </c>
      <c r="N296" s="344" t="s">
        <v>2088</v>
      </c>
      <c r="O296" s="339">
        <v>43381</v>
      </c>
      <c r="P296" s="353" t="s">
        <v>3022</v>
      </c>
      <c r="Q296" s="344" t="s">
        <v>2835</v>
      </c>
      <c r="R296" s="354"/>
      <c r="S296" s="354">
        <f t="shared" si="5"/>
        <v>173</v>
      </c>
    </row>
    <row r="297" spans="1:19" ht="140.25" x14ac:dyDescent="0.2">
      <c r="A297" s="340" t="s">
        <v>4277</v>
      </c>
      <c r="B297" s="345">
        <v>43208</v>
      </c>
      <c r="C297" s="341" t="s">
        <v>4278</v>
      </c>
      <c r="D297" s="341" t="s">
        <v>4279</v>
      </c>
      <c r="E297" s="342" t="s">
        <v>4208</v>
      </c>
      <c r="F297" s="342">
        <v>1</v>
      </c>
      <c r="G297" s="342" t="s">
        <v>2838</v>
      </c>
      <c r="H297" s="342" t="s">
        <v>685</v>
      </c>
      <c r="I297" s="342" t="s">
        <v>229</v>
      </c>
      <c r="J297" s="345">
        <v>43251</v>
      </c>
      <c r="K297" s="345"/>
      <c r="L297" s="345"/>
      <c r="M297" s="342" t="s">
        <v>2853</v>
      </c>
      <c r="N297" s="342" t="s">
        <v>3022</v>
      </c>
      <c r="O297" s="345">
        <v>43287</v>
      </c>
      <c r="P297" s="355" t="s">
        <v>3022</v>
      </c>
      <c r="Q297" s="342" t="s">
        <v>2832</v>
      </c>
      <c r="R297" s="356"/>
      <c r="S297" s="354">
        <f t="shared" si="5"/>
        <v>79</v>
      </c>
    </row>
    <row r="298" spans="1:19" ht="38.25" x14ac:dyDescent="0.2">
      <c r="A298" s="338" t="s">
        <v>4280</v>
      </c>
      <c r="B298" s="339">
        <v>43208</v>
      </c>
      <c r="C298" s="343" t="s">
        <v>4281</v>
      </c>
      <c r="D298" s="343" t="s">
        <v>4282</v>
      </c>
      <c r="E298" s="344" t="s">
        <v>3323</v>
      </c>
      <c r="F298" s="344">
        <v>1</v>
      </c>
      <c r="G298" s="344" t="s">
        <v>2828</v>
      </c>
      <c r="H298" s="344" t="s">
        <v>3729</v>
      </c>
      <c r="I298" s="344" t="s">
        <v>3211</v>
      </c>
      <c r="J298" s="339">
        <v>43238</v>
      </c>
      <c r="K298" s="339"/>
      <c r="L298" s="339"/>
      <c r="M298" s="344" t="s">
        <v>2853</v>
      </c>
      <c r="N298" s="344" t="s">
        <v>2088</v>
      </c>
      <c r="O298" s="339">
        <v>43209</v>
      </c>
      <c r="P298" s="353" t="s">
        <v>3061</v>
      </c>
      <c r="Q298" s="344" t="s">
        <v>2829</v>
      </c>
      <c r="R298" s="354" t="s">
        <v>2088</v>
      </c>
      <c r="S298" s="354">
        <f t="shared" si="5"/>
        <v>1</v>
      </c>
    </row>
    <row r="299" spans="1:19" ht="76.5" x14ac:dyDescent="0.2">
      <c r="A299" s="340" t="s">
        <v>4283</v>
      </c>
      <c r="B299" s="345">
        <v>43208</v>
      </c>
      <c r="C299" s="341" t="s">
        <v>4284</v>
      </c>
      <c r="D299" s="341" t="s">
        <v>4285</v>
      </c>
      <c r="E299" s="342" t="s">
        <v>4260</v>
      </c>
      <c r="F299" s="342">
        <v>2</v>
      </c>
      <c r="G299" s="342" t="s">
        <v>2828</v>
      </c>
      <c r="H299" s="342" t="s">
        <v>615</v>
      </c>
      <c r="I299" s="342" t="s">
        <v>3211</v>
      </c>
      <c r="J299" s="345">
        <v>43209</v>
      </c>
      <c r="K299" s="345"/>
      <c r="L299" s="345"/>
      <c r="M299" s="342" t="s">
        <v>2853</v>
      </c>
      <c r="N299" s="342" t="s">
        <v>2912</v>
      </c>
      <c r="O299" s="345">
        <v>43210</v>
      </c>
      <c r="P299" s="355" t="s">
        <v>3022</v>
      </c>
      <c r="Q299" s="342" t="s">
        <v>2829</v>
      </c>
      <c r="R299" s="356"/>
      <c r="S299" s="354">
        <f t="shared" si="5"/>
        <v>2</v>
      </c>
    </row>
    <row r="300" spans="1:19" ht="38.25" x14ac:dyDescent="0.2">
      <c r="A300" s="338" t="s">
        <v>4286</v>
      </c>
      <c r="B300" s="339">
        <v>43210</v>
      </c>
      <c r="C300" s="343" t="s">
        <v>4287</v>
      </c>
      <c r="D300" s="343" t="s">
        <v>4288</v>
      </c>
      <c r="E300" s="344" t="s">
        <v>2869</v>
      </c>
      <c r="F300" s="344">
        <v>1</v>
      </c>
      <c r="G300" s="344" t="s">
        <v>2828</v>
      </c>
      <c r="H300" s="344" t="s">
        <v>4232</v>
      </c>
      <c r="I300" s="344" t="s">
        <v>3926</v>
      </c>
      <c r="J300" s="339">
        <v>43301</v>
      </c>
      <c r="K300" s="339"/>
      <c r="L300" s="339"/>
      <c r="M300" s="344" t="s">
        <v>2853</v>
      </c>
      <c r="N300" s="344" t="s">
        <v>2088</v>
      </c>
      <c r="O300" s="339">
        <v>43291</v>
      </c>
      <c r="P300" s="353" t="s">
        <v>3061</v>
      </c>
      <c r="Q300" s="344" t="s">
        <v>4393</v>
      </c>
      <c r="R300" s="354" t="s">
        <v>2088</v>
      </c>
      <c r="S300" s="354">
        <f t="shared" si="5"/>
        <v>81</v>
      </c>
    </row>
    <row r="301" spans="1:19" ht="51" x14ac:dyDescent="0.2">
      <c r="A301" s="340" t="s">
        <v>4289</v>
      </c>
      <c r="B301" s="345">
        <v>43216</v>
      </c>
      <c r="C301" s="341" t="s">
        <v>4290</v>
      </c>
      <c r="D301" s="341" t="s">
        <v>3307</v>
      </c>
      <c r="E301" s="342" t="s">
        <v>2971</v>
      </c>
      <c r="F301" s="342">
        <v>1</v>
      </c>
      <c r="G301" s="342" t="s">
        <v>2841</v>
      </c>
      <c r="H301" s="342" t="s">
        <v>3991</v>
      </c>
      <c r="I301" s="342" t="s">
        <v>229</v>
      </c>
      <c r="J301" s="345">
        <v>43220</v>
      </c>
      <c r="K301" s="345"/>
      <c r="L301" s="345"/>
      <c r="M301" s="342" t="s">
        <v>2853</v>
      </c>
      <c r="N301" s="342" t="s">
        <v>2088</v>
      </c>
      <c r="O301" s="345">
        <v>43220</v>
      </c>
      <c r="P301" s="355" t="s">
        <v>3061</v>
      </c>
      <c r="Q301" s="342" t="s">
        <v>2829</v>
      </c>
      <c r="R301" s="356"/>
      <c r="S301" s="354">
        <f t="shared" si="5"/>
        <v>4</v>
      </c>
    </row>
    <row r="302" spans="1:19" ht="89.25" x14ac:dyDescent="0.2">
      <c r="A302" s="338" t="s">
        <v>4291</v>
      </c>
      <c r="B302" s="339">
        <v>43217</v>
      </c>
      <c r="C302" s="343" t="s">
        <v>4292</v>
      </c>
      <c r="D302" s="343" t="s">
        <v>4293</v>
      </c>
      <c r="E302" s="344" t="s">
        <v>3586</v>
      </c>
      <c r="F302" s="344">
        <v>1</v>
      </c>
      <c r="G302" s="344" t="s">
        <v>2828</v>
      </c>
      <c r="H302" s="344" t="s">
        <v>2106</v>
      </c>
      <c r="I302" s="344" t="s">
        <v>3211</v>
      </c>
      <c r="J302" s="339">
        <v>43251</v>
      </c>
      <c r="K302" s="339"/>
      <c r="L302" s="339"/>
      <c r="M302" s="344" t="s">
        <v>2853</v>
      </c>
      <c r="N302" s="344" t="s">
        <v>2088</v>
      </c>
      <c r="O302" s="339">
        <v>43221</v>
      </c>
      <c r="P302" s="353" t="s">
        <v>3061</v>
      </c>
      <c r="Q302" s="344" t="s">
        <v>2829</v>
      </c>
      <c r="R302" s="354"/>
      <c r="S302" s="354">
        <f t="shared" si="5"/>
        <v>4</v>
      </c>
    </row>
    <row r="303" spans="1:19" ht="51" x14ac:dyDescent="0.2">
      <c r="A303" s="340" t="s">
        <v>4294</v>
      </c>
      <c r="B303" s="345">
        <v>43217</v>
      </c>
      <c r="C303" s="341" t="s">
        <v>4295</v>
      </c>
      <c r="D303" s="341" t="s">
        <v>4296</v>
      </c>
      <c r="E303" s="342" t="s">
        <v>3825</v>
      </c>
      <c r="F303" s="342">
        <v>1</v>
      </c>
      <c r="G303" s="342" t="s">
        <v>2828</v>
      </c>
      <c r="H303" s="342" t="s">
        <v>3747</v>
      </c>
      <c r="I303" s="342" t="s">
        <v>3645</v>
      </c>
      <c r="J303" s="345">
        <v>43224</v>
      </c>
      <c r="K303" s="345"/>
      <c r="L303" s="345"/>
      <c r="M303" s="342" t="s">
        <v>2853</v>
      </c>
      <c r="N303" s="342" t="s">
        <v>2088</v>
      </c>
      <c r="O303" s="345">
        <v>43220</v>
      </c>
      <c r="P303" s="355" t="s">
        <v>3061</v>
      </c>
      <c r="Q303" s="342" t="s">
        <v>2829</v>
      </c>
      <c r="R303" s="356"/>
      <c r="S303" s="354">
        <f t="shared" si="5"/>
        <v>3</v>
      </c>
    </row>
    <row r="304" spans="1:19" ht="51" x14ac:dyDescent="0.2">
      <c r="A304" s="338" t="s">
        <v>4297</v>
      </c>
      <c r="B304" s="339">
        <v>43217</v>
      </c>
      <c r="C304" s="343" t="s">
        <v>4298</v>
      </c>
      <c r="D304" s="343" t="s">
        <v>4299</v>
      </c>
      <c r="E304" s="344" t="s">
        <v>4208</v>
      </c>
      <c r="F304" s="344">
        <v>1</v>
      </c>
      <c r="G304" s="344" t="s">
        <v>4300</v>
      </c>
      <c r="H304" s="344" t="s">
        <v>1461</v>
      </c>
      <c r="I304" s="344" t="s">
        <v>229</v>
      </c>
      <c r="J304" s="365" t="s">
        <v>5169</v>
      </c>
      <c r="K304" s="365"/>
      <c r="L304" s="365"/>
      <c r="M304" s="344" t="s">
        <v>2853</v>
      </c>
      <c r="N304" s="344" t="s">
        <v>3061</v>
      </c>
      <c r="O304" s="339">
        <v>43769</v>
      </c>
      <c r="P304" s="353" t="s">
        <v>3022</v>
      </c>
      <c r="Q304" s="344" t="s">
        <v>2839</v>
      </c>
      <c r="R304" s="354"/>
      <c r="S304" s="354">
        <f t="shared" si="5"/>
        <v>552</v>
      </c>
    </row>
    <row r="305" spans="1:19" ht="51" x14ac:dyDescent="0.2">
      <c r="A305" s="340" t="s">
        <v>4301</v>
      </c>
      <c r="B305" s="345">
        <v>43221</v>
      </c>
      <c r="C305" s="341" t="s">
        <v>4302</v>
      </c>
      <c r="D305" s="341" t="s">
        <v>4303</v>
      </c>
      <c r="E305" s="342" t="s">
        <v>3825</v>
      </c>
      <c r="F305" s="342">
        <v>1</v>
      </c>
      <c r="G305" s="342" t="s">
        <v>2828</v>
      </c>
      <c r="H305" s="342" t="s">
        <v>2058</v>
      </c>
      <c r="I305" s="342" t="s">
        <v>3211</v>
      </c>
      <c r="J305" s="345">
        <v>43252</v>
      </c>
      <c r="K305" s="345"/>
      <c r="L305" s="345"/>
      <c r="M305" s="342" t="s">
        <v>2853</v>
      </c>
      <c r="N305" s="342" t="s">
        <v>2088</v>
      </c>
      <c r="O305" s="345">
        <v>43224</v>
      </c>
      <c r="P305" s="355" t="s">
        <v>3061</v>
      </c>
      <c r="Q305" s="342" t="s">
        <v>2829</v>
      </c>
      <c r="R305" s="356"/>
      <c r="S305" s="354">
        <f t="shared" si="5"/>
        <v>3</v>
      </c>
    </row>
    <row r="306" spans="1:19" ht="38.25" x14ac:dyDescent="0.2">
      <c r="A306" s="338" t="s">
        <v>4305</v>
      </c>
      <c r="B306" s="339">
        <v>43227</v>
      </c>
      <c r="C306" s="343" t="s">
        <v>4307</v>
      </c>
      <c r="D306" s="343" t="s">
        <v>4306</v>
      </c>
      <c r="E306" s="344" t="s">
        <v>2971</v>
      </c>
      <c r="F306" s="344">
        <v>1</v>
      </c>
      <c r="G306" s="344" t="s">
        <v>2838</v>
      </c>
      <c r="H306" s="344" t="s">
        <v>685</v>
      </c>
      <c r="I306" s="344" t="s">
        <v>229</v>
      </c>
      <c r="J306" s="339">
        <v>43251</v>
      </c>
      <c r="K306" s="339"/>
      <c r="L306" s="339"/>
      <c r="M306" s="344" t="s">
        <v>2853</v>
      </c>
      <c r="N306" s="344" t="s">
        <v>3022</v>
      </c>
      <c r="O306" s="339">
        <v>43278</v>
      </c>
      <c r="P306" s="353" t="s">
        <v>3022</v>
      </c>
      <c r="Q306" s="344" t="s">
        <v>2832</v>
      </c>
      <c r="R306" s="354"/>
      <c r="S306" s="354">
        <f t="shared" si="5"/>
        <v>51</v>
      </c>
    </row>
    <row r="307" spans="1:19" ht="76.5" x14ac:dyDescent="0.2">
      <c r="A307" s="340" t="s">
        <v>4308</v>
      </c>
      <c r="B307" s="345">
        <v>43229</v>
      </c>
      <c r="C307" s="341" t="s">
        <v>4309</v>
      </c>
      <c r="D307" s="341" t="s">
        <v>4310</v>
      </c>
      <c r="E307" s="342" t="s">
        <v>3084</v>
      </c>
      <c r="F307" s="342">
        <v>1</v>
      </c>
      <c r="G307" s="342" t="s">
        <v>2828</v>
      </c>
      <c r="H307" s="342" t="s">
        <v>4079</v>
      </c>
      <c r="I307" s="342" t="s">
        <v>3926</v>
      </c>
      <c r="J307" s="345">
        <v>43321</v>
      </c>
      <c r="K307" s="345"/>
      <c r="L307" s="345"/>
      <c r="M307" s="342" t="s">
        <v>2853</v>
      </c>
      <c r="N307" s="342" t="s">
        <v>3022</v>
      </c>
      <c r="O307" s="345">
        <v>43343</v>
      </c>
      <c r="P307" s="355" t="s">
        <v>3022</v>
      </c>
      <c r="Q307" s="342" t="s">
        <v>2835</v>
      </c>
      <c r="R307" s="356"/>
      <c r="S307" s="354">
        <f t="shared" si="5"/>
        <v>114</v>
      </c>
    </row>
    <row r="308" spans="1:19" ht="89.25" x14ac:dyDescent="0.2">
      <c r="A308" s="338" t="s">
        <v>4311</v>
      </c>
      <c r="B308" s="339">
        <v>43236</v>
      </c>
      <c r="C308" s="343" t="s">
        <v>4312</v>
      </c>
      <c r="D308" s="343" t="s">
        <v>4313</v>
      </c>
      <c r="E308" s="344" t="s">
        <v>4208</v>
      </c>
      <c r="F308" s="344">
        <v>1</v>
      </c>
      <c r="G308" s="344" t="s">
        <v>2828</v>
      </c>
      <c r="H308" s="344" t="s">
        <v>615</v>
      </c>
      <c r="I308" s="344" t="s">
        <v>3926</v>
      </c>
      <c r="J308" s="339">
        <v>43267</v>
      </c>
      <c r="K308" s="339"/>
      <c r="L308" s="339"/>
      <c r="M308" s="344" t="s">
        <v>2853</v>
      </c>
      <c r="N308" s="344" t="s">
        <v>2088</v>
      </c>
      <c r="O308" s="339">
        <v>43257</v>
      </c>
      <c r="P308" s="353" t="s">
        <v>3061</v>
      </c>
      <c r="Q308" s="344" t="s">
        <v>2829</v>
      </c>
      <c r="R308" s="354"/>
      <c r="S308" s="354">
        <f t="shared" si="5"/>
        <v>21</v>
      </c>
    </row>
    <row r="309" spans="1:19" ht="51" x14ac:dyDescent="0.2">
      <c r="A309" s="340" t="s">
        <v>4314</v>
      </c>
      <c r="B309" s="345">
        <v>43236</v>
      </c>
      <c r="C309" s="341" t="s">
        <v>4317</v>
      </c>
      <c r="D309" s="341" t="s">
        <v>4315</v>
      </c>
      <c r="E309" s="342" t="s">
        <v>4316</v>
      </c>
      <c r="F309" s="342">
        <v>2</v>
      </c>
      <c r="G309" s="342" t="s">
        <v>2828</v>
      </c>
      <c r="H309" s="342" t="s">
        <v>615</v>
      </c>
      <c r="I309" s="342" t="s">
        <v>3211</v>
      </c>
      <c r="J309" s="345">
        <v>43250</v>
      </c>
      <c r="K309" s="345"/>
      <c r="L309" s="345"/>
      <c r="M309" s="342" t="s">
        <v>2853</v>
      </c>
      <c r="N309" s="342" t="s">
        <v>2088</v>
      </c>
      <c r="O309" s="345">
        <v>43237</v>
      </c>
      <c r="P309" s="355" t="s">
        <v>3061</v>
      </c>
      <c r="Q309" s="342" t="s">
        <v>3677</v>
      </c>
      <c r="R309" s="356"/>
      <c r="S309" s="354">
        <f t="shared" si="5"/>
        <v>1</v>
      </c>
    </row>
    <row r="310" spans="1:19" ht="51" x14ac:dyDescent="0.2">
      <c r="A310" s="338" t="s">
        <v>4318</v>
      </c>
      <c r="B310" s="339">
        <v>43236</v>
      </c>
      <c r="C310" s="343" t="s">
        <v>4319</v>
      </c>
      <c r="D310" s="343" t="s">
        <v>4320</v>
      </c>
      <c r="E310" s="344" t="s">
        <v>4260</v>
      </c>
      <c r="F310" s="344">
        <v>1</v>
      </c>
      <c r="G310" s="344" t="s">
        <v>2828</v>
      </c>
      <c r="H310" s="344" t="s">
        <v>4079</v>
      </c>
      <c r="I310" s="344" t="s">
        <v>3926</v>
      </c>
      <c r="J310" s="339">
        <v>43267</v>
      </c>
      <c r="K310" s="339"/>
      <c r="L310" s="339"/>
      <c r="M310" s="344" t="s">
        <v>2853</v>
      </c>
      <c r="N310" s="344" t="s">
        <v>2088</v>
      </c>
      <c r="O310" s="339">
        <v>43237</v>
      </c>
      <c r="P310" s="353" t="s">
        <v>3061</v>
      </c>
      <c r="Q310" s="344" t="s">
        <v>2829</v>
      </c>
      <c r="R310" s="354"/>
      <c r="S310" s="354">
        <f t="shared" si="5"/>
        <v>1</v>
      </c>
    </row>
    <row r="311" spans="1:19" ht="89.25" x14ac:dyDescent="0.2">
      <c r="A311" s="340" t="s">
        <v>4321</v>
      </c>
      <c r="B311" s="345">
        <v>43237</v>
      </c>
      <c r="C311" s="341" t="s">
        <v>4336</v>
      </c>
      <c r="D311" s="341" t="s">
        <v>4337</v>
      </c>
      <c r="E311" s="342" t="s">
        <v>4316</v>
      </c>
      <c r="F311" s="342">
        <v>1</v>
      </c>
      <c r="G311" s="342" t="s">
        <v>2828</v>
      </c>
      <c r="H311" s="342" t="s">
        <v>4232</v>
      </c>
      <c r="I311" s="342" t="s">
        <v>3211</v>
      </c>
      <c r="J311" s="345">
        <v>43266</v>
      </c>
      <c r="K311" s="345"/>
      <c r="L311" s="345"/>
      <c r="M311" s="342" t="s">
        <v>2853</v>
      </c>
      <c r="N311" s="342" t="s">
        <v>2088</v>
      </c>
      <c r="O311" s="345">
        <v>43243</v>
      </c>
      <c r="P311" s="355" t="s">
        <v>3061</v>
      </c>
      <c r="Q311" s="342" t="s">
        <v>2829</v>
      </c>
      <c r="R311" s="356"/>
      <c r="S311" s="354">
        <f t="shared" si="5"/>
        <v>6</v>
      </c>
    </row>
    <row r="312" spans="1:19" ht="51" x14ac:dyDescent="0.2">
      <c r="A312" s="338" t="s">
        <v>4322</v>
      </c>
      <c r="B312" s="339">
        <v>43241</v>
      </c>
      <c r="C312" s="343" t="s">
        <v>4323</v>
      </c>
      <c r="D312" s="343" t="s">
        <v>4324</v>
      </c>
      <c r="E312" s="344" t="s">
        <v>4316</v>
      </c>
      <c r="F312" s="344">
        <v>1</v>
      </c>
      <c r="G312" s="344" t="s">
        <v>2828</v>
      </c>
      <c r="H312" s="344" t="s">
        <v>4079</v>
      </c>
      <c r="I312" s="344" t="s">
        <v>3926</v>
      </c>
      <c r="J312" s="339">
        <v>43333</v>
      </c>
      <c r="K312" s="339"/>
      <c r="L312" s="339"/>
      <c r="M312" s="344" t="s">
        <v>2853</v>
      </c>
      <c r="N312" s="344" t="s">
        <v>2088</v>
      </c>
      <c r="O312" s="339">
        <v>43283</v>
      </c>
      <c r="P312" s="353" t="s">
        <v>3061</v>
      </c>
      <c r="Q312" s="344" t="s">
        <v>4393</v>
      </c>
      <c r="R312" s="354"/>
      <c r="S312" s="354">
        <f t="shared" si="5"/>
        <v>42</v>
      </c>
    </row>
    <row r="313" spans="1:19" ht="51" x14ac:dyDescent="0.2">
      <c r="A313" s="340" t="s">
        <v>4325</v>
      </c>
      <c r="B313" s="345">
        <v>43243</v>
      </c>
      <c r="C313" s="341" t="s">
        <v>4326</v>
      </c>
      <c r="D313" s="341" t="s">
        <v>4327</v>
      </c>
      <c r="E313" s="342" t="s">
        <v>4256</v>
      </c>
      <c r="F313" s="342">
        <v>1</v>
      </c>
      <c r="G313" s="342" t="s">
        <v>2828</v>
      </c>
      <c r="H313" s="342" t="s">
        <v>2058</v>
      </c>
      <c r="I313" s="342" t="s">
        <v>3211</v>
      </c>
      <c r="J313" s="345">
        <v>43276</v>
      </c>
      <c r="K313" s="345"/>
      <c r="L313" s="345"/>
      <c r="M313" s="342" t="s">
        <v>2853</v>
      </c>
      <c r="N313" s="342" t="s">
        <v>2088</v>
      </c>
      <c r="O313" s="345">
        <v>43243</v>
      </c>
      <c r="P313" s="355" t="s">
        <v>3061</v>
      </c>
      <c r="Q313" s="342" t="s">
        <v>2829</v>
      </c>
      <c r="R313" s="356"/>
      <c r="S313" s="354">
        <f t="shared" ref="S313:S376" si="6">O313-B313</f>
        <v>0</v>
      </c>
    </row>
    <row r="314" spans="1:19" ht="89.25" x14ac:dyDescent="0.2">
      <c r="A314" s="338" t="s">
        <v>4328</v>
      </c>
      <c r="B314" s="339">
        <v>43245</v>
      </c>
      <c r="C314" s="343" t="s">
        <v>4329</v>
      </c>
      <c r="D314" s="343" t="s">
        <v>3606</v>
      </c>
      <c r="E314" s="344" t="s">
        <v>4256</v>
      </c>
      <c r="F314" s="344">
        <v>1</v>
      </c>
      <c r="G314" s="344" t="s">
        <v>2828</v>
      </c>
      <c r="H314" s="344" t="s">
        <v>615</v>
      </c>
      <c r="I314" s="344" t="s">
        <v>3926</v>
      </c>
      <c r="J314" s="339">
        <v>43266</v>
      </c>
      <c r="K314" s="339"/>
      <c r="L314" s="339"/>
      <c r="M314" s="344" t="s">
        <v>2853</v>
      </c>
      <c r="N314" s="344" t="s">
        <v>2088</v>
      </c>
      <c r="O314" s="339">
        <v>43264</v>
      </c>
      <c r="P314" s="353" t="s">
        <v>3061</v>
      </c>
      <c r="Q314" s="344" t="s">
        <v>2829</v>
      </c>
      <c r="R314" s="354"/>
      <c r="S314" s="354">
        <f t="shared" si="6"/>
        <v>19</v>
      </c>
    </row>
    <row r="315" spans="1:19" ht="89.25" x14ac:dyDescent="0.2">
      <c r="A315" s="340" t="s">
        <v>4330</v>
      </c>
      <c r="B315" s="345">
        <v>43245</v>
      </c>
      <c r="C315" s="341" t="s">
        <v>4331</v>
      </c>
      <c r="D315" s="341" t="s">
        <v>4332</v>
      </c>
      <c r="E315" s="342" t="s">
        <v>2971</v>
      </c>
      <c r="F315" s="342">
        <v>1</v>
      </c>
      <c r="G315" s="342" t="s">
        <v>2841</v>
      </c>
      <c r="H315" s="342" t="s">
        <v>3926</v>
      </c>
      <c r="I315" s="342" t="s">
        <v>3926</v>
      </c>
      <c r="J315" s="345">
        <v>43276</v>
      </c>
      <c r="K315" s="345"/>
      <c r="L315" s="345"/>
      <c r="M315" s="342" t="s">
        <v>2853</v>
      </c>
      <c r="N315" s="342" t="s">
        <v>2088</v>
      </c>
      <c r="O315" s="345">
        <v>43271</v>
      </c>
      <c r="P315" s="355" t="s">
        <v>3061</v>
      </c>
      <c r="Q315" s="342" t="s">
        <v>2829</v>
      </c>
      <c r="R315" s="356"/>
      <c r="S315" s="354">
        <f t="shared" si="6"/>
        <v>26</v>
      </c>
    </row>
    <row r="316" spans="1:19" ht="51" x14ac:dyDescent="0.2">
      <c r="A316" s="338" t="s">
        <v>4333</v>
      </c>
      <c r="B316" s="339">
        <v>43250</v>
      </c>
      <c r="C316" s="343" t="s">
        <v>4334</v>
      </c>
      <c r="D316" s="343" t="s">
        <v>4335</v>
      </c>
      <c r="E316" s="344" t="s">
        <v>3777</v>
      </c>
      <c r="F316" s="344">
        <v>1</v>
      </c>
      <c r="G316" s="344" t="s">
        <v>2828</v>
      </c>
      <c r="H316" s="344" t="s">
        <v>2058</v>
      </c>
      <c r="I316" s="344" t="s">
        <v>3926</v>
      </c>
      <c r="J316" s="339">
        <v>43280</v>
      </c>
      <c r="K316" s="339"/>
      <c r="L316" s="339"/>
      <c r="M316" s="344" t="s">
        <v>2853</v>
      </c>
      <c r="N316" s="344" t="s">
        <v>2088</v>
      </c>
      <c r="O316" s="339">
        <v>43252</v>
      </c>
      <c r="P316" s="353" t="s">
        <v>3061</v>
      </c>
      <c r="Q316" s="344" t="s">
        <v>2829</v>
      </c>
      <c r="R316" s="354"/>
      <c r="S316" s="354">
        <f t="shared" si="6"/>
        <v>2</v>
      </c>
    </row>
    <row r="317" spans="1:19" ht="89.25" x14ac:dyDescent="0.2">
      <c r="A317" s="340" t="s">
        <v>4338</v>
      </c>
      <c r="B317" s="345">
        <v>43255</v>
      </c>
      <c r="C317" s="341" t="s">
        <v>4339</v>
      </c>
      <c r="D317" s="341" t="s">
        <v>4030</v>
      </c>
      <c r="E317" s="342" t="s">
        <v>4260</v>
      </c>
      <c r="F317" s="342">
        <v>1</v>
      </c>
      <c r="G317" s="342" t="s">
        <v>2828</v>
      </c>
      <c r="H317" s="342" t="s">
        <v>4232</v>
      </c>
      <c r="I317" s="342" t="s">
        <v>3211</v>
      </c>
      <c r="J317" s="345">
        <v>43294</v>
      </c>
      <c r="K317" s="345"/>
      <c r="L317" s="345"/>
      <c r="M317" s="342" t="s">
        <v>2853</v>
      </c>
      <c r="N317" s="342" t="s">
        <v>2088</v>
      </c>
      <c r="O317" s="345">
        <v>43258</v>
      </c>
      <c r="P317" s="355" t="s">
        <v>3061</v>
      </c>
      <c r="Q317" s="342" t="s">
        <v>3677</v>
      </c>
      <c r="R317" s="356"/>
      <c r="S317" s="354">
        <f t="shared" si="6"/>
        <v>3</v>
      </c>
    </row>
    <row r="318" spans="1:19" ht="51" x14ac:dyDescent="0.2">
      <c r="A318" s="338" t="s">
        <v>4341</v>
      </c>
      <c r="B318" s="339">
        <v>43258</v>
      </c>
      <c r="C318" s="343" t="s">
        <v>4342</v>
      </c>
      <c r="D318" s="343" t="s">
        <v>4343</v>
      </c>
      <c r="E318" s="344" t="s">
        <v>2971</v>
      </c>
      <c r="F318" s="344">
        <v>1</v>
      </c>
      <c r="G318" s="344" t="s">
        <v>2828</v>
      </c>
      <c r="H318" s="344" t="s">
        <v>3842</v>
      </c>
      <c r="I318" s="344" t="s">
        <v>3211</v>
      </c>
      <c r="J318" s="339">
        <v>43280</v>
      </c>
      <c r="K318" s="339"/>
      <c r="L318" s="339"/>
      <c r="M318" s="344" t="s">
        <v>2853</v>
      </c>
      <c r="N318" s="344"/>
      <c r="O318" s="339">
        <v>43259</v>
      </c>
      <c r="P318" s="353" t="s">
        <v>3061</v>
      </c>
      <c r="Q318" s="344" t="s">
        <v>2829</v>
      </c>
      <c r="R318" s="354"/>
      <c r="S318" s="354">
        <f t="shared" si="6"/>
        <v>1</v>
      </c>
    </row>
    <row r="319" spans="1:19" ht="51" x14ac:dyDescent="0.2">
      <c r="A319" s="340" t="s">
        <v>4344</v>
      </c>
      <c r="B319" s="345">
        <v>43262</v>
      </c>
      <c r="C319" s="341" t="s">
        <v>4345</v>
      </c>
      <c r="D319" s="341" t="s">
        <v>4346</v>
      </c>
      <c r="E319" s="342" t="s">
        <v>3777</v>
      </c>
      <c r="F319" s="342">
        <v>1</v>
      </c>
      <c r="G319" s="342" t="s">
        <v>2828</v>
      </c>
      <c r="H319" s="342" t="s">
        <v>2058</v>
      </c>
      <c r="I319" s="342" t="s">
        <v>3926</v>
      </c>
      <c r="J319" s="345">
        <v>43292</v>
      </c>
      <c r="K319" s="345"/>
      <c r="L319" s="345"/>
      <c r="M319" s="342" t="s">
        <v>2853</v>
      </c>
      <c r="N319" s="342" t="s">
        <v>2088</v>
      </c>
      <c r="O319" s="345">
        <v>43277</v>
      </c>
      <c r="P319" s="355" t="s">
        <v>3061</v>
      </c>
      <c r="Q319" s="342" t="s">
        <v>2829</v>
      </c>
      <c r="R319" s="356"/>
      <c r="S319" s="354">
        <f t="shared" si="6"/>
        <v>15</v>
      </c>
    </row>
    <row r="320" spans="1:19" ht="51" x14ac:dyDescent="0.2">
      <c r="A320" s="338" t="s">
        <v>4347</v>
      </c>
      <c r="B320" s="339">
        <v>43263</v>
      </c>
      <c r="C320" s="343" t="s">
        <v>4348</v>
      </c>
      <c r="D320" s="343" t="s">
        <v>4141</v>
      </c>
      <c r="E320" s="344" t="s">
        <v>2971</v>
      </c>
      <c r="F320" s="344">
        <v>1</v>
      </c>
      <c r="G320" s="344" t="s">
        <v>2828</v>
      </c>
      <c r="H320" s="344" t="s">
        <v>3926</v>
      </c>
      <c r="I320" s="344" t="s">
        <v>3926</v>
      </c>
      <c r="J320" s="339">
        <v>43324</v>
      </c>
      <c r="K320" s="339"/>
      <c r="L320" s="339"/>
      <c r="M320" s="344" t="s">
        <v>2853</v>
      </c>
      <c r="N320" s="344" t="s">
        <v>2088</v>
      </c>
      <c r="O320" s="339">
        <v>43308</v>
      </c>
      <c r="P320" s="353" t="s">
        <v>3061</v>
      </c>
      <c r="Q320" s="344" t="s">
        <v>2832</v>
      </c>
      <c r="R320" s="354"/>
      <c r="S320" s="354">
        <f t="shared" si="6"/>
        <v>45</v>
      </c>
    </row>
    <row r="321" spans="1:19" ht="76.5" x14ac:dyDescent="0.2">
      <c r="A321" s="340" t="s">
        <v>4349</v>
      </c>
      <c r="B321" s="345">
        <v>43263</v>
      </c>
      <c r="C321" s="341" t="s">
        <v>4351</v>
      </c>
      <c r="D321" s="341" t="s">
        <v>4350</v>
      </c>
      <c r="E321" s="342" t="s">
        <v>2971</v>
      </c>
      <c r="F321" s="342">
        <v>1</v>
      </c>
      <c r="G321" s="342" t="s">
        <v>2836</v>
      </c>
      <c r="H321" s="342" t="s">
        <v>685</v>
      </c>
      <c r="I321" s="342" t="s">
        <v>3645</v>
      </c>
      <c r="J321" s="345">
        <v>43263</v>
      </c>
      <c r="K321" s="345"/>
      <c r="L321" s="345"/>
      <c r="M321" s="342" t="s">
        <v>2853</v>
      </c>
      <c r="N321" s="342" t="s">
        <v>2088</v>
      </c>
      <c r="O321" s="345">
        <v>43263</v>
      </c>
      <c r="P321" s="355" t="s">
        <v>3061</v>
      </c>
      <c r="Q321" s="342" t="s">
        <v>2829</v>
      </c>
      <c r="R321" s="356"/>
      <c r="S321" s="354">
        <f t="shared" si="6"/>
        <v>0</v>
      </c>
    </row>
    <row r="322" spans="1:19" ht="51" x14ac:dyDescent="0.2">
      <c r="A322" s="338" t="s">
        <v>4352</v>
      </c>
      <c r="B322" s="339">
        <v>43263</v>
      </c>
      <c r="C322" s="343" t="s">
        <v>4363</v>
      </c>
      <c r="D322" s="343" t="s">
        <v>4364</v>
      </c>
      <c r="E322" s="344" t="s">
        <v>2971</v>
      </c>
      <c r="F322" s="344">
        <v>1</v>
      </c>
      <c r="G322" s="344" t="s">
        <v>2828</v>
      </c>
      <c r="H322" s="344" t="s">
        <v>3423</v>
      </c>
      <c r="I322" s="344" t="s">
        <v>3211</v>
      </c>
      <c r="J322" s="339">
        <v>43312</v>
      </c>
      <c r="K322" s="339"/>
      <c r="L322" s="339"/>
      <c r="M322" s="344" t="s">
        <v>2853</v>
      </c>
      <c r="N322" s="344" t="s">
        <v>2912</v>
      </c>
      <c r="O322" s="339">
        <v>43322</v>
      </c>
      <c r="P322" s="353" t="s">
        <v>3022</v>
      </c>
      <c r="Q322" s="344" t="s">
        <v>2832</v>
      </c>
      <c r="R322" s="354"/>
      <c r="S322" s="354">
        <f t="shared" si="6"/>
        <v>59</v>
      </c>
    </row>
    <row r="323" spans="1:19" ht="102" x14ac:dyDescent="0.2">
      <c r="A323" s="340" t="s">
        <v>4355</v>
      </c>
      <c r="B323" s="345">
        <v>43264</v>
      </c>
      <c r="C323" s="341" t="s">
        <v>4353</v>
      </c>
      <c r="D323" s="341" t="s">
        <v>4356</v>
      </c>
      <c r="E323" s="342" t="s">
        <v>2971</v>
      </c>
      <c r="F323" s="342">
        <v>1</v>
      </c>
      <c r="G323" s="342" t="s">
        <v>2841</v>
      </c>
      <c r="H323" s="342" t="s">
        <v>4354</v>
      </c>
      <c r="I323" s="342" t="s">
        <v>229</v>
      </c>
      <c r="J323" s="345">
        <v>43312</v>
      </c>
      <c r="K323" s="345"/>
      <c r="L323" s="345"/>
      <c r="M323" s="342" t="s">
        <v>2853</v>
      </c>
      <c r="N323" s="342" t="s">
        <v>2088</v>
      </c>
      <c r="O323" s="345">
        <v>43287</v>
      </c>
      <c r="P323" s="355" t="s">
        <v>3061</v>
      </c>
      <c r="Q323" s="342" t="s">
        <v>2829</v>
      </c>
      <c r="R323" s="356"/>
      <c r="S323" s="354">
        <f t="shared" si="6"/>
        <v>23</v>
      </c>
    </row>
    <row r="324" spans="1:19" ht="51" x14ac:dyDescent="0.2">
      <c r="A324" s="338" t="s">
        <v>4357</v>
      </c>
      <c r="B324" s="339">
        <v>43264</v>
      </c>
      <c r="C324" s="343" t="s">
        <v>4358</v>
      </c>
      <c r="D324" s="343" t="s">
        <v>4359</v>
      </c>
      <c r="E324" s="344" t="s">
        <v>4208</v>
      </c>
      <c r="F324" s="344">
        <v>1</v>
      </c>
      <c r="G324" s="344" t="s">
        <v>2828</v>
      </c>
      <c r="H324" s="344" t="s">
        <v>615</v>
      </c>
      <c r="I324" s="344" t="s">
        <v>3211</v>
      </c>
      <c r="J324" s="339">
        <v>43294</v>
      </c>
      <c r="K324" s="339"/>
      <c r="L324" s="339"/>
      <c r="M324" s="344" t="s">
        <v>2853</v>
      </c>
      <c r="N324" s="344" t="s">
        <v>2088</v>
      </c>
      <c r="O324" s="339">
        <v>43265</v>
      </c>
      <c r="P324" s="353" t="s">
        <v>3061</v>
      </c>
      <c r="Q324" s="344" t="s">
        <v>2829</v>
      </c>
      <c r="R324" s="354"/>
      <c r="S324" s="354">
        <f t="shared" si="6"/>
        <v>1</v>
      </c>
    </row>
    <row r="325" spans="1:19" ht="89.25" x14ac:dyDescent="0.2">
      <c r="A325" s="340" t="s">
        <v>4360</v>
      </c>
      <c r="B325" s="345">
        <v>43266</v>
      </c>
      <c r="C325" s="341" t="s">
        <v>4361</v>
      </c>
      <c r="D325" s="341" t="s">
        <v>4362</v>
      </c>
      <c r="E325" s="342" t="s">
        <v>2971</v>
      </c>
      <c r="F325" s="342">
        <v>1</v>
      </c>
      <c r="G325" s="342" t="s">
        <v>2841</v>
      </c>
      <c r="H325" s="342" t="s">
        <v>229</v>
      </c>
      <c r="I325" s="342" t="s">
        <v>229</v>
      </c>
      <c r="J325" s="345">
        <v>43312</v>
      </c>
      <c r="K325" s="345"/>
      <c r="L325" s="345"/>
      <c r="M325" s="342" t="s">
        <v>2853</v>
      </c>
      <c r="N325" s="342" t="s">
        <v>2088</v>
      </c>
      <c r="O325" s="345">
        <v>43292</v>
      </c>
      <c r="P325" s="355" t="s">
        <v>3061</v>
      </c>
      <c r="Q325" s="342" t="s">
        <v>2829</v>
      </c>
      <c r="R325" s="356"/>
      <c r="S325" s="354">
        <f t="shared" si="6"/>
        <v>26</v>
      </c>
    </row>
    <row r="326" spans="1:19" ht="51" x14ac:dyDescent="0.2">
      <c r="A326" s="338" t="s">
        <v>4365</v>
      </c>
      <c r="B326" s="339">
        <v>43266</v>
      </c>
      <c r="C326" s="343" t="s">
        <v>4366</v>
      </c>
      <c r="D326" s="343" t="s">
        <v>3518</v>
      </c>
      <c r="E326" s="344" t="s">
        <v>4033</v>
      </c>
      <c r="F326" s="344">
        <v>1</v>
      </c>
      <c r="G326" s="344" t="s">
        <v>2828</v>
      </c>
      <c r="H326" s="344" t="s">
        <v>4232</v>
      </c>
      <c r="I326" s="344" t="s">
        <v>3211</v>
      </c>
      <c r="J326" s="339">
        <v>43296</v>
      </c>
      <c r="K326" s="339"/>
      <c r="L326" s="339"/>
      <c r="M326" s="344" t="s">
        <v>2853</v>
      </c>
      <c r="N326" s="344" t="s">
        <v>3022</v>
      </c>
      <c r="O326" s="339">
        <v>43586</v>
      </c>
      <c r="P326" s="353" t="s">
        <v>3022</v>
      </c>
      <c r="Q326" s="344" t="s">
        <v>2837</v>
      </c>
      <c r="R326" s="354"/>
      <c r="S326" s="354">
        <f t="shared" si="6"/>
        <v>320</v>
      </c>
    </row>
    <row r="327" spans="1:19" ht="63.75" x14ac:dyDescent="0.2">
      <c r="A327" s="340" t="s">
        <v>4367</v>
      </c>
      <c r="B327" s="345">
        <v>43269</v>
      </c>
      <c r="C327" s="341" t="s">
        <v>4368</v>
      </c>
      <c r="D327" s="341" t="s">
        <v>4369</v>
      </c>
      <c r="E327" s="342" t="s">
        <v>2971</v>
      </c>
      <c r="F327" s="342">
        <v>1</v>
      </c>
      <c r="G327" s="342" t="s">
        <v>2836</v>
      </c>
      <c r="H327" s="342" t="s">
        <v>2058</v>
      </c>
      <c r="I327" s="342" t="s">
        <v>3211</v>
      </c>
      <c r="J327" s="345">
        <v>43299</v>
      </c>
      <c r="K327" s="345"/>
      <c r="L327" s="345"/>
      <c r="M327" s="342" t="s">
        <v>2853</v>
      </c>
      <c r="N327" s="342" t="s">
        <v>3022</v>
      </c>
      <c r="O327" s="345">
        <v>43553</v>
      </c>
      <c r="P327" s="355" t="s">
        <v>3022</v>
      </c>
      <c r="Q327" s="342" t="s">
        <v>2837</v>
      </c>
      <c r="R327" s="356"/>
      <c r="S327" s="354">
        <f t="shared" si="6"/>
        <v>284</v>
      </c>
    </row>
    <row r="328" spans="1:19" ht="51" x14ac:dyDescent="0.2">
      <c r="A328" s="338" t="s">
        <v>4370</v>
      </c>
      <c r="B328" s="339">
        <v>43271</v>
      </c>
      <c r="C328" s="343" t="s">
        <v>4371</v>
      </c>
      <c r="D328" s="343" t="s">
        <v>4372</v>
      </c>
      <c r="E328" s="344" t="s">
        <v>4208</v>
      </c>
      <c r="F328" s="344">
        <v>1</v>
      </c>
      <c r="G328" s="344" t="s">
        <v>2828</v>
      </c>
      <c r="H328" s="344" t="s">
        <v>4079</v>
      </c>
      <c r="I328" s="344" t="s">
        <v>3926</v>
      </c>
      <c r="J328" s="339">
        <v>43312</v>
      </c>
      <c r="K328" s="339"/>
      <c r="L328" s="339"/>
      <c r="M328" s="344" t="s">
        <v>2853</v>
      </c>
      <c r="N328" s="344" t="s">
        <v>2088</v>
      </c>
      <c r="O328" s="339">
        <v>43284</v>
      </c>
      <c r="P328" s="353" t="s">
        <v>3061</v>
      </c>
      <c r="Q328" s="344" t="s">
        <v>2829</v>
      </c>
      <c r="R328" s="354"/>
      <c r="S328" s="354">
        <f t="shared" si="6"/>
        <v>13</v>
      </c>
    </row>
    <row r="329" spans="1:19" ht="51" x14ac:dyDescent="0.2">
      <c r="A329" s="340" t="s">
        <v>4373</v>
      </c>
      <c r="B329" s="345">
        <v>43271</v>
      </c>
      <c r="C329" s="341" t="s">
        <v>4374</v>
      </c>
      <c r="D329" s="341" t="s">
        <v>4375</v>
      </c>
      <c r="E329" s="342" t="s">
        <v>3335</v>
      </c>
      <c r="F329" s="342">
        <v>1</v>
      </c>
      <c r="G329" s="342" t="s">
        <v>2828</v>
      </c>
      <c r="H329" s="342" t="s">
        <v>2058</v>
      </c>
      <c r="I329" s="342" t="s">
        <v>3926</v>
      </c>
      <c r="J329" s="345">
        <v>43301</v>
      </c>
      <c r="K329" s="345"/>
      <c r="L329" s="345"/>
      <c r="M329" s="342" t="s">
        <v>2853</v>
      </c>
      <c r="N329" s="342" t="s">
        <v>2088</v>
      </c>
      <c r="O329" s="345">
        <v>43272</v>
      </c>
      <c r="P329" s="355" t="s">
        <v>3061</v>
      </c>
      <c r="Q329" s="342" t="s">
        <v>2829</v>
      </c>
      <c r="R329" s="356"/>
      <c r="S329" s="354">
        <f t="shared" si="6"/>
        <v>1</v>
      </c>
    </row>
    <row r="330" spans="1:19" ht="102" x14ac:dyDescent="0.2">
      <c r="A330" s="338" t="s">
        <v>4376</v>
      </c>
      <c r="B330" s="339">
        <v>43272</v>
      </c>
      <c r="C330" s="343" t="s">
        <v>4377</v>
      </c>
      <c r="D330" s="343" t="s">
        <v>4378</v>
      </c>
      <c r="E330" s="344" t="s">
        <v>2971</v>
      </c>
      <c r="F330" s="344">
        <v>1</v>
      </c>
      <c r="G330" s="344" t="s">
        <v>4300</v>
      </c>
      <c r="H330" s="344" t="s">
        <v>441</v>
      </c>
      <c r="I330" s="344" t="s">
        <v>3645</v>
      </c>
      <c r="J330" s="339">
        <v>43272</v>
      </c>
      <c r="K330" s="339"/>
      <c r="L330" s="339"/>
      <c r="M330" s="344" t="s">
        <v>2853</v>
      </c>
      <c r="N330" s="344" t="s">
        <v>2088</v>
      </c>
      <c r="O330" s="339">
        <v>43272</v>
      </c>
      <c r="P330" s="353" t="s">
        <v>3061</v>
      </c>
      <c r="Q330" s="344" t="s">
        <v>2829</v>
      </c>
      <c r="R330" s="354"/>
      <c r="S330" s="354">
        <f t="shared" si="6"/>
        <v>0</v>
      </c>
    </row>
    <row r="331" spans="1:19" ht="51" x14ac:dyDescent="0.2">
      <c r="A331" s="340" t="s">
        <v>4379</v>
      </c>
      <c r="B331" s="345">
        <v>43278</v>
      </c>
      <c r="C331" s="341" t="s">
        <v>4380</v>
      </c>
      <c r="D331" s="341" t="s">
        <v>4381</v>
      </c>
      <c r="E331" s="342" t="s">
        <v>3323</v>
      </c>
      <c r="F331" s="342">
        <v>1</v>
      </c>
      <c r="G331" s="342" t="s">
        <v>2828</v>
      </c>
      <c r="H331" s="342" t="s">
        <v>3729</v>
      </c>
      <c r="I331" s="342" t="s">
        <v>3211</v>
      </c>
      <c r="J331" s="345">
        <v>43296</v>
      </c>
      <c r="K331" s="345"/>
      <c r="L331" s="345"/>
      <c r="M331" s="342" t="s">
        <v>2853</v>
      </c>
      <c r="N331" s="342" t="s">
        <v>2088</v>
      </c>
      <c r="O331" s="345">
        <v>43327</v>
      </c>
      <c r="P331" s="355" t="s">
        <v>3061</v>
      </c>
      <c r="Q331" s="342" t="s">
        <v>2832</v>
      </c>
      <c r="R331" s="356"/>
      <c r="S331" s="354">
        <f t="shared" si="6"/>
        <v>49</v>
      </c>
    </row>
    <row r="332" spans="1:19" ht="51" x14ac:dyDescent="0.2">
      <c r="A332" s="338" t="s">
        <v>4382</v>
      </c>
      <c r="B332" s="339">
        <v>43287</v>
      </c>
      <c r="C332" s="343" t="s">
        <v>4383</v>
      </c>
      <c r="D332" s="343" t="s">
        <v>4384</v>
      </c>
      <c r="E332" s="344" t="s">
        <v>3586</v>
      </c>
      <c r="F332" s="344">
        <v>1</v>
      </c>
      <c r="G332" s="344" t="s">
        <v>2828</v>
      </c>
      <c r="H332" s="344" t="s">
        <v>3423</v>
      </c>
      <c r="I332" s="344" t="s">
        <v>3926</v>
      </c>
      <c r="J332" s="339">
        <v>43318</v>
      </c>
      <c r="K332" s="339"/>
      <c r="L332" s="339"/>
      <c r="M332" s="344" t="s">
        <v>2853</v>
      </c>
      <c r="N332" s="344" t="s">
        <v>2088</v>
      </c>
      <c r="O332" s="339">
        <v>43293</v>
      </c>
      <c r="P332" s="353" t="s">
        <v>3061</v>
      </c>
      <c r="Q332" s="344" t="s">
        <v>2829</v>
      </c>
      <c r="R332" s="354"/>
      <c r="S332" s="354">
        <f t="shared" si="6"/>
        <v>6</v>
      </c>
    </row>
    <row r="333" spans="1:19" ht="76.5" x14ac:dyDescent="0.2">
      <c r="A333" s="340" t="s">
        <v>4385</v>
      </c>
      <c r="B333" s="345">
        <v>43290</v>
      </c>
      <c r="C333" s="341" t="s">
        <v>4386</v>
      </c>
      <c r="D333" s="341" t="s">
        <v>4041</v>
      </c>
      <c r="E333" s="342" t="s">
        <v>2971</v>
      </c>
      <c r="F333" s="342">
        <v>1</v>
      </c>
      <c r="G333" s="342" t="s">
        <v>2841</v>
      </c>
      <c r="H333" s="342" t="s">
        <v>486</v>
      </c>
      <c r="I333" s="342" t="s">
        <v>229</v>
      </c>
      <c r="J333" s="345">
        <v>43312</v>
      </c>
      <c r="K333" s="345"/>
      <c r="L333" s="345"/>
      <c r="M333" s="342" t="s">
        <v>2853</v>
      </c>
      <c r="N333" s="342" t="s">
        <v>2088</v>
      </c>
      <c r="O333" s="345">
        <v>43314</v>
      </c>
      <c r="P333" s="355" t="s">
        <v>3061</v>
      </c>
      <c r="Q333" s="342" t="s">
        <v>2829</v>
      </c>
      <c r="R333" s="356"/>
      <c r="S333" s="354">
        <f t="shared" si="6"/>
        <v>24</v>
      </c>
    </row>
    <row r="334" spans="1:19" ht="63.75" x14ac:dyDescent="0.2">
      <c r="A334" s="338" t="s">
        <v>4387</v>
      </c>
      <c r="B334" s="339">
        <v>43290</v>
      </c>
      <c r="C334" s="343" t="s">
        <v>4388</v>
      </c>
      <c r="D334" s="343" t="s">
        <v>3225</v>
      </c>
      <c r="E334" s="344" t="s">
        <v>2971</v>
      </c>
      <c r="F334" s="344">
        <v>1</v>
      </c>
      <c r="G334" s="344" t="s">
        <v>2841</v>
      </c>
      <c r="H334" s="344" t="s">
        <v>3991</v>
      </c>
      <c r="I334" s="344" t="s">
        <v>229</v>
      </c>
      <c r="J334" s="339">
        <v>43312</v>
      </c>
      <c r="K334" s="339"/>
      <c r="L334" s="339"/>
      <c r="M334" s="344" t="s">
        <v>2853</v>
      </c>
      <c r="N334" s="344" t="s">
        <v>2088</v>
      </c>
      <c r="O334" s="339">
        <v>43315</v>
      </c>
      <c r="P334" s="353" t="s">
        <v>3061</v>
      </c>
      <c r="Q334" s="344" t="s">
        <v>2829</v>
      </c>
      <c r="R334" s="354"/>
      <c r="S334" s="354">
        <f t="shared" si="6"/>
        <v>25</v>
      </c>
    </row>
    <row r="335" spans="1:19" ht="127.5" x14ac:dyDescent="0.2">
      <c r="A335" s="340" t="s">
        <v>4389</v>
      </c>
      <c r="B335" s="345">
        <v>43290</v>
      </c>
      <c r="C335" s="341" t="s">
        <v>4390</v>
      </c>
      <c r="D335" s="341" t="s">
        <v>2172</v>
      </c>
      <c r="E335" s="342" t="s">
        <v>2971</v>
      </c>
      <c r="F335" s="342">
        <v>1</v>
      </c>
      <c r="G335" s="342" t="s">
        <v>2841</v>
      </c>
      <c r="H335" s="342" t="s">
        <v>229</v>
      </c>
      <c r="I335" s="342" t="s">
        <v>229</v>
      </c>
      <c r="J335" s="345">
        <v>43312</v>
      </c>
      <c r="K335" s="345"/>
      <c r="L335" s="345"/>
      <c r="M335" s="342" t="s">
        <v>2853</v>
      </c>
      <c r="N335" s="342" t="s">
        <v>2088</v>
      </c>
      <c r="O335" s="345">
        <v>43321</v>
      </c>
      <c r="P335" s="355" t="s">
        <v>3061</v>
      </c>
      <c r="Q335" s="342" t="s">
        <v>2829</v>
      </c>
      <c r="R335" s="356"/>
      <c r="S335" s="354">
        <f t="shared" si="6"/>
        <v>31</v>
      </c>
    </row>
    <row r="336" spans="1:19" ht="76.5" x14ac:dyDescent="0.2">
      <c r="A336" s="338" t="s">
        <v>4391</v>
      </c>
      <c r="B336" s="339">
        <v>43290</v>
      </c>
      <c r="C336" s="343" t="s">
        <v>4392</v>
      </c>
      <c r="D336" s="343" t="s">
        <v>4041</v>
      </c>
      <c r="E336" s="344" t="s">
        <v>2971</v>
      </c>
      <c r="F336" s="344">
        <v>1</v>
      </c>
      <c r="G336" s="344" t="s">
        <v>2841</v>
      </c>
      <c r="H336" s="344" t="s">
        <v>481</v>
      </c>
      <c r="I336" s="344" t="s">
        <v>229</v>
      </c>
      <c r="J336" s="339">
        <v>43312</v>
      </c>
      <c r="K336" s="339"/>
      <c r="L336" s="339"/>
      <c r="M336" s="344" t="s">
        <v>2853</v>
      </c>
      <c r="N336" s="344" t="s">
        <v>2088</v>
      </c>
      <c r="O336" s="339">
        <v>43312</v>
      </c>
      <c r="P336" s="353" t="s">
        <v>3061</v>
      </c>
      <c r="Q336" s="344" t="s">
        <v>2829</v>
      </c>
      <c r="R336" s="354"/>
      <c r="S336" s="354">
        <f t="shared" si="6"/>
        <v>22</v>
      </c>
    </row>
    <row r="337" spans="1:19" ht="38.25" x14ac:dyDescent="0.2">
      <c r="A337" s="340" t="s">
        <v>4394</v>
      </c>
      <c r="B337" s="345">
        <v>43294</v>
      </c>
      <c r="C337" s="341" t="s">
        <v>4395</v>
      </c>
      <c r="D337" s="341" t="s">
        <v>4396</v>
      </c>
      <c r="E337" s="342" t="s">
        <v>2971</v>
      </c>
      <c r="F337" s="342">
        <v>1</v>
      </c>
      <c r="G337" s="342" t="s">
        <v>2841</v>
      </c>
      <c r="H337" s="342" t="s">
        <v>229</v>
      </c>
      <c r="I337" s="342" t="s">
        <v>229</v>
      </c>
      <c r="J337" s="345">
        <v>43315</v>
      </c>
      <c r="K337" s="345"/>
      <c r="L337" s="345"/>
      <c r="M337" s="342" t="s">
        <v>2853</v>
      </c>
      <c r="N337" s="342" t="s">
        <v>2088</v>
      </c>
      <c r="O337" s="345">
        <v>43319</v>
      </c>
      <c r="P337" s="355" t="s">
        <v>3061</v>
      </c>
      <c r="Q337" s="342" t="s">
        <v>2829</v>
      </c>
      <c r="R337" s="356"/>
      <c r="S337" s="354">
        <f t="shared" si="6"/>
        <v>25</v>
      </c>
    </row>
    <row r="338" spans="1:19" ht="51" x14ac:dyDescent="0.2">
      <c r="A338" s="338" t="s">
        <v>4398</v>
      </c>
      <c r="B338" s="339">
        <v>43297</v>
      </c>
      <c r="C338" s="343" t="s">
        <v>4400</v>
      </c>
      <c r="D338" s="343" t="s">
        <v>4401</v>
      </c>
      <c r="E338" s="344" t="s">
        <v>4399</v>
      </c>
      <c r="F338" s="344">
        <v>1</v>
      </c>
      <c r="G338" s="344" t="s">
        <v>2828</v>
      </c>
      <c r="H338" s="344" t="s">
        <v>4232</v>
      </c>
      <c r="I338" s="344" t="s">
        <v>3926</v>
      </c>
      <c r="J338" s="339">
        <v>43404</v>
      </c>
      <c r="K338" s="339"/>
      <c r="L338" s="339"/>
      <c r="M338" s="344" t="s">
        <v>2853</v>
      </c>
      <c r="N338" s="344" t="s">
        <v>2088</v>
      </c>
      <c r="O338" s="339">
        <v>43385</v>
      </c>
      <c r="P338" s="353" t="s">
        <v>3061</v>
      </c>
      <c r="Q338" s="344" t="s">
        <v>2835</v>
      </c>
      <c r="R338" s="354"/>
      <c r="S338" s="354">
        <f t="shared" si="6"/>
        <v>88</v>
      </c>
    </row>
    <row r="339" spans="1:19" ht="153" x14ac:dyDescent="0.2">
      <c r="A339" s="340" t="s">
        <v>4402</v>
      </c>
      <c r="B339" s="345">
        <v>43298</v>
      </c>
      <c r="C339" s="341" t="s">
        <v>4404</v>
      </c>
      <c r="D339" s="341" t="s">
        <v>4403</v>
      </c>
      <c r="E339" s="342" t="s">
        <v>4174</v>
      </c>
      <c r="F339" s="342">
        <v>1</v>
      </c>
      <c r="G339" s="342" t="s">
        <v>2828</v>
      </c>
      <c r="H339" s="342" t="s">
        <v>615</v>
      </c>
      <c r="I339" s="342" t="s">
        <v>3211</v>
      </c>
      <c r="J339" s="345">
        <v>43329</v>
      </c>
      <c r="K339" s="345"/>
      <c r="L339" s="345"/>
      <c r="M339" s="342" t="s">
        <v>2853</v>
      </c>
      <c r="N339" s="342" t="s">
        <v>2088</v>
      </c>
      <c r="O339" s="345">
        <v>43305</v>
      </c>
      <c r="P339" s="355" t="s">
        <v>3061</v>
      </c>
      <c r="Q339" s="342" t="s">
        <v>2829</v>
      </c>
      <c r="R339" s="356"/>
      <c r="S339" s="354">
        <f t="shared" si="6"/>
        <v>7</v>
      </c>
    </row>
    <row r="340" spans="1:19" ht="76.5" x14ac:dyDescent="0.2">
      <c r="A340" s="338" t="s">
        <v>4405</v>
      </c>
      <c r="B340" s="339">
        <v>43299</v>
      </c>
      <c r="C340" s="343" t="s">
        <v>4406</v>
      </c>
      <c r="D340" s="343" t="s">
        <v>4407</v>
      </c>
      <c r="E340" s="344" t="s">
        <v>3969</v>
      </c>
      <c r="F340" s="344">
        <v>1</v>
      </c>
      <c r="G340" s="344" t="s">
        <v>2828</v>
      </c>
      <c r="H340" s="344" t="s">
        <v>3423</v>
      </c>
      <c r="I340" s="344" t="s">
        <v>3211</v>
      </c>
      <c r="J340" s="339">
        <v>43329</v>
      </c>
      <c r="K340" s="339"/>
      <c r="L340" s="339"/>
      <c r="M340" s="344" t="s">
        <v>2853</v>
      </c>
      <c r="N340" s="344" t="s">
        <v>2088</v>
      </c>
      <c r="O340" s="339">
        <v>43300</v>
      </c>
      <c r="P340" s="353" t="s">
        <v>3061</v>
      </c>
      <c r="Q340" s="344" t="s">
        <v>2829</v>
      </c>
      <c r="R340" s="354"/>
      <c r="S340" s="354">
        <f t="shared" si="6"/>
        <v>1</v>
      </c>
    </row>
    <row r="341" spans="1:19" ht="51" x14ac:dyDescent="0.2">
      <c r="A341" s="340" t="s">
        <v>4408</v>
      </c>
      <c r="B341" s="345">
        <v>43300</v>
      </c>
      <c r="C341" s="341" t="s">
        <v>4409</v>
      </c>
      <c r="D341" s="341" t="s">
        <v>4410</v>
      </c>
      <c r="E341" s="342" t="s">
        <v>2971</v>
      </c>
      <c r="F341" s="342">
        <v>1</v>
      </c>
      <c r="G341" s="342" t="s">
        <v>2841</v>
      </c>
      <c r="H341" s="342" t="s">
        <v>229</v>
      </c>
      <c r="I341" s="342" t="s">
        <v>229</v>
      </c>
      <c r="J341" s="345">
        <v>43343</v>
      </c>
      <c r="K341" s="345"/>
      <c r="L341" s="345"/>
      <c r="M341" s="342" t="s">
        <v>2853</v>
      </c>
      <c r="N341" s="342" t="s">
        <v>2088</v>
      </c>
      <c r="O341" s="345">
        <v>43328</v>
      </c>
      <c r="P341" s="355" t="s">
        <v>3061</v>
      </c>
      <c r="Q341" s="342" t="s">
        <v>2829</v>
      </c>
      <c r="R341" s="356"/>
      <c r="S341" s="354">
        <f t="shared" si="6"/>
        <v>28</v>
      </c>
    </row>
    <row r="342" spans="1:19" ht="51" x14ac:dyDescent="0.2">
      <c r="A342" s="338" t="s">
        <v>4411</v>
      </c>
      <c r="B342" s="339">
        <v>43306</v>
      </c>
      <c r="C342" s="343" t="s">
        <v>4412</v>
      </c>
      <c r="D342" s="343" t="s">
        <v>4375</v>
      </c>
      <c r="E342" s="344" t="s">
        <v>3667</v>
      </c>
      <c r="F342" s="344">
        <v>1</v>
      </c>
      <c r="G342" s="344" t="s">
        <v>2828</v>
      </c>
      <c r="H342" s="344" t="s">
        <v>615</v>
      </c>
      <c r="I342" s="344" t="s">
        <v>3926</v>
      </c>
      <c r="J342" s="339">
        <v>43363</v>
      </c>
      <c r="K342" s="339"/>
      <c r="L342" s="339"/>
      <c r="M342" s="344" t="s">
        <v>2853</v>
      </c>
      <c r="N342" s="344" t="s">
        <v>2088</v>
      </c>
      <c r="O342" s="339">
        <v>43356</v>
      </c>
      <c r="P342" s="353" t="s">
        <v>3061</v>
      </c>
      <c r="Q342" s="344" t="s">
        <v>2832</v>
      </c>
      <c r="R342" s="354"/>
      <c r="S342" s="354">
        <f t="shared" si="6"/>
        <v>50</v>
      </c>
    </row>
    <row r="343" spans="1:19" ht="89.25" x14ac:dyDescent="0.2">
      <c r="A343" s="340" t="s">
        <v>4413</v>
      </c>
      <c r="B343" s="345">
        <v>43307</v>
      </c>
      <c r="C343" s="341" t="s">
        <v>4414</v>
      </c>
      <c r="D343" s="341" t="s">
        <v>4346</v>
      </c>
      <c r="E343" s="342" t="s">
        <v>3473</v>
      </c>
      <c r="F343" s="342">
        <v>1</v>
      </c>
      <c r="G343" s="342" t="s">
        <v>2828</v>
      </c>
      <c r="H343" s="342" t="s">
        <v>4079</v>
      </c>
      <c r="I343" s="342" t="s">
        <v>3211</v>
      </c>
      <c r="J343" s="345">
        <v>43367</v>
      </c>
      <c r="K343" s="345"/>
      <c r="L343" s="345"/>
      <c r="M343" s="342" t="s">
        <v>2853</v>
      </c>
      <c r="N343" s="342" t="s">
        <v>2088</v>
      </c>
      <c r="O343" s="345">
        <v>43342</v>
      </c>
      <c r="P343" s="355" t="s">
        <v>3061</v>
      </c>
      <c r="Q343" s="342" t="s">
        <v>2832</v>
      </c>
      <c r="R343" s="356"/>
      <c r="S343" s="354">
        <f t="shared" si="6"/>
        <v>35</v>
      </c>
    </row>
    <row r="344" spans="1:19" ht="51" x14ac:dyDescent="0.2">
      <c r="A344" s="338" t="s">
        <v>4415</v>
      </c>
      <c r="B344" s="339">
        <v>43307</v>
      </c>
      <c r="C344" s="343" t="s">
        <v>4416</v>
      </c>
      <c r="D344" s="343" t="s">
        <v>4417</v>
      </c>
      <c r="E344" s="344" t="s">
        <v>3777</v>
      </c>
      <c r="F344" s="344">
        <v>1</v>
      </c>
      <c r="G344" s="344" t="s">
        <v>2828</v>
      </c>
      <c r="H344" s="344" t="s">
        <v>4079</v>
      </c>
      <c r="I344" s="344" t="s">
        <v>3926</v>
      </c>
      <c r="J344" s="339">
        <v>43338</v>
      </c>
      <c r="K344" s="339"/>
      <c r="L344" s="339"/>
      <c r="M344" s="344" t="s">
        <v>2853</v>
      </c>
      <c r="N344" s="344" t="s">
        <v>2088</v>
      </c>
      <c r="O344" s="339">
        <v>43315</v>
      </c>
      <c r="P344" s="353" t="s">
        <v>3061</v>
      </c>
      <c r="Q344" s="344" t="s">
        <v>2829</v>
      </c>
      <c r="R344" s="354"/>
      <c r="S344" s="354">
        <f t="shared" si="6"/>
        <v>8</v>
      </c>
    </row>
    <row r="345" spans="1:19" ht="51" x14ac:dyDescent="0.2">
      <c r="A345" s="340" t="s">
        <v>4420</v>
      </c>
      <c r="B345" s="345">
        <v>43311</v>
      </c>
      <c r="C345" s="341" t="s">
        <v>4418</v>
      </c>
      <c r="D345" s="341" t="s">
        <v>4419</v>
      </c>
      <c r="E345" s="342" t="s">
        <v>3519</v>
      </c>
      <c r="F345" s="342">
        <v>1</v>
      </c>
      <c r="G345" s="342" t="s">
        <v>2828</v>
      </c>
      <c r="H345" s="342" t="s">
        <v>4079</v>
      </c>
      <c r="I345" s="342" t="s">
        <v>3926</v>
      </c>
      <c r="J345" s="345">
        <v>43312</v>
      </c>
      <c r="K345" s="345"/>
      <c r="L345" s="345"/>
      <c r="M345" s="342" t="s">
        <v>2853</v>
      </c>
      <c r="N345" s="342" t="s">
        <v>2088</v>
      </c>
      <c r="O345" s="345">
        <v>43320</v>
      </c>
      <c r="P345" s="355" t="s">
        <v>3022</v>
      </c>
      <c r="Q345" s="342" t="s">
        <v>2829</v>
      </c>
      <c r="R345" s="356"/>
      <c r="S345" s="354">
        <f t="shared" si="6"/>
        <v>9</v>
      </c>
    </row>
    <row r="346" spans="1:19" ht="102" x14ac:dyDescent="0.2">
      <c r="A346" s="338" t="s">
        <v>4421</v>
      </c>
      <c r="B346" s="339">
        <v>43313</v>
      </c>
      <c r="C346" s="343" t="s">
        <v>4422</v>
      </c>
      <c r="D346" s="343" t="s">
        <v>4423</v>
      </c>
      <c r="E346" s="344" t="s">
        <v>2971</v>
      </c>
      <c r="F346" s="344">
        <v>1</v>
      </c>
      <c r="G346" s="344" t="s">
        <v>2841</v>
      </c>
      <c r="H346" s="344" t="s">
        <v>229</v>
      </c>
      <c r="I346" s="344" t="s">
        <v>229</v>
      </c>
      <c r="J346" s="339">
        <v>43343</v>
      </c>
      <c r="K346" s="339"/>
      <c r="L346" s="339"/>
      <c r="M346" s="344" t="s">
        <v>2853</v>
      </c>
      <c r="N346" s="344" t="s">
        <v>2088</v>
      </c>
      <c r="O346" s="339">
        <v>43336</v>
      </c>
      <c r="P346" s="353" t="s">
        <v>3061</v>
      </c>
      <c r="Q346" s="344" t="s">
        <v>2829</v>
      </c>
      <c r="R346" s="354"/>
      <c r="S346" s="354">
        <f t="shared" si="6"/>
        <v>23</v>
      </c>
    </row>
    <row r="347" spans="1:19" ht="51" x14ac:dyDescent="0.2">
      <c r="A347" s="340" t="s">
        <v>4424</v>
      </c>
      <c r="B347" s="345">
        <v>43315</v>
      </c>
      <c r="C347" s="341" t="s">
        <v>4425</v>
      </c>
      <c r="D347" s="341" t="s">
        <v>4426</v>
      </c>
      <c r="E347" s="342" t="s">
        <v>2971</v>
      </c>
      <c r="F347" s="342">
        <v>1</v>
      </c>
      <c r="G347" s="342" t="s">
        <v>2838</v>
      </c>
      <c r="H347" s="342" t="s">
        <v>685</v>
      </c>
      <c r="I347" s="342" t="s">
        <v>229</v>
      </c>
      <c r="J347" s="345">
        <v>43322</v>
      </c>
      <c r="K347" s="345"/>
      <c r="L347" s="345"/>
      <c r="M347" s="342" t="s">
        <v>2853</v>
      </c>
      <c r="N347" s="342" t="s">
        <v>3022</v>
      </c>
      <c r="O347" s="345">
        <v>43343</v>
      </c>
      <c r="P347" s="355" t="s">
        <v>3022</v>
      </c>
      <c r="Q347" s="342" t="s">
        <v>2829</v>
      </c>
      <c r="R347" s="356"/>
      <c r="S347" s="354">
        <f t="shared" si="6"/>
        <v>28</v>
      </c>
    </row>
    <row r="348" spans="1:19" ht="51" x14ac:dyDescent="0.2">
      <c r="A348" s="338" t="s">
        <v>4427</v>
      </c>
      <c r="B348" s="339">
        <v>43320</v>
      </c>
      <c r="C348" s="343" t="s">
        <v>4428</v>
      </c>
      <c r="D348" s="343" t="s">
        <v>4429</v>
      </c>
      <c r="E348" s="344" t="s">
        <v>4178</v>
      </c>
      <c r="F348" s="344">
        <v>1</v>
      </c>
      <c r="G348" s="344" t="s">
        <v>2828</v>
      </c>
      <c r="H348" s="344" t="s">
        <v>3423</v>
      </c>
      <c r="I348" s="344" t="s">
        <v>3211</v>
      </c>
      <c r="J348" s="339">
        <v>43331</v>
      </c>
      <c r="K348" s="339"/>
      <c r="L348" s="339"/>
      <c r="M348" s="344" t="s">
        <v>2853</v>
      </c>
      <c r="N348" s="344" t="s">
        <v>2088</v>
      </c>
      <c r="O348" s="339">
        <v>43329</v>
      </c>
      <c r="P348" s="353" t="s">
        <v>3061</v>
      </c>
      <c r="Q348" s="344" t="s">
        <v>2829</v>
      </c>
      <c r="R348" s="354"/>
      <c r="S348" s="354">
        <f t="shared" si="6"/>
        <v>9</v>
      </c>
    </row>
    <row r="349" spans="1:19" ht="76.5" x14ac:dyDescent="0.2">
      <c r="A349" s="340" t="s">
        <v>4430</v>
      </c>
      <c r="B349" s="345">
        <v>43320</v>
      </c>
      <c r="C349" s="341" t="s">
        <v>4431</v>
      </c>
      <c r="D349" s="341" t="s">
        <v>4432</v>
      </c>
      <c r="E349" s="342" t="s">
        <v>3617</v>
      </c>
      <c r="F349" s="342">
        <v>1</v>
      </c>
      <c r="G349" s="342" t="s">
        <v>2828</v>
      </c>
      <c r="H349" s="342" t="s">
        <v>3423</v>
      </c>
      <c r="I349" s="342" t="s">
        <v>3211</v>
      </c>
      <c r="J349" s="345">
        <v>43373</v>
      </c>
      <c r="K349" s="345"/>
      <c r="L349" s="345"/>
      <c r="M349" s="342" t="s">
        <v>2853</v>
      </c>
      <c r="N349" s="342" t="s">
        <v>2088</v>
      </c>
      <c r="O349" s="345">
        <v>43361</v>
      </c>
      <c r="P349" s="355" t="s">
        <v>3061</v>
      </c>
      <c r="Q349" s="342" t="s">
        <v>2832</v>
      </c>
      <c r="R349" s="356"/>
      <c r="S349" s="354">
        <f t="shared" si="6"/>
        <v>41</v>
      </c>
    </row>
    <row r="350" spans="1:19" ht="51" x14ac:dyDescent="0.2">
      <c r="A350" s="338" t="s">
        <v>4433</v>
      </c>
      <c r="B350" s="339">
        <v>43320</v>
      </c>
      <c r="C350" s="343" t="s">
        <v>4437</v>
      </c>
      <c r="D350" s="343" t="s">
        <v>4435</v>
      </c>
      <c r="E350" s="344" t="s">
        <v>2971</v>
      </c>
      <c r="F350" s="344">
        <v>1</v>
      </c>
      <c r="G350" s="344" t="s">
        <v>2841</v>
      </c>
      <c r="H350" s="344" t="s">
        <v>3423</v>
      </c>
      <c r="I350" s="344" t="s">
        <v>3211</v>
      </c>
      <c r="J350" s="339">
        <v>43371</v>
      </c>
      <c r="K350" s="339"/>
      <c r="L350" s="339"/>
      <c r="M350" s="344" t="s">
        <v>2853</v>
      </c>
      <c r="N350" s="344" t="s">
        <v>2088</v>
      </c>
      <c r="O350" s="339">
        <v>43354</v>
      </c>
      <c r="P350" s="353" t="s">
        <v>3061</v>
      </c>
      <c r="Q350" s="344" t="s">
        <v>2832</v>
      </c>
      <c r="R350" s="354"/>
      <c r="S350" s="354">
        <f t="shared" si="6"/>
        <v>34</v>
      </c>
    </row>
    <row r="351" spans="1:19" ht="51" x14ac:dyDescent="0.2">
      <c r="A351" s="340" t="s">
        <v>4434</v>
      </c>
      <c r="B351" s="345">
        <v>43320</v>
      </c>
      <c r="C351" s="341" t="s">
        <v>4436</v>
      </c>
      <c r="D351" s="341" t="s">
        <v>4041</v>
      </c>
      <c r="E351" s="342" t="s">
        <v>2971</v>
      </c>
      <c r="F351" s="342">
        <v>1</v>
      </c>
      <c r="G351" s="342" t="s">
        <v>2841</v>
      </c>
      <c r="H351" s="342" t="s">
        <v>3423</v>
      </c>
      <c r="I351" s="342" t="s">
        <v>3211</v>
      </c>
      <c r="J351" s="345">
        <v>43371</v>
      </c>
      <c r="K351" s="345"/>
      <c r="L351" s="345"/>
      <c r="M351" s="342" t="s">
        <v>2853</v>
      </c>
      <c r="N351" s="342"/>
      <c r="O351" s="345">
        <v>43354</v>
      </c>
      <c r="P351" s="355" t="s">
        <v>3061</v>
      </c>
      <c r="Q351" s="342" t="s">
        <v>2832</v>
      </c>
      <c r="R351" s="356"/>
      <c r="S351" s="354">
        <f t="shared" si="6"/>
        <v>34</v>
      </c>
    </row>
    <row r="352" spans="1:19" ht="51" x14ac:dyDescent="0.2">
      <c r="A352" s="338" t="s">
        <v>4438</v>
      </c>
      <c r="B352" s="339">
        <v>43320</v>
      </c>
      <c r="C352" s="343" t="s">
        <v>4439</v>
      </c>
      <c r="D352" s="343" t="s">
        <v>4440</v>
      </c>
      <c r="E352" s="344" t="s">
        <v>2971</v>
      </c>
      <c r="F352" s="344">
        <v>1</v>
      </c>
      <c r="G352" s="344" t="s">
        <v>2841</v>
      </c>
      <c r="H352" s="344" t="s">
        <v>4079</v>
      </c>
      <c r="I352" s="344" t="s">
        <v>3211</v>
      </c>
      <c r="J352" s="339">
        <v>43371</v>
      </c>
      <c r="K352" s="339"/>
      <c r="L352" s="339"/>
      <c r="M352" s="344" t="s">
        <v>2853</v>
      </c>
      <c r="N352" s="344" t="s">
        <v>2088</v>
      </c>
      <c r="O352" s="339">
        <v>43356</v>
      </c>
      <c r="P352" s="353" t="s">
        <v>3061</v>
      </c>
      <c r="Q352" s="344" t="s">
        <v>2832</v>
      </c>
      <c r="R352" s="354"/>
      <c r="S352" s="354">
        <f t="shared" si="6"/>
        <v>36</v>
      </c>
    </row>
    <row r="353" spans="1:19" ht="51" x14ac:dyDescent="0.2">
      <c r="A353" s="340" t="s">
        <v>4441</v>
      </c>
      <c r="B353" s="345">
        <v>43321</v>
      </c>
      <c r="C353" s="341" t="s">
        <v>4442</v>
      </c>
      <c r="D353" s="341" t="s">
        <v>4443</v>
      </c>
      <c r="E353" s="342" t="s">
        <v>2869</v>
      </c>
      <c r="F353" s="342">
        <v>1</v>
      </c>
      <c r="G353" s="342" t="s">
        <v>2828</v>
      </c>
      <c r="H353" s="342" t="s">
        <v>615</v>
      </c>
      <c r="I353" s="342" t="s">
        <v>3926</v>
      </c>
      <c r="J353" s="345">
        <v>43352</v>
      </c>
      <c r="K353" s="345"/>
      <c r="L353" s="345"/>
      <c r="M353" s="342" t="s">
        <v>2853</v>
      </c>
      <c r="N353" s="342" t="s">
        <v>2088</v>
      </c>
      <c r="O353" s="345">
        <v>43322</v>
      </c>
      <c r="P353" s="355" t="s">
        <v>3061</v>
      </c>
      <c r="Q353" s="342" t="s">
        <v>2829</v>
      </c>
      <c r="R353" s="356"/>
      <c r="S353" s="354">
        <f t="shared" si="6"/>
        <v>1</v>
      </c>
    </row>
    <row r="354" spans="1:19" ht="51" x14ac:dyDescent="0.2">
      <c r="A354" s="338" t="s">
        <v>4444</v>
      </c>
      <c r="B354" s="339">
        <v>43321</v>
      </c>
      <c r="C354" s="343" t="s">
        <v>4445</v>
      </c>
      <c r="D354" s="343" t="s">
        <v>4375</v>
      </c>
      <c r="E354" s="344" t="s">
        <v>4399</v>
      </c>
      <c r="F354" s="344">
        <v>1</v>
      </c>
      <c r="G354" s="344" t="s">
        <v>2828</v>
      </c>
      <c r="H354" s="344" t="s">
        <v>615</v>
      </c>
      <c r="I354" s="344" t="s">
        <v>3926</v>
      </c>
      <c r="J354" s="339">
        <v>43352</v>
      </c>
      <c r="K354" s="339"/>
      <c r="L354" s="339"/>
      <c r="M354" s="344" t="s">
        <v>2853</v>
      </c>
      <c r="N354" s="344" t="s">
        <v>2088</v>
      </c>
      <c r="O354" s="339">
        <v>43322</v>
      </c>
      <c r="P354" s="353" t="s">
        <v>3061</v>
      </c>
      <c r="Q354" s="344" t="s">
        <v>2829</v>
      </c>
      <c r="R354" s="354"/>
      <c r="S354" s="354">
        <f t="shared" si="6"/>
        <v>1</v>
      </c>
    </row>
    <row r="355" spans="1:19" ht="63.75" x14ac:dyDescent="0.2">
      <c r="A355" s="340" t="s">
        <v>4446</v>
      </c>
      <c r="B355" s="345">
        <v>43325</v>
      </c>
      <c r="C355" s="341" t="s">
        <v>4447</v>
      </c>
      <c r="D355" s="341" t="s">
        <v>4448</v>
      </c>
      <c r="E355" s="342" t="s">
        <v>2971</v>
      </c>
      <c r="F355" s="342">
        <v>1</v>
      </c>
      <c r="G355" s="342" t="s">
        <v>2836</v>
      </c>
      <c r="H355" s="342" t="s">
        <v>481</v>
      </c>
      <c r="I355" s="342" t="s">
        <v>229</v>
      </c>
      <c r="J355" s="345">
        <v>43343</v>
      </c>
      <c r="K355" s="345"/>
      <c r="L355" s="345"/>
      <c r="M355" s="342" t="s">
        <v>2853</v>
      </c>
      <c r="N355" s="342" t="s">
        <v>2088</v>
      </c>
      <c r="O355" s="345">
        <v>43325</v>
      </c>
      <c r="P355" s="355" t="s">
        <v>3061</v>
      </c>
      <c r="Q355" s="342" t="s">
        <v>2829</v>
      </c>
      <c r="R355" s="356"/>
      <c r="S355" s="354">
        <f t="shared" si="6"/>
        <v>0</v>
      </c>
    </row>
    <row r="356" spans="1:19" ht="89.25" x14ac:dyDescent="0.2">
      <c r="A356" s="338" t="s">
        <v>4449</v>
      </c>
      <c r="B356" s="339">
        <v>43327</v>
      </c>
      <c r="C356" s="343" t="s">
        <v>4451</v>
      </c>
      <c r="D356" s="343" t="s">
        <v>4452</v>
      </c>
      <c r="E356" s="344" t="s">
        <v>2971</v>
      </c>
      <c r="F356" s="344">
        <v>1</v>
      </c>
      <c r="G356" s="344" t="s">
        <v>2836</v>
      </c>
      <c r="H356" s="344" t="s">
        <v>685</v>
      </c>
      <c r="I356" s="344" t="s">
        <v>229</v>
      </c>
      <c r="J356" s="339">
        <v>43371</v>
      </c>
      <c r="K356" s="339"/>
      <c r="L356" s="339"/>
      <c r="M356" s="344" t="s">
        <v>2853</v>
      </c>
      <c r="N356" s="344" t="s">
        <v>2088</v>
      </c>
      <c r="O356" s="339">
        <v>43328</v>
      </c>
      <c r="P356" s="353" t="s">
        <v>3061</v>
      </c>
      <c r="Q356" s="344" t="s">
        <v>2829</v>
      </c>
      <c r="R356" s="354"/>
      <c r="S356" s="354">
        <f t="shared" si="6"/>
        <v>1</v>
      </c>
    </row>
    <row r="357" spans="1:19" ht="127.5" x14ac:dyDescent="0.2">
      <c r="A357" s="340" t="s">
        <v>4450</v>
      </c>
      <c r="B357" s="345">
        <v>43327</v>
      </c>
      <c r="C357" s="341" t="s">
        <v>4453</v>
      </c>
      <c r="D357" s="341" t="s">
        <v>4452</v>
      </c>
      <c r="E357" s="342" t="s">
        <v>2971</v>
      </c>
      <c r="F357" s="342">
        <v>1</v>
      </c>
      <c r="G357" s="342" t="s">
        <v>2836</v>
      </c>
      <c r="H357" s="342" t="s">
        <v>685</v>
      </c>
      <c r="I357" s="342" t="s">
        <v>229</v>
      </c>
      <c r="J357" s="345">
        <v>43371</v>
      </c>
      <c r="K357" s="345"/>
      <c r="L357" s="345"/>
      <c r="M357" s="342" t="s">
        <v>2853</v>
      </c>
      <c r="N357" s="342" t="s">
        <v>2088</v>
      </c>
      <c r="O357" s="345">
        <v>43334</v>
      </c>
      <c r="P357" s="355" t="s">
        <v>3061</v>
      </c>
      <c r="Q357" s="342" t="s">
        <v>2829</v>
      </c>
      <c r="R357" s="356"/>
      <c r="S357" s="354">
        <f t="shared" si="6"/>
        <v>7</v>
      </c>
    </row>
    <row r="358" spans="1:19" ht="89.25" x14ac:dyDescent="0.2">
      <c r="A358" s="338" t="s">
        <v>4454</v>
      </c>
      <c r="B358" s="339">
        <v>43333</v>
      </c>
      <c r="C358" s="343" t="s">
        <v>4455</v>
      </c>
      <c r="D358" s="343" t="s">
        <v>4456</v>
      </c>
      <c r="E358" s="344" t="s">
        <v>2971</v>
      </c>
      <c r="F358" s="344">
        <v>1</v>
      </c>
      <c r="G358" s="344" t="s">
        <v>2841</v>
      </c>
      <c r="H358" s="344" t="s">
        <v>3227</v>
      </c>
      <c r="I358" s="344" t="s">
        <v>3211</v>
      </c>
      <c r="J358" s="339">
        <v>43371</v>
      </c>
      <c r="K358" s="339"/>
      <c r="L358" s="339"/>
      <c r="M358" s="344" t="s">
        <v>2853</v>
      </c>
      <c r="N358" s="344" t="s">
        <v>2088</v>
      </c>
      <c r="O358" s="339">
        <v>43375</v>
      </c>
      <c r="P358" s="353" t="s">
        <v>3061</v>
      </c>
      <c r="Q358" s="344" t="s">
        <v>2832</v>
      </c>
      <c r="R358" s="354"/>
      <c r="S358" s="354">
        <f t="shared" si="6"/>
        <v>42</v>
      </c>
    </row>
    <row r="359" spans="1:19" ht="51" x14ac:dyDescent="0.2">
      <c r="A359" s="340" t="s">
        <v>4457</v>
      </c>
      <c r="B359" s="345">
        <v>43333</v>
      </c>
      <c r="C359" s="341" t="s">
        <v>4458</v>
      </c>
      <c r="D359" s="341" t="s">
        <v>4141</v>
      </c>
      <c r="E359" s="342" t="s">
        <v>2971</v>
      </c>
      <c r="F359" s="342">
        <v>1</v>
      </c>
      <c r="G359" s="342" t="s">
        <v>2841</v>
      </c>
      <c r="H359" s="342" t="s">
        <v>229</v>
      </c>
      <c r="I359" s="342" t="s">
        <v>229</v>
      </c>
      <c r="J359" s="345">
        <v>43371</v>
      </c>
      <c r="K359" s="345"/>
      <c r="L359" s="345"/>
      <c r="M359" s="342" t="s">
        <v>2853</v>
      </c>
      <c r="N359" s="342" t="s">
        <v>2088</v>
      </c>
      <c r="O359" s="345">
        <v>43370</v>
      </c>
      <c r="P359" s="355" t="s">
        <v>3061</v>
      </c>
      <c r="Q359" s="342" t="s">
        <v>2832</v>
      </c>
      <c r="R359" s="356"/>
      <c r="S359" s="354">
        <f t="shared" si="6"/>
        <v>37</v>
      </c>
    </row>
    <row r="360" spans="1:19" ht="51" x14ac:dyDescent="0.2">
      <c r="A360" s="338" t="s">
        <v>4459</v>
      </c>
      <c r="B360" s="339">
        <v>43335</v>
      </c>
      <c r="C360" s="343" t="s">
        <v>4460</v>
      </c>
      <c r="D360" s="343" t="s">
        <v>3873</v>
      </c>
      <c r="E360" s="344" t="s">
        <v>2971</v>
      </c>
      <c r="F360" s="344">
        <v>1</v>
      </c>
      <c r="G360" s="344" t="s">
        <v>2841</v>
      </c>
      <c r="H360" s="344" t="s">
        <v>229</v>
      </c>
      <c r="I360" s="344" t="s">
        <v>229</v>
      </c>
      <c r="J360" s="339">
        <v>43371</v>
      </c>
      <c r="K360" s="339"/>
      <c r="L360" s="339"/>
      <c r="M360" s="344" t="s">
        <v>2853</v>
      </c>
      <c r="N360" s="344" t="s">
        <v>2088</v>
      </c>
      <c r="O360" s="339">
        <v>43353</v>
      </c>
      <c r="P360" s="353" t="s">
        <v>3061</v>
      </c>
      <c r="Q360" s="344" t="s">
        <v>2829</v>
      </c>
      <c r="R360" s="354"/>
      <c r="S360" s="354">
        <f t="shared" si="6"/>
        <v>18</v>
      </c>
    </row>
    <row r="361" spans="1:19" ht="51" x14ac:dyDescent="0.2">
      <c r="A361" s="340" t="s">
        <v>4461</v>
      </c>
      <c r="B361" s="345">
        <v>43338</v>
      </c>
      <c r="C361" s="341" t="s">
        <v>4462</v>
      </c>
      <c r="D361" s="341" t="s">
        <v>3873</v>
      </c>
      <c r="E361" s="342" t="s">
        <v>2971</v>
      </c>
      <c r="F361" s="342">
        <v>1</v>
      </c>
      <c r="G361" s="342" t="s">
        <v>2841</v>
      </c>
      <c r="H361" s="342" t="s">
        <v>229</v>
      </c>
      <c r="I361" s="342" t="s">
        <v>229</v>
      </c>
      <c r="J361" s="345">
        <v>43371</v>
      </c>
      <c r="K361" s="345"/>
      <c r="L361" s="345"/>
      <c r="M361" s="342" t="s">
        <v>2853</v>
      </c>
      <c r="N361" s="342" t="s">
        <v>2088</v>
      </c>
      <c r="O361" s="345">
        <v>43354</v>
      </c>
      <c r="P361" s="355" t="s">
        <v>3061</v>
      </c>
      <c r="Q361" s="342" t="s">
        <v>2829</v>
      </c>
      <c r="R361" s="356"/>
      <c r="S361" s="354">
        <f t="shared" si="6"/>
        <v>16</v>
      </c>
    </row>
    <row r="362" spans="1:19" ht="89.25" x14ac:dyDescent="0.2">
      <c r="A362" s="338" t="s">
        <v>4463</v>
      </c>
      <c r="B362" s="339">
        <v>43339</v>
      </c>
      <c r="C362" s="343" t="s">
        <v>4465</v>
      </c>
      <c r="D362" s="343" t="s">
        <v>4464</v>
      </c>
      <c r="E362" s="344" t="s">
        <v>3400</v>
      </c>
      <c r="F362" s="344">
        <v>1</v>
      </c>
      <c r="G362" s="344" t="s">
        <v>2828</v>
      </c>
      <c r="H362" s="344" t="s">
        <v>3975</v>
      </c>
      <c r="I362" s="344" t="s">
        <v>3211</v>
      </c>
      <c r="J362" s="339">
        <v>43413</v>
      </c>
      <c r="K362" s="339"/>
      <c r="L362" s="339"/>
      <c r="M362" s="344" t="s">
        <v>2853</v>
      </c>
      <c r="N362" s="344" t="s">
        <v>2088</v>
      </c>
      <c r="O362" s="339">
        <v>43403</v>
      </c>
      <c r="P362" s="353" t="s">
        <v>3061</v>
      </c>
      <c r="Q362" s="344" t="s">
        <v>2832</v>
      </c>
      <c r="R362" s="354"/>
      <c r="S362" s="354">
        <f t="shared" si="6"/>
        <v>64</v>
      </c>
    </row>
    <row r="363" spans="1:19" ht="63.75" x14ac:dyDescent="0.2">
      <c r="A363" s="340" t="s">
        <v>4466</v>
      </c>
      <c r="B363" s="345">
        <v>43339</v>
      </c>
      <c r="C363" s="341" t="s">
        <v>4467</v>
      </c>
      <c r="D363" s="341" t="s">
        <v>4468</v>
      </c>
      <c r="E363" s="342" t="s">
        <v>3586</v>
      </c>
      <c r="F363" s="342">
        <v>1</v>
      </c>
      <c r="G363" s="342" t="s">
        <v>2828</v>
      </c>
      <c r="H363" s="342" t="s">
        <v>3975</v>
      </c>
      <c r="I363" s="342" t="s">
        <v>3211</v>
      </c>
      <c r="J363" s="345">
        <v>43373</v>
      </c>
      <c r="K363" s="345"/>
      <c r="L363" s="345"/>
      <c r="M363" s="342" t="s">
        <v>2853</v>
      </c>
      <c r="N363" s="342" t="s">
        <v>2088</v>
      </c>
      <c r="O363" s="345">
        <v>43342</v>
      </c>
      <c r="P363" s="355" t="s">
        <v>3061</v>
      </c>
      <c r="Q363" s="342" t="s">
        <v>2829</v>
      </c>
      <c r="R363" s="356"/>
      <c r="S363" s="354">
        <f t="shared" si="6"/>
        <v>3</v>
      </c>
    </row>
    <row r="364" spans="1:19" ht="51" x14ac:dyDescent="0.2">
      <c r="A364" s="338" t="s">
        <v>4469</v>
      </c>
      <c r="B364" s="339">
        <v>43347</v>
      </c>
      <c r="C364" s="343" t="s">
        <v>4470</v>
      </c>
      <c r="D364" s="343" t="s">
        <v>4471</v>
      </c>
      <c r="E364" s="344" t="s">
        <v>3210</v>
      </c>
      <c r="F364" s="344">
        <v>1</v>
      </c>
      <c r="G364" s="344" t="s">
        <v>2828</v>
      </c>
      <c r="H364" s="344" t="s">
        <v>4079</v>
      </c>
      <c r="I364" s="344" t="s">
        <v>3211</v>
      </c>
      <c r="J364" s="339">
        <v>43408</v>
      </c>
      <c r="K364" s="339"/>
      <c r="L364" s="339"/>
      <c r="M364" s="344" t="s">
        <v>2853</v>
      </c>
      <c r="N364" s="344" t="s">
        <v>2088</v>
      </c>
      <c r="O364" s="339">
        <v>43349</v>
      </c>
      <c r="P364" s="353" t="s">
        <v>3061</v>
      </c>
      <c r="Q364" s="344" t="s">
        <v>2829</v>
      </c>
      <c r="R364" s="354"/>
      <c r="S364" s="354">
        <f t="shared" si="6"/>
        <v>2</v>
      </c>
    </row>
    <row r="365" spans="1:19" ht="51" x14ac:dyDescent="0.2">
      <c r="A365" s="340" t="s">
        <v>4472</v>
      </c>
      <c r="B365" s="345">
        <v>43348</v>
      </c>
      <c r="C365" s="341" t="s">
        <v>4473</v>
      </c>
      <c r="D365" s="341" t="s">
        <v>4464</v>
      </c>
      <c r="E365" s="342" t="s">
        <v>2869</v>
      </c>
      <c r="F365" s="342">
        <v>1</v>
      </c>
      <c r="G365" s="342" t="s">
        <v>2828</v>
      </c>
      <c r="H365" s="342" t="s">
        <v>4232</v>
      </c>
      <c r="I365" s="342" t="s">
        <v>3211</v>
      </c>
      <c r="J365" s="345">
        <v>43378</v>
      </c>
      <c r="K365" s="345"/>
      <c r="L365" s="345"/>
      <c r="M365" s="342" t="s">
        <v>2853</v>
      </c>
      <c r="N365" s="342" t="s">
        <v>2088</v>
      </c>
      <c r="O365" s="345">
        <v>43371</v>
      </c>
      <c r="P365" s="355" t="s">
        <v>3061</v>
      </c>
      <c r="Q365" s="342" t="s">
        <v>2829</v>
      </c>
      <c r="R365" s="356"/>
      <c r="S365" s="354">
        <f t="shared" si="6"/>
        <v>23</v>
      </c>
    </row>
    <row r="366" spans="1:19" ht="140.25" x14ac:dyDescent="0.2">
      <c r="A366" s="338" t="s">
        <v>4474</v>
      </c>
      <c r="B366" s="339">
        <v>43348</v>
      </c>
      <c r="C366" s="343" t="s">
        <v>4475</v>
      </c>
      <c r="D366" s="343" t="s">
        <v>4476</v>
      </c>
      <c r="E366" s="344" t="s">
        <v>2971</v>
      </c>
      <c r="F366" s="344">
        <v>1</v>
      </c>
      <c r="G366" s="344" t="s">
        <v>2838</v>
      </c>
      <c r="H366" s="344" t="s">
        <v>685</v>
      </c>
      <c r="I366" s="344" t="s">
        <v>229</v>
      </c>
      <c r="J366" s="339">
        <v>43348</v>
      </c>
      <c r="K366" s="339"/>
      <c r="L366" s="339"/>
      <c r="M366" s="344" t="s">
        <v>2853</v>
      </c>
      <c r="N366" s="344" t="s">
        <v>2088</v>
      </c>
      <c r="O366" s="339">
        <v>43349</v>
      </c>
      <c r="P366" s="353" t="s">
        <v>3061</v>
      </c>
      <c r="Q366" s="344" t="s">
        <v>2829</v>
      </c>
      <c r="R366" s="354"/>
      <c r="S366" s="354">
        <f t="shared" si="6"/>
        <v>1</v>
      </c>
    </row>
    <row r="367" spans="1:19" ht="153" x14ac:dyDescent="0.2">
      <c r="A367" s="340" t="s">
        <v>4477</v>
      </c>
      <c r="B367" s="345">
        <v>43349</v>
      </c>
      <c r="C367" s="341" t="s">
        <v>4524</v>
      </c>
      <c r="D367" s="341" t="s">
        <v>4525</v>
      </c>
      <c r="E367" s="342" t="s">
        <v>2971</v>
      </c>
      <c r="F367" s="342">
        <v>1</v>
      </c>
      <c r="G367" s="342" t="s">
        <v>4300</v>
      </c>
      <c r="H367" s="342" t="s">
        <v>3645</v>
      </c>
      <c r="I367" s="342" t="s">
        <v>229</v>
      </c>
      <c r="J367" s="345">
        <v>43350</v>
      </c>
      <c r="K367" s="345"/>
      <c r="L367" s="345"/>
      <c r="M367" s="342" t="s">
        <v>2853</v>
      </c>
      <c r="N367" s="342" t="s">
        <v>2088</v>
      </c>
      <c r="O367" s="345">
        <v>43349</v>
      </c>
      <c r="P367" s="355" t="s">
        <v>3061</v>
      </c>
      <c r="Q367" s="342" t="s">
        <v>2829</v>
      </c>
      <c r="R367" s="356"/>
      <c r="S367" s="354">
        <f t="shared" si="6"/>
        <v>0</v>
      </c>
    </row>
    <row r="368" spans="1:19" ht="114.75" x14ac:dyDescent="0.2">
      <c r="A368" s="338" t="s">
        <v>4478</v>
      </c>
      <c r="B368" s="339">
        <v>43350</v>
      </c>
      <c r="C368" s="343" t="s">
        <v>4480</v>
      </c>
      <c r="D368" s="343" t="s">
        <v>4479</v>
      </c>
      <c r="E368" s="344" t="s">
        <v>2971</v>
      </c>
      <c r="F368" s="344">
        <v>1</v>
      </c>
      <c r="G368" s="344" t="s">
        <v>2836</v>
      </c>
      <c r="H368" s="344" t="s">
        <v>481</v>
      </c>
      <c r="I368" s="344" t="s">
        <v>229</v>
      </c>
      <c r="J368" s="339">
        <v>43404</v>
      </c>
      <c r="K368" s="339"/>
      <c r="L368" s="339"/>
      <c r="M368" s="344" t="s">
        <v>2853</v>
      </c>
      <c r="N368" s="344" t="s">
        <v>3022</v>
      </c>
      <c r="O368" s="339">
        <v>43445</v>
      </c>
      <c r="P368" s="353" t="s">
        <v>3022</v>
      </c>
      <c r="Q368" s="344" t="s">
        <v>2835</v>
      </c>
      <c r="R368" s="354"/>
      <c r="S368" s="354">
        <f t="shared" si="6"/>
        <v>95</v>
      </c>
    </row>
    <row r="369" spans="1:19" ht="38.25" x14ac:dyDescent="0.2">
      <c r="A369" s="340" t="s">
        <v>4481</v>
      </c>
      <c r="B369" s="345">
        <v>43350</v>
      </c>
      <c r="C369" s="341" t="s">
        <v>4482</v>
      </c>
      <c r="D369" s="341" t="s">
        <v>4483</v>
      </c>
      <c r="E369" s="342" t="s">
        <v>2971</v>
      </c>
      <c r="F369" s="342">
        <v>1</v>
      </c>
      <c r="G369" s="342" t="s">
        <v>2838</v>
      </c>
      <c r="H369" s="342" t="s">
        <v>685</v>
      </c>
      <c r="I369" s="342" t="s">
        <v>229</v>
      </c>
      <c r="J369" s="345">
        <v>43371</v>
      </c>
      <c r="K369" s="345"/>
      <c r="L369" s="345"/>
      <c r="M369" s="342" t="s">
        <v>2853</v>
      </c>
      <c r="N369" s="342" t="s">
        <v>2088</v>
      </c>
      <c r="O369" s="345">
        <v>43353</v>
      </c>
      <c r="P369" s="355" t="s">
        <v>3061</v>
      </c>
      <c r="Q369" s="342" t="s">
        <v>2829</v>
      </c>
      <c r="R369" s="356"/>
      <c r="S369" s="354">
        <f t="shared" si="6"/>
        <v>3</v>
      </c>
    </row>
    <row r="370" spans="1:19" ht="76.5" x14ac:dyDescent="0.2">
      <c r="A370" s="338" t="s">
        <v>4484</v>
      </c>
      <c r="B370" s="339">
        <v>43354</v>
      </c>
      <c r="C370" s="343" t="s">
        <v>4485</v>
      </c>
      <c r="D370" s="343" t="s">
        <v>4486</v>
      </c>
      <c r="E370" s="344" t="s">
        <v>3532</v>
      </c>
      <c r="F370" s="344">
        <v>1</v>
      </c>
      <c r="G370" s="344" t="s">
        <v>2828</v>
      </c>
      <c r="H370" s="344" t="s">
        <v>3975</v>
      </c>
      <c r="I370" s="344" t="s">
        <v>3926</v>
      </c>
      <c r="J370" s="339">
        <v>43410</v>
      </c>
      <c r="K370" s="339"/>
      <c r="L370" s="339"/>
      <c r="M370" s="344" t="s">
        <v>2853</v>
      </c>
      <c r="N370" s="344" t="s">
        <v>3022</v>
      </c>
      <c r="O370" s="339">
        <v>43417</v>
      </c>
      <c r="P370" s="353" t="s">
        <v>3022</v>
      </c>
      <c r="Q370" s="344" t="s">
        <v>2832</v>
      </c>
      <c r="R370" s="354"/>
      <c r="S370" s="354">
        <f t="shared" si="6"/>
        <v>63</v>
      </c>
    </row>
    <row r="371" spans="1:19" ht="51" x14ac:dyDescent="0.2">
      <c r="A371" s="340" t="s">
        <v>4487</v>
      </c>
      <c r="B371" s="345">
        <v>43354</v>
      </c>
      <c r="C371" s="341" t="s">
        <v>4488</v>
      </c>
      <c r="D371" s="341" t="s">
        <v>4048</v>
      </c>
      <c r="E371" s="342" t="s">
        <v>2971</v>
      </c>
      <c r="F371" s="342">
        <v>1</v>
      </c>
      <c r="G371" s="342" t="s">
        <v>2841</v>
      </c>
      <c r="H371" s="342" t="s">
        <v>3645</v>
      </c>
      <c r="I371" s="342" t="s">
        <v>229</v>
      </c>
      <c r="J371" s="345">
        <v>43371</v>
      </c>
      <c r="K371" s="345"/>
      <c r="L371" s="345"/>
      <c r="M371" s="342" t="s">
        <v>2853</v>
      </c>
      <c r="N371" s="342" t="s">
        <v>2088</v>
      </c>
      <c r="O371" s="345">
        <v>43370</v>
      </c>
      <c r="P371" s="355" t="s">
        <v>3061</v>
      </c>
      <c r="Q371" s="342" t="s">
        <v>2829</v>
      </c>
      <c r="R371" s="356"/>
      <c r="S371" s="354">
        <f t="shared" si="6"/>
        <v>16</v>
      </c>
    </row>
    <row r="372" spans="1:19" ht="51" x14ac:dyDescent="0.2">
      <c r="A372" s="338" t="s">
        <v>4489</v>
      </c>
      <c r="B372" s="339">
        <v>43354</v>
      </c>
      <c r="C372" s="343" t="s">
        <v>4490</v>
      </c>
      <c r="D372" s="343" t="s">
        <v>3873</v>
      </c>
      <c r="E372" s="344" t="s">
        <v>2971</v>
      </c>
      <c r="F372" s="344">
        <v>1</v>
      </c>
      <c r="G372" s="344" t="s">
        <v>2841</v>
      </c>
      <c r="H372" s="344" t="s">
        <v>229</v>
      </c>
      <c r="I372" s="344" t="s">
        <v>229</v>
      </c>
      <c r="J372" s="339">
        <v>43371</v>
      </c>
      <c r="K372" s="339"/>
      <c r="L372" s="339"/>
      <c r="M372" s="344" t="s">
        <v>2853</v>
      </c>
      <c r="N372" s="344" t="s">
        <v>2088</v>
      </c>
      <c r="O372" s="339">
        <v>43374</v>
      </c>
      <c r="P372" s="353" t="s">
        <v>3061</v>
      </c>
      <c r="Q372" s="344" t="s">
        <v>2829</v>
      </c>
      <c r="R372" s="354"/>
      <c r="S372" s="354">
        <f t="shared" si="6"/>
        <v>20</v>
      </c>
    </row>
    <row r="373" spans="1:19" ht="51" x14ac:dyDescent="0.2">
      <c r="A373" s="340" t="s">
        <v>4491</v>
      </c>
      <c r="B373" s="345">
        <v>43356</v>
      </c>
      <c r="C373" s="341" t="s">
        <v>4492</v>
      </c>
      <c r="D373" s="341" t="s">
        <v>4493</v>
      </c>
      <c r="E373" s="342" t="s">
        <v>4242</v>
      </c>
      <c r="F373" s="342">
        <v>1</v>
      </c>
      <c r="G373" s="342" t="s">
        <v>2828</v>
      </c>
      <c r="H373" s="342" t="s">
        <v>4232</v>
      </c>
      <c r="I373" s="342" t="s">
        <v>3211</v>
      </c>
      <c r="J373" s="345">
        <v>43386</v>
      </c>
      <c r="K373" s="345"/>
      <c r="L373" s="345"/>
      <c r="M373" s="342" t="s">
        <v>2853</v>
      </c>
      <c r="N373" s="342" t="s">
        <v>2088</v>
      </c>
      <c r="O373" s="345">
        <v>43376</v>
      </c>
      <c r="P373" s="355" t="s">
        <v>3061</v>
      </c>
      <c r="Q373" s="342" t="s">
        <v>2829</v>
      </c>
      <c r="R373" s="356"/>
      <c r="S373" s="354">
        <f t="shared" si="6"/>
        <v>20</v>
      </c>
    </row>
    <row r="374" spans="1:19" ht="51" x14ac:dyDescent="0.2">
      <c r="A374" s="338" t="s">
        <v>4494</v>
      </c>
      <c r="B374" s="339">
        <v>43356</v>
      </c>
      <c r="C374" s="343" t="s">
        <v>4495</v>
      </c>
      <c r="D374" s="343" t="s">
        <v>4497</v>
      </c>
      <c r="E374" s="344" t="s">
        <v>2971</v>
      </c>
      <c r="F374" s="344">
        <v>1</v>
      </c>
      <c r="G374" s="344" t="s">
        <v>4251</v>
      </c>
      <c r="H374" s="344" t="s">
        <v>4496</v>
      </c>
      <c r="I374" s="344" t="s">
        <v>3645</v>
      </c>
      <c r="J374" s="339">
        <v>43357</v>
      </c>
      <c r="K374" s="339"/>
      <c r="L374" s="339"/>
      <c r="M374" s="344" t="s">
        <v>2853</v>
      </c>
      <c r="N374" s="344" t="s">
        <v>2088</v>
      </c>
      <c r="O374" s="339">
        <v>43356</v>
      </c>
      <c r="P374" s="353" t="s">
        <v>3061</v>
      </c>
      <c r="Q374" s="344" t="s">
        <v>2829</v>
      </c>
      <c r="R374" s="354"/>
      <c r="S374" s="354">
        <f t="shared" si="6"/>
        <v>0</v>
      </c>
    </row>
    <row r="375" spans="1:19" ht="51" x14ac:dyDescent="0.2">
      <c r="A375" s="340" t="s">
        <v>4499</v>
      </c>
      <c r="B375" s="345">
        <v>43356</v>
      </c>
      <c r="C375" s="341" t="s">
        <v>4498</v>
      </c>
      <c r="D375" s="341" t="s">
        <v>3039</v>
      </c>
      <c r="E375" s="342" t="s">
        <v>2971</v>
      </c>
      <c r="F375" s="342">
        <v>1</v>
      </c>
      <c r="G375" s="342" t="s">
        <v>2841</v>
      </c>
      <c r="H375" s="342" t="s">
        <v>3991</v>
      </c>
      <c r="I375" s="342" t="s">
        <v>229</v>
      </c>
      <c r="J375" s="345">
        <v>43385</v>
      </c>
      <c r="K375" s="345"/>
      <c r="L375" s="345"/>
      <c r="M375" s="342" t="s">
        <v>2853</v>
      </c>
      <c r="N375" s="342" t="s">
        <v>2088</v>
      </c>
      <c r="O375" s="345">
        <v>43374</v>
      </c>
      <c r="P375" s="355" t="s">
        <v>3061</v>
      </c>
      <c r="Q375" s="342" t="s">
        <v>2829</v>
      </c>
      <c r="R375" s="356"/>
      <c r="S375" s="354">
        <f t="shared" si="6"/>
        <v>18</v>
      </c>
    </row>
    <row r="376" spans="1:19" ht="51" x14ac:dyDescent="0.2">
      <c r="A376" s="338" t="s">
        <v>4500</v>
      </c>
      <c r="B376" s="339">
        <v>43356</v>
      </c>
      <c r="C376" s="343" t="s">
        <v>4501</v>
      </c>
      <c r="D376" s="343" t="s">
        <v>3039</v>
      </c>
      <c r="E376" s="344" t="s">
        <v>2971</v>
      </c>
      <c r="F376" s="344">
        <v>1</v>
      </c>
      <c r="G376" s="344" t="s">
        <v>2841</v>
      </c>
      <c r="H376" s="344" t="s">
        <v>4502</v>
      </c>
      <c r="I376" s="344" t="s">
        <v>229</v>
      </c>
      <c r="J376" s="339">
        <v>43385</v>
      </c>
      <c r="K376" s="339"/>
      <c r="L376" s="339"/>
      <c r="M376" s="344" t="s">
        <v>2853</v>
      </c>
      <c r="N376" s="344" t="s">
        <v>2088</v>
      </c>
      <c r="O376" s="339">
        <v>43376</v>
      </c>
      <c r="P376" s="353" t="s">
        <v>3061</v>
      </c>
      <c r="Q376" s="344" t="s">
        <v>2829</v>
      </c>
      <c r="R376" s="354"/>
      <c r="S376" s="354">
        <f t="shared" si="6"/>
        <v>20</v>
      </c>
    </row>
    <row r="377" spans="1:19" ht="102" x14ac:dyDescent="0.2">
      <c r="A377" s="340" t="s">
        <v>4503</v>
      </c>
      <c r="B377" s="345">
        <v>43356</v>
      </c>
      <c r="C377" s="341" t="s">
        <v>4504</v>
      </c>
      <c r="D377" s="341" t="s">
        <v>4048</v>
      </c>
      <c r="E377" s="342" t="s">
        <v>2971</v>
      </c>
      <c r="F377" s="342">
        <v>1</v>
      </c>
      <c r="G377" s="342" t="s">
        <v>2841</v>
      </c>
      <c r="H377" s="342" t="s">
        <v>229</v>
      </c>
      <c r="I377" s="342" t="s">
        <v>229</v>
      </c>
      <c r="J377" s="345">
        <v>43404</v>
      </c>
      <c r="K377" s="345"/>
      <c r="L377" s="345"/>
      <c r="M377" s="342" t="s">
        <v>2853</v>
      </c>
      <c r="N377" s="342" t="s">
        <v>2088</v>
      </c>
      <c r="O377" s="345">
        <v>43382</v>
      </c>
      <c r="P377" s="355" t="s">
        <v>3061</v>
      </c>
      <c r="Q377" s="342" t="s">
        <v>2829</v>
      </c>
      <c r="R377" s="356"/>
      <c r="S377" s="354">
        <f t="shared" ref="S377:S440" si="7">O377-B377</f>
        <v>26</v>
      </c>
    </row>
    <row r="378" spans="1:19" ht="51" x14ac:dyDescent="0.2">
      <c r="A378" s="338" t="s">
        <v>4505</v>
      </c>
      <c r="B378" s="339">
        <v>43357</v>
      </c>
      <c r="C378" s="343" t="s">
        <v>4506</v>
      </c>
      <c r="D378" s="343" t="s">
        <v>3873</v>
      </c>
      <c r="E378" s="344" t="s">
        <v>2971</v>
      </c>
      <c r="F378" s="344">
        <v>1</v>
      </c>
      <c r="G378" s="344" t="s">
        <v>2841</v>
      </c>
      <c r="H378" s="344" t="s">
        <v>229</v>
      </c>
      <c r="I378" s="344" t="s">
        <v>229</v>
      </c>
      <c r="J378" s="339">
        <v>43385</v>
      </c>
      <c r="K378" s="339"/>
      <c r="L378" s="339"/>
      <c r="M378" s="344" t="s">
        <v>2853</v>
      </c>
      <c r="N378" s="344" t="s">
        <v>2088</v>
      </c>
      <c r="O378" s="339">
        <v>43389</v>
      </c>
      <c r="P378" s="353" t="s">
        <v>3061</v>
      </c>
      <c r="Q378" s="344" t="s">
        <v>2829</v>
      </c>
      <c r="R378" s="354"/>
      <c r="S378" s="354">
        <f t="shared" si="7"/>
        <v>32</v>
      </c>
    </row>
    <row r="379" spans="1:19" ht="51" x14ac:dyDescent="0.2">
      <c r="A379" s="340" t="s">
        <v>4507</v>
      </c>
      <c r="B379" s="345">
        <v>43360</v>
      </c>
      <c r="C379" s="341" t="s">
        <v>4508</v>
      </c>
      <c r="D379" s="341" t="s">
        <v>4509</v>
      </c>
      <c r="E379" s="342" t="s">
        <v>2971</v>
      </c>
      <c r="F379" s="342">
        <v>1</v>
      </c>
      <c r="G379" s="342" t="s">
        <v>2838</v>
      </c>
      <c r="H379" s="342" t="s">
        <v>685</v>
      </c>
      <c r="I379" s="342" t="s">
        <v>229</v>
      </c>
      <c r="J379" s="345">
        <v>43371</v>
      </c>
      <c r="K379" s="345"/>
      <c r="L379" s="345"/>
      <c r="M379" s="342" t="s">
        <v>2853</v>
      </c>
      <c r="N379" s="342" t="s">
        <v>2088</v>
      </c>
      <c r="O379" s="345">
        <v>43371</v>
      </c>
      <c r="P379" s="355" t="s">
        <v>3061</v>
      </c>
      <c r="Q379" s="342" t="s">
        <v>2829</v>
      </c>
      <c r="R379" s="356"/>
      <c r="S379" s="354">
        <f t="shared" si="7"/>
        <v>11</v>
      </c>
    </row>
    <row r="380" spans="1:19" ht="51" x14ac:dyDescent="0.2">
      <c r="A380" s="338" t="s">
        <v>4510</v>
      </c>
      <c r="B380" s="339">
        <v>43360</v>
      </c>
      <c r="C380" s="343" t="s">
        <v>4512</v>
      </c>
      <c r="D380" s="343" t="s">
        <v>4511</v>
      </c>
      <c r="E380" s="344" t="s">
        <v>2971</v>
      </c>
      <c r="F380" s="344">
        <v>1</v>
      </c>
      <c r="G380" s="344" t="s">
        <v>2841</v>
      </c>
      <c r="H380" s="344" t="s">
        <v>229</v>
      </c>
      <c r="I380" s="344" t="s">
        <v>229</v>
      </c>
      <c r="J380" s="339">
        <v>43385</v>
      </c>
      <c r="K380" s="339"/>
      <c r="L380" s="339"/>
      <c r="M380" s="344" t="s">
        <v>2853</v>
      </c>
      <c r="N380" s="344" t="s">
        <v>2088</v>
      </c>
      <c r="O380" s="339">
        <v>43389</v>
      </c>
      <c r="P380" s="353" t="s">
        <v>3061</v>
      </c>
      <c r="Q380" s="344" t="s">
        <v>2829</v>
      </c>
      <c r="R380" s="354"/>
      <c r="S380" s="354">
        <f t="shared" si="7"/>
        <v>29</v>
      </c>
    </row>
    <row r="381" spans="1:19" ht="51" x14ac:dyDescent="0.2">
      <c r="A381" s="340" t="s">
        <v>4513</v>
      </c>
      <c r="B381" s="345">
        <v>43361</v>
      </c>
      <c r="C381" s="341" t="s">
        <v>4514</v>
      </c>
      <c r="D381" s="341" t="s">
        <v>4515</v>
      </c>
      <c r="E381" s="342" t="s">
        <v>3323</v>
      </c>
      <c r="F381" s="342">
        <v>1</v>
      </c>
      <c r="G381" s="342" t="s">
        <v>2828</v>
      </c>
      <c r="H381" s="342" t="s">
        <v>615</v>
      </c>
      <c r="I381" s="342" t="s">
        <v>3926</v>
      </c>
      <c r="J381" s="345">
        <v>43375</v>
      </c>
      <c r="K381" s="345"/>
      <c r="L381" s="345"/>
      <c r="M381" s="342" t="s">
        <v>2853</v>
      </c>
      <c r="N381" s="342" t="s">
        <v>2088</v>
      </c>
      <c r="O381" s="345">
        <v>43364</v>
      </c>
      <c r="P381" s="355" t="s">
        <v>3061</v>
      </c>
      <c r="Q381" s="342" t="s">
        <v>2829</v>
      </c>
      <c r="R381" s="356"/>
      <c r="S381" s="354">
        <f t="shared" si="7"/>
        <v>3</v>
      </c>
    </row>
    <row r="382" spans="1:19" ht="76.5" x14ac:dyDescent="0.2">
      <c r="A382" s="338" t="s">
        <v>4516</v>
      </c>
      <c r="B382" s="339">
        <v>43361</v>
      </c>
      <c r="C382" s="343" t="s">
        <v>4518</v>
      </c>
      <c r="D382" s="343" t="s">
        <v>4517</v>
      </c>
      <c r="E382" s="344" t="s">
        <v>2971</v>
      </c>
      <c r="F382" s="344">
        <v>1</v>
      </c>
      <c r="G382" s="344" t="s">
        <v>2836</v>
      </c>
      <c r="H382" s="344" t="s">
        <v>727</v>
      </c>
      <c r="I382" s="344" t="s">
        <v>229</v>
      </c>
      <c r="J382" s="339">
        <v>43404</v>
      </c>
      <c r="K382" s="339"/>
      <c r="L382" s="339"/>
      <c r="M382" s="344" t="s">
        <v>2853</v>
      </c>
      <c r="N382" s="344" t="s">
        <v>2088</v>
      </c>
      <c r="O382" s="339">
        <v>43369</v>
      </c>
      <c r="P382" s="353" t="s">
        <v>3061</v>
      </c>
      <c r="Q382" s="344" t="s">
        <v>2829</v>
      </c>
      <c r="R382" s="354"/>
      <c r="S382" s="354">
        <f t="shared" si="7"/>
        <v>8</v>
      </c>
    </row>
    <row r="383" spans="1:19" ht="63.75" x14ac:dyDescent="0.2">
      <c r="A383" s="340" t="s">
        <v>4519</v>
      </c>
      <c r="B383" s="345">
        <v>43361</v>
      </c>
      <c r="C383" s="341" t="s">
        <v>4520</v>
      </c>
      <c r="D383" s="341" t="s">
        <v>4517</v>
      </c>
      <c r="E383" s="342" t="s">
        <v>2971</v>
      </c>
      <c r="F383" s="342">
        <v>1</v>
      </c>
      <c r="G383" s="342" t="s">
        <v>2836</v>
      </c>
      <c r="H383" s="342" t="s">
        <v>727</v>
      </c>
      <c r="I383" s="342" t="s">
        <v>229</v>
      </c>
      <c r="J383" s="345">
        <v>43404</v>
      </c>
      <c r="K383" s="345"/>
      <c r="L383" s="345"/>
      <c r="M383" s="342" t="s">
        <v>2853</v>
      </c>
      <c r="N383" s="342" t="s">
        <v>2088</v>
      </c>
      <c r="O383" s="345">
        <v>43389</v>
      </c>
      <c r="P383" s="355" t="s">
        <v>3061</v>
      </c>
      <c r="Q383" s="342" t="s">
        <v>2829</v>
      </c>
      <c r="R383" s="356"/>
      <c r="S383" s="354">
        <f t="shared" si="7"/>
        <v>28</v>
      </c>
    </row>
    <row r="384" spans="1:19" ht="76.5" x14ac:dyDescent="0.2">
      <c r="A384" s="338" t="s">
        <v>4521</v>
      </c>
      <c r="B384" s="339">
        <v>43361</v>
      </c>
      <c r="C384" s="343" t="s">
        <v>4522</v>
      </c>
      <c r="D384" s="343" t="s">
        <v>4523</v>
      </c>
      <c r="E384" s="344" t="s">
        <v>2971</v>
      </c>
      <c r="F384" s="344">
        <v>1</v>
      </c>
      <c r="G384" s="344" t="s">
        <v>4300</v>
      </c>
      <c r="H384" s="344" t="s">
        <v>229</v>
      </c>
      <c r="I384" s="344" t="s">
        <v>229</v>
      </c>
      <c r="J384" s="339">
        <v>43364</v>
      </c>
      <c r="K384" s="339"/>
      <c r="L384" s="339"/>
      <c r="M384" s="344" t="s">
        <v>2853</v>
      </c>
      <c r="N384" s="344" t="s">
        <v>2088</v>
      </c>
      <c r="O384" s="339">
        <v>43775</v>
      </c>
      <c r="P384" s="353" t="s">
        <v>3022</v>
      </c>
      <c r="Q384" s="344" t="s">
        <v>2839</v>
      </c>
      <c r="R384" s="354"/>
      <c r="S384" s="354">
        <f t="shared" si="7"/>
        <v>414</v>
      </c>
    </row>
    <row r="385" spans="1:19" ht="51" x14ac:dyDescent="0.2">
      <c r="A385" s="340" t="s">
        <v>4526</v>
      </c>
      <c r="B385" s="345">
        <v>43363</v>
      </c>
      <c r="C385" s="341" t="s">
        <v>4527</v>
      </c>
      <c r="D385" s="341" t="s">
        <v>4528</v>
      </c>
      <c r="E385" s="342" t="s">
        <v>2869</v>
      </c>
      <c r="F385" s="342">
        <v>1</v>
      </c>
      <c r="G385" s="342" t="s">
        <v>2828</v>
      </c>
      <c r="H385" s="342" t="s">
        <v>4232</v>
      </c>
      <c r="I385" s="342" t="s">
        <v>3211</v>
      </c>
      <c r="J385" s="345">
        <v>43395</v>
      </c>
      <c r="K385" s="345"/>
      <c r="L385" s="345"/>
      <c r="M385" s="342" t="s">
        <v>2853</v>
      </c>
      <c r="N385" s="342" t="s">
        <v>2088</v>
      </c>
      <c r="O385" s="345">
        <v>43444</v>
      </c>
      <c r="P385" s="355" t="s">
        <v>3061</v>
      </c>
      <c r="Q385" s="342" t="s">
        <v>2832</v>
      </c>
      <c r="R385" s="356"/>
      <c r="S385" s="354">
        <f t="shared" si="7"/>
        <v>81</v>
      </c>
    </row>
    <row r="386" spans="1:19" ht="114.75" x14ac:dyDescent="0.2">
      <c r="A386" s="338" t="s">
        <v>4529</v>
      </c>
      <c r="B386" s="339">
        <v>43363</v>
      </c>
      <c r="C386" s="343" t="s">
        <v>4530</v>
      </c>
      <c r="D386" s="343" t="s">
        <v>4531</v>
      </c>
      <c r="E386" s="344" t="s">
        <v>2971</v>
      </c>
      <c r="F386" s="344">
        <v>1</v>
      </c>
      <c r="G386" s="344" t="s">
        <v>4251</v>
      </c>
      <c r="H386" s="344" t="s">
        <v>685</v>
      </c>
      <c r="I386" s="344" t="s">
        <v>3645</v>
      </c>
      <c r="J386" s="339">
        <v>43364</v>
      </c>
      <c r="K386" s="339"/>
      <c r="L386" s="339"/>
      <c r="M386" s="344" t="s">
        <v>2853</v>
      </c>
      <c r="N386" s="344" t="s">
        <v>2088</v>
      </c>
      <c r="O386" s="339">
        <v>43363</v>
      </c>
      <c r="P386" s="353" t="s">
        <v>3061</v>
      </c>
      <c r="Q386" s="344" t="s">
        <v>2829</v>
      </c>
      <c r="R386" s="354" t="s">
        <v>4981</v>
      </c>
      <c r="S386" s="354">
        <f t="shared" si="7"/>
        <v>0</v>
      </c>
    </row>
    <row r="387" spans="1:19" ht="51" x14ac:dyDescent="0.2">
      <c r="A387" s="340" t="s">
        <v>4532</v>
      </c>
      <c r="B387" s="345">
        <v>43364</v>
      </c>
      <c r="C387" s="341" t="s">
        <v>4533</v>
      </c>
      <c r="D387" s="341" t="s">
        <v>4534</v>
      </c>
      <c r="E387" s="342" t="s">
        <v>4535</v>
      </c>
      <c r="F387" s="342">
        <v>1</v>
      </c>
      <c r="G387" s="342" t="s">
        <v>2828</v>
      </c>
      <c r="H387" s="342" t="s">
        <v>4079</v>
      </c>
      <c r="I387" s="342" t="s">
        <v>3926</v>
      </c>
      <c r="J387" s="345">
        <v>43394</v>
      </c>
      <c r="K387" s="345"/>
      <c r="L387" s="345"/>
      <c r="M387" s="342" t="s">
        <v>2853</v>
      </c>
      <c r="N387" s="342" t="s">
        <v>2088</v>
      </c>
      <c r="O387" s="345">
        <v>43368</v>
      </c>
      <c r="P387" s="355" t="s">
        <v>3061</v>
      </c>
      <c r="Q387" s="342" t="s">
        <v>2829</v>
      </c>
      <c r="R387" s="356"/>
      <c r="S387" s="354">
        <f t="shared" si="7"/>
        <v>4</v>
      </c>
    </row>
    <row r="388" spans="1:19" ht="63.75" x14ac:dyDescent="0.2">
      <c r="A388" s="338" t="s">
        <v>4536</v>
      </c>
      <c r="B388" s="339">
        <v>43367</v>
      </c>
      <c r="C388" s="343" t="s">
        <v>4537</v>
      </c>
      <c r="D388" s="343" t="s">
        <v>4573</v>
      </c>
      <c r="E388" s="344" t="s">
        <v>4538</v>
      </c>
      <c r="F388" s="344">
        <v>1</v>
      </c>
      <c r="G388" s="344" t="s">
        <v>2828</v>
      </c>
      <c r="H388" s="344" t="s">
        <v>4539</v>
      </c>
      <c r="I388" s="344" t="s">
        <v>3926</v>
      </c>
      <c r="J388" s="339">
        <v>43397</v>
      </c>
      <c r="K388" s="339"/>
      <c r="L388" s="339"/>
      <c r="M388" s="344" t="s">
        <v>2853</v>
      </c>
      <c r="N388" s="344" t="s">
        <v>2088</v>
      </c>
      <c r="O388" s="339">
        <v>43381</v>
      </c>
      <c r="P388" s="353" t="s">
        <v>3061</v>
      </c>
      <c r="Q388" s="344" t="s">
        <v>2829</v>
      </c>
      <c r="R388" s="354"/>
      <c r="S388" s="354">
        <f t="shared" si="7"/>
        <v>14</v>
      </c>
    </row>
    <row r="389" spans="1:19" ht="51" x14ac:dyDescent="0.2">
      <c r="A389" s="340" t="s">
        <v>4540</v>
      </c>
      <c r="B389" s="345">
        <v>43367</v>
      </c>
      <c r="C389" s="341" t="s">
        <v>4541</v>
      </c>
      <c r="D389" s="341" t="s">
        <v>4542</v>
      </c>
      <c r="E389" s="342" t="s">
        <v>2971</v>
      </c>
      <c r="F389" s="342">
        <v>1</v>
      </c>
      <c r="G389" s="342" t="s">
        <v>2841</v>
      </c>
      <c r="H389" s="342" t="s">
        <v>2067</v>
      </c>
      <c r="I389" s="342" t="s">
        <v>229</v>
      </c>
      <c r="J389" s="345">
        <v>43404</v>
      </c>
      <c r="K389" s="345"/>
      <c r="L389" s="345"/>
      <c r="M389" s="342" t="s">
        <v>2853</v>
      </c>
      <c r="N389" s="342" t="s">
        <v>2088</v>
      </c>
      <c r="O389" s="345">
        <v>43396</v>
      </c>
      <c r="P389" s="355" t="s">
        <v>3061</v>
      </c>
      <c r="Q389" s="342" t="s">
        <v>2829</v>
      </c>
      <c r="R389" s="356"/>
      <c r="S389" s="354">
        <f t="shared" si="7"/>
        <v>29</v>
      </c>
    </row>
    <row r="390" spans="1:19" ht="51" x14ac:dyDescent="0.2">
      <c r="A390" s="338" t="s">
        <v>4543</v>
      </c>
      <c r="B390" s="339">
        <v>43367</v>
      </c>
      <c r="C390" s="343" t="s">
        <v>4544</v>
      </c>
      <c r="D390" s="343" t="s">
        <v>3873</v>
      </c>
      <c r="E390" s="344" t="s">
        <v>2971</v>
      </c>
      <c r="F390" s="344">
        <v>1</v>
      </c>
      <c r="G390" s="344" t="s">
        <v>2841</v>
      </c>
      <c r="H390" s="344" t="s">
        <v>486</v>
      </c>
      <c r="I390" s="344" t="s">
        <v>229</v>
      </c>
      <c r="J390" s="339">
        <v>43404</v>
      </c>
      <c r="K390" s="339"/>
      <c r="L390" s="339"/>
      <c r="M390" s="344" t="s">
        <v>2853</v>
      </c>
      <c r="N390" s="344" t="s">
        <v>2088</v>
      </c>
      <c r="O390" s="339">
        <v>43389</v>
      </c>
      <c r="P390" s="353" t="s">
        <v>3061</v>
      </c>
      <c r="Q390" s="344" t="s">
        <v>2829</v>
      </c>
      <c r="R390" s="354"/>
      <c r="S390" s="354">
        <f t="shared" si="7"/>
        <v>22</v>
      </c>
    </row>
    <row r="391" spans="1:19" ht="51" x14ac:dyDescent="0.2">
      <c r="A391" s="340" t="s">
        <v>4545</v>
      </c>
      <c r="B391" s="345">
        <v>43368</v>
      </c>
      <c r="C391" s="341" t="s">
        <v>4546</v>
      </c>
      <c r="D391" s="341" t="s">
        <v>4547</v>
      </c>
      <c r="E391" s="342" t="s">
        <v>2971</v>
      </c>
      <c r="F391" s="342">
        <v>1</v>
      </c>
      <c r="G391" s="342" t="s">
        <v>2841</v>
      </c>
      <c r="H391" s="342" t="s">
        <v>229</v>
      </c>
      <c r="I391" s="342" t="s">
        <v>229</v>
      </c>
      <c r="J391" s="345">
        <v>43404</v>
      </c>
      <c r="K391" s="345"/>
      <c r="L391" s="345"/>
      <c r="M391" s="342" t="s">
        <v>2853</v>
      </c>
      <c r="N391" s="342" t="s">
        <v>2088</v>
      </c>
      <c r="O391" s="345">
        <v>43396</v>
      </c>
      <c r="P391" s="355" t="s">
        <v>3061</v>
      </c>
      <c r="Q391" s="342" t="s">
        <v>2829</v>
      </c>
      <c r="R391" s="356"/>
      <c r="S391" s="354">
        <f t="shared" si="7"/>
        <v>28</v>
      </c>
    </row>
    <row r="392" spans="1:19" ht="51" x14ac:dyDescent="0.2">
      <c r="A392" s="338" t="s">
        <v>4548</v>
      </c>
      <c r="B392" s="339">
        <v>43371</v>
      </c>
      <c r="C392" s="343" t="s">
        <v>4549</v>
      </c>
      <c r="D392" s="343" t="s">
        <v>4375</v>
      </c>
      <c r="E392" s="344" t="s">
        <v>4033</v>
      </c>
      <c r="F392" s="344">
        <v>1</v>
      </c>
      <c r="G392" s="344" t="s">
        <v>2828</v>
      </c>
      <c r="H392" s="344" t="s">
        <v>615</v>
      </c>
      <c r="I392" s="344" t="s">
        <v>3926</v>
      </c>
      <c r="J392" s="339">
        <v>43387</v>
      </c>
      <c r="K392" s="339"/>
      <c r="L392" s="339"/>
      <c r="M392" s="344" t="s">
        <v>2853</v>
      </c>
      <c r="N392" s="344" t="s">
        <v>2088</v>
      </c>
      <c r="O392" s="339">
        <v>43375</v>
      </c>
      <c r="P392" s="353" t="s">
        <v>3061</v>
      </c>
      <c r="Q392" s="344" t="s">
        <v>2829</v>
      </c>
      <c r="R392" s="354"/>
      <c r="S392" s="354">
        <f t="shared" si="7"/>
        <v>4</v>
      </c>
    </row>
    <row r="393" spans="1:19" ht="178.5" x14ac:dyDescent="0.2">
      <c r="A393" s="340" t="s">
        <v>4550</v>
      </c>
      <c r="B393" s="345">
        <v>43375</v>
      </c>
      <c r="C393" s="341" t="s">
        <v>4552</v>
      </c>
      <c r="D393" s="341" t="s">
        <v>4551</v>
      </c>
      <c r="E393" s="342" t="s">
        <v>2971</v>
      </c>
      <c r="F393" s="342">
        <v>1</v>
      </c>
      <c r="G393" s="342" t="s">
        <v>4300</v>
      </c>
      <c r="H393" s="342" t="s">
        <v>229</v>
      </c>
      <c r="I393" s="342" t="s">
        <v>229</v>
      </c>
      <c r="J393" s="345">
        <v>43401</v>
      </c>
      <c r="K393" s="345"/>
      <c r="L393" s="345"/>
      <c r="M393" s="342" t="s">
        <v>2853</v>
      </c>
      <c r="N393" s="342" t="s">
        <v>2088</v>
      </c>
      <c r="O393" s="345">
        <v>43377</v>
      </c>
      <c r="P393" s="355" t="s">
        <v>3061</v>
      </c>
      <c r="Q393" s="342" t="s">
        <v>2829</v>
      </c>
      <c r="R393" s="356"/>
      <c r="S393" s="354">
        <f t="shared" si="7"/>
        <v>2</v>
      </c>
    </row>
    <row r="394" spans="1:19" ht="51" x14ac:dyDescent="0.2">
      <c r="A394" s="338" t="s">
        <v>4553</v>
      </c>
      <c r="B394" s="339">
        <v>43376</v>
      </c>
      <c r="C394" s="343" t="s">
        <v>4554</v>
      </c>
      <c r="D394" s="343" t="s">
        <v>4141</v>
      </c>
      <c r="E394" s="344" t="s">
        <v>2971</v>
      </c>
      <c r="F394" s="344">
        <v>1</v>
      </c>
      <c r="G394" s="344" t="s">
        <v>2841</v>
      </c>
      <c r="H394" s="344" t="s">
        <v>3645</v>
      </c>
      <c r="I394" s="344" t="s">
        <v>229</v>
      </c>
      <c r="J394" s="339">
        <v>43404</v>
      </c>
      <c r="K394" s="339"/>
      <c r="L394" s="339"/>
      <c r="M394" s="344" t="s">
        <v>2853</v>
      </c>
      <c r="N394" s="344" t="s">
        <v>2088</v>
      </c>
      <c r="O394" s="339">
        <v>43406</v>
      </c>
      <c r="P394" s="353" t="s">
        <v>3061</v>
      </c>
      <c r="Q394" s="344" t="s">
        <v>2829</v>
      </c>
      <c r="R394" s="354"/>
      <c r="S394" s="354">
        <f t="shared" si="7"/>
        <v>30</v>
      </c>
    </row>
    <row r="395" spans="1:19" ht="51" x14ac:dyDescent="0.2">
      <c r="A395" s="340" t="s">
        <v>4556</v>
      </c>
      <c r="B395" s="345">
        <v>43377</v>
      </c>
      <c r="C395" s="341" t="s">
        <v>4559</v>
      </c>
      <c r="D395" s="341" t="s">
        <v>4560</v>
      </c>
      <c r="E395" s="342" t="s">
        <v>3969</v>
      </c>
      <c r="F395" s="342">
        <v>1</v>
      </c>
      <c r="G395" s="342" t="s">
        <v>2828</v>
      </c>
      <c r="H395" s="342" t="s">
        <v>4079</v>
      </c>
      <c r="I395" s="342" t="s">
        <v>3926</v>
      </c>
      <c r="J395" s="345">
        <v>43408</v>
      </c>
      <c r="K395" s="345"/>
      <c r="L395" s="345"/>
      <c r="M395" s="342" t="s">
        <v>2853</v>
      </c>
      <c r="N395" s="342" t="s">
        <v>2912</v>
      </c>
      <c r="O395" s="345">
        <v>43627</v>
      </c>
      <c r="P395" s="355" t="s">
        <v>3022</v>
      </c>
      <c r="Q395" s="342" t="s">
        <v>2837</v>
      </c>
      <c r="R395" s="356"/>
      <c r="S395" s="354">
        <f t="shared" si="7"/>
        <v>250</v>
      </c>
    </row>
    <row r="396" spans="1:19" ht="51" x14ac:dyDescent="0.2">
      <c r="A396" s="338" t="s">
        <v>4557</v>
      </c>
      <c r="B396" s="339">
        <v>43377</v>
      </c>
      <c r="C396" s="343" t="s">
        <v>4558</v>
      </c>
      <c r="D396" s="343" t="s">
        <v>4561</v>
      </c>
      <c r="E396" s="344" t="s">
        <v>3586</v>
      </c>
      <c r="F396" s="344">
        <v>1</v>
      </c>
      <c r="G396" s="344" t="s">
        <v>2828</v>
      </c>
      <c r="H396" s="344" t="s">
        <v>3975</v>
      </c>
      <c r="I396" s="344" t="s">
        <v>3211</v>
      </c>
      <c r="J396" s="339">
        <v>43408</v>
      </c>
      <c r="K396" s="339"/>
      <c r="L396" s="339"/>
      <c r="M396" s="344" t="s">
        <v>2853</v>
      </c>
      <c r="N396" s="344" t="s">
        <v>2088</v>
      </c>
      <c r="O396" s="339">
        <v>43377</v>
      </c>
      <c r="P396" s="353" t="s">
        <v>3061</v>
      </c>
      <c r="Q396" s="344" t="s">
        <v>2829</v>
      </c>
      <c r="R396" s="354"/>
      <c r="S396" s="354">
        <f t="shared" si="7"/>
        <v>0</v>
      </c>
    </row>
    <row r="397" spans="1:19" ht="51" x14ac:dyDescent="0.2">
      <c r="A397" s="340" t="s">
        <v>4562</v>
      </c>
      <c r="B397" s="345">
        <v>43378</v>
      </c>
      <c r="C397" s="341" t="s">
        <v>4563</v>
      </c>
      <c r="D397" s="341" t="s">
        <v>3070</v>
      </c>
      <c r="E397" s="342" t="s">
        <v>2971</v>
      </c>
      <c r="F397" s="342">
        <v>1</v>
      </c>
      <c r="G397" s="342" t="s">
        <v>2841</v>
      </c>
      <c r="H397" s="342" t="s">
        <v>4021</v>
      </c>
      <c r="I397" s="342" t="s">
        <v>229</v>
      </c>
      <c r="J397" s="345">
        <v>43404</v>
      </c>
      <c r="K397" s="345"/>
      <c r="L397" s="345"/>
      <c r="M397" s="342" t="s">
        <v>2853</v>
      </c>
      <c r="N397" s="342" t="s">
        <v>2912</v>
      </c>
      <c r="O397" s="345">
        <v>43432</v>
      </c>
      <c r="P397" s="355" t="s">
        <v>3022</v>
      </c>
      <c r="Q397" s="342" t="s">
        <v>2832</v>
      </c>
      <c r="R397" s="356"/>
      <c r="S397" s="354">
        <f t="shared" si="7"/>
        <v>54</v>
      </c>
    </row>
    <row r="398" spans="1:19" ht="63.75" x14ac:dyDescent="0.2">
      <c r="A398" s="338" t="s">
        <v>4565</v>
      </c>
      <c r="B398" s="339">
        <v>43381</v>
      </c>
      <c r="C398" s="343" t="s">
        <v>4566</v>
      </c>
      <c r="D398" s="343" t="s">
        <v>4567</v>
      </c>
      <c r="E398" s="344" t="s">
        <v>3323</v>
      </c>
      <c r="F398" s="344">
        <v>1</v>
      </c>
      <c r="G398" s="344" t="s">
        <v>2828</v>
      </c>
      <c r="H398" s="344" t="s">
        <v>4163</v>
      </c>
      <c r="I398" s="344" t="s">
        <v>3211</v>
      </c>
      <c r="J398" s="339">
        <v>43413</v>
      </c>
      <c r="K398" s="339"/>
      <c r="L398" s="339"/>
      <c r="M398" s="344" t="s">
        <v>2853</v>
      </c>
      <c r="N398" s="344" t="s">
        <v>2088</v>
      </c>
      <c r="O398" s="339">
        <v>43388</v>
      </c>
      <c r="P398" s="353" t="s">
        <v>3061</v>
      </c>
      <c r="Q398" s="344" t="s">
        <v>2829</v>
      </c>
      <c r="R398" s="354"/>
      <c r="S398" s="354">
        <f t="shared" si="7"/>
        <v>7</v>
      </c>
    </row>
    <row r="399" spans="1:19" ht="63.75" x14ac:dyDescent="0.2">
      <c r="A399" s="340" t="s">
        <v>4568</v>
      </c>
      <c r="B399" s="345">
        <v>43381</v>
      </c>
      <c r="C399" s="341" t="s">
        <v>4569</v>
      </c>
      <c r="D399" s="341" t="s">
        <v>4570</v>
      </c>
      <c r="E399" s="342" t="s">
        <v>3915</v>
      </c>
      <c r="F399" s="342">
        <v>1</v>
      </c>
      <c r="G399" s="342" t="s">
        <v>2828</v>
      </c>
      <c r="H399" s="342" t="s">
        <v>3975</v>
      </c>
      <c r="I399" s="342" t="s">
        <v>3926</v>
      </c>
      <c r="J399" s="345">
        <v>43413</v>
      </c>
      <c r="K399" s="345"/>
      <c r="L399" s="345"/>
      <c r="M399" s="342" t="s">
        <v>2853</v>
      </c>
      <c r="N399" s="342" t="s">
        <v>3061</v>
      </c>
      <c r="O399" s="345">
        <v>43578</v>
      </c>
      <c r="P399" s="355" t="s">
        <v>3022</v>
      </c>
      <c r="Q399" s="342" t="s">
        <v>2837</v>
      </c>
      <c r="R399" s="356"/>
      <c r="S399" s="354">
        <f t="shared" si="7"/>
        <v>197</v>
      </c>
    </row>
    <row r="400" spans="1:19" ht="51" x14ac:dyDescent="0.2">
      <c r="A400" s="338" t="s">
        <v>4571</v>
      </c>
      <c r="B400" s="339">
        <v>43382</v>
      </c>
      <c r="C400" s="343" t="s">
        <v>4572</v>
      </c>
      <c r="D400" s="343" t="s">
        <v>3225</v>
      </c>
      <c r="E400" s="344" t="s">
        <v>2971</v>
      </c>
      <c r="F400" s="344">
        <v>1</v>
      </c>
      <c r="G400" s="344" t="s">
        <v>2841</v>
      </c>
      <c r="H400" s="344" t="s">
        <v>229</v>
      </c>
      <c r="I400" s="344" t="s">
        <v>229</v>
      </c>
      <c r="J400" s="339">
        <v>43404</v>
      </c>
      <c r="K400" s="339"/>
      <c r="L400" s="339"/>
      <c r="M400" s="344" t="s">
        <v>2853</v>
      </c>
      <c r="N400" s="344" t="s">
        <v>2088</v>
      </c>
      <c r="O400" s="339">
        <v>43403</v>
      </c>
      <c r="P400" s="353" t="s">
        <v>3061</v>
      </c>
      <c r="Q400" s="344" t="s">
        <v>2829</v>
      </c>
      <c r="R400" s="354"/>
      <c r="S400" s="354">
        <f t="shared" si="7"/>
        <v>21</v>
      </c>
    </row>
    <row r="401" spans="1:19" ht="51" x14ac:dyDescent="0.2">
      <c r="A401" s="340" t="s">
        <v>4574</v>
      </c>
      <c r="B401" s="345">
        <v>43382</v>
      </c>
      <c r="C401" s="341" t="s">
        <v>4578</v>
      </c>
      <c r="D401" s="341" t="s">
        <v>3225</v>
      </c>
      <c r="E401" s="342" t="s">
        <v>2971</v>
      </c>
      <c r="F401" s="342">
        <v>1</v>
      </c>
      <c r="G401" s="342" t="s">
        <v>2841</v>
      </c>
      <c r="H401" s="342" t="s">
        <v>229</v>
      </c>
      <c r="I401" s="342" t="s">
        <v>229</v>
      </c>
      <c r="J401" s="345">
        <v>43404</v>
      </c>
      <c r="K401" s="345"/>
      <c r="L401" s="345"/>
      <c r="M401" s="342" t="s">
        <v>2853</v>
      </c>
      <c r="N401" s="342" t="s">
        <v>2088</v>
      </c>
      <c r="O401" s="345">
        <v>43398</v>
      </c>
      <c r="P401" s="355" t="s">
        <v>3061</v>
      </c>
      <c r="Q401" s="342" t="s">
        <v>2829</v>
      </c>
      <c r="R401" s="356"/>
      <c r="S401" s="354">
        <f t="shared" si="7"/>
        <v>16</v>
      </c>
    </row>
    <row r="402" spans="1:19" ht="51" x14ac:dyDescent="0.2">
      <c r="A402" s="338" t="s">
        <v>4577</v>
      </c>
      <c r="B402" s="339">
        <v>43383</v>
      </c>
      <c r="C402" s="343" t="s">
        <v>4575</v>
      </c>
      <c r="D402" s="343" t="s">
        <v>4375</v>
      </c>
      <c r="E402" s="344" t="s">
        <v>4170</v>
      </c>
      <c r="F402" s="344">
        <v>1</v>
      </c>
      <c r="G402" s="344" t="s">
        <v>2828</v>
      </c>
      <c r="H402" s="344" t="s">
        <v>4576</v>
      </c>
      <c r="I402" s="344" t="s">
        <v>3926</v>
      </c>
      <c r="J402" s="339">
        <v>43414</v>
      </c>
      <c r="K402" s="339"/>
      <c r="L402" s="339"/>
      <c r="M402" s="344" t="s">
        <v>2853</v>
      </c>
      <c r="N402" s="344" t="s">
        <v>2088</v>
      </c>
      <c r="O402" s="339">
        <v>43404</v>
      </c>
      <c r="P402" s="353" t="s">
        <v>3061</v>
      </c>
      <c r="Q402" s="344" t="s">
        <v>2829</v>
      </c>
      <c r="R402" s="354"/>
      <c r="S402" s="354">
        <f t="shared" si="7"/>
        <v>21</v>
      </c>
    </row>
    <row r="403" spans="1:19" ht="51" x14ac:dyDescent="0.2">
      <c r="A403" s="340" t="s">
        <v>4579</v>
      </c>
      <c r="B403" s="345">
        <v>43383</v>
      </c>
      <c r="C403" s="341" t="s">
        <v>4580</v>
      </c>
      <c r="D403" s="341" t="s">
        <v>3225</v>
      </c>
      <c r="E403" s="342" t="s">
        <v>2971</v>
      </c>
      <c r="F403" s="342">
        <v>1</v>
      </c>
      <c r="G403" s="342" t="s">
        <v>2841</v>
      </c>
      <c r="H403" s="342" t="s">
        <v>3926</v>
      </c>
      <c r="I403" s="342" t="s">
        <v>3926</v>
      </c>
      <c r="J403" s="345">
        <v>43465</v>
      </c>
      <c r="K403" s="345"/>
      <c r="L403" s="345"/>
      <c r="M403" s="342" t="s">
        <v>2853</v>
      </c>
      <c r="N403" s="342" t="s">
        <v>2088</v>
      </c>
      <c r="O403" s="345">
        <v>43447</v>
      </c>
      <c r="P403" s="355" t="s">
        <v>3061</v>
      </c>
      <c r="Q403" s="342" t="s">
        <v>2832</v>
      </c>
      <c r="R403" s="356"/>
      <c r="S403" s="354">
        <f t="shared" si="7"/>
        <v>64</v>
      </c>
    </row>
    <row r="404" spans="1:19" ht="102" x14ac:dyDescent="0.2">
      <c r="A404" s="338" t="s">
        <v>4581</v>
      </c>
      <c r="B404" s="339">
        <v>43383</v>
      </c>
      <c r="C404" s="343" t="s">
        <v>4582</v>
      </c>
      <c r="D404" s="343" t="s">
        <v>3225</v>
      </c>
      <c r="E404" s="344" t="s">
        <v>2971</v>
      </c>
      <c r="F404" s="344">
        <v>1</v>
      </c>
      <c r="G404" s="344" t="s">
        <v>2841</v>
      </c>
      <c r="H404" s="344" t="s">
        <v>229</v>
      </c>
      <c r="I404" s="344" t="s">
        <v>229</v>
      </c>
      <c r="J404" s="339">
        <v>43434</v>
      </c>
      <c r="K404" s="339"/>
      <c r="L404" s="339"/>
      <c r="M404" s="344" t="s">
        <v>2853</v>
      </c>
      <c r="N404" s="344" t="s">
        <v>3022</v>
      </c>
      <c r="O404" s="339">
        <v>43475</v>
      </c>
      <c r="P404" s="353" t="s">
        <v>3022</v>
      </c>
      <c r="Q404" s="344" t="s">
        <v>2832</v>
      </c>
      <c r="R404" s="354"/>
      <c r="S404" s="354">
        <f t="shared" si="7"/>
        <v>92</v>
      </c>
    </row>
    <row r="405" spans="1:19" ht="51" x14ac:dyDescent="0.2">
      <c r="A405" s="340" t="s">
        <v>4583</v>
      </c>
      <c r="B405" s="345">
        <v>43389</v>
      </c>
      <c r="C405" s="341" t="s">
        <v>4584</v>
      </c>
      <c r="D405" s="341" t="s">
        <v>3225</v>
      </c>
      <c r="E405" s="342" t="s">
        <v>2971</v>
      </c>
      <c r="F405" s="342">
        <v>1</v>
      </c>
      <c r="G405" s="342" t="s">
        <v>2841</v>
      </c>
      <c r="H405" s="342" t="s">
        <v>229</v>
      </c>
      <c r="I405" s="342" t="s">
        <v>229</v>
      </c>
      <c r="J405" s="345">
        <v>43434</v>
      </c>
      <c r="K405" s="345"/>
      <c r="L405" s="345"/>
      <c r="M405" s="342" t="s">
        <v>2853</v>
      </c>
      <c r="N405" s="342" t="s">
        <v>2088</v>
      </c>
      <c r="O405" s="345">
        <v>43404</v>
      </c>
      <c r="P405" s="355" t="s">
        <v>3061</v>
      </c>
      <c r="Q405" s="342" t="s">
        <v>2829</v>
      </c>
      <c r="R405" s="356"/>
      <c r="S405" s="354">
        <f t="shared" si="7"/>
        <v>15</v>
      </c>
    </row>
    <row r="406" spans="1:19" ht="76.5" x14ac:dyDescent="0.2">
      <c r="A406" s="338" t="s">
        <v>4585</v>
      </c>
      <c r="B406" s="339">
        <v>43391</v>
      </c>
      <c r="C406" s="343" t="s">
        <v>4586</v>
      </c>
      <c r="D406" s="343" t="s">
        <v>4587</v>
      </c>
      <c r="E406" s="344" t="s">
        <v>2971</v>
      </c>
      <c r="F406" s="344">
        <v>1</v>
      </c>
      <c r="G406" s="344" t="s">
        <v>2838</v>
      </c>
      <c r="H406" s="344" t="s">
        <v>685</v>
      </c>
      <c r="I406" s="344" t="s">
        <v>229</v>
      </c>
      <c r="J406" s="339">
        <v>43434</v>
      </c>
      <c r="K406" s="339"/>
      <c r="L406" s="339"/>
      <c r="M406" s="344" t="s">
        <v>2853</v>
      </c>
      <c r="N406" s="344" t="s">
        <v>2088</v>
      </c>
      <c r="O406" s="339">
        <v>43412</v>
      </c>
      <c r="P406" s="353" t="s">
        <v>3061</v>
      </c>
      <c r="Q406" s="344" t="s">
        <v>2829</v>
      </c>
      <c r="R406" s="354"/>
      <c r="S406" s="354">
        <f t="shared" si="7"/>
        <v>21</v>
      </c>
    </row>
    <row r="407" spans="1:19" ht="51" x14ac:dyDescent="0.2">
      <c r="A407" s="340" t="s">
        <v>4588</v>
      </c>
      <c r="B407" s="345">
        <v>43392</v>
      </c>
      <c r="C407" s="341" t="s">
        <v>4592</v>
      </c>
      <c r="D407" s="341" t="s">
        <v>4589</v>
      </c>
      <c r="E407" s="342" t="s">
        <v>3519</v>
      </c>
      <c r="F407" s="342">
        <v>1</v>
      </c>
      <c r="G407" s="342" t="s">
        <v>2828</v>
      </c>
      <c r="H407" s="342" t="s">
        <v>4163</v>
      </c>
      <c r="I407" s="342" t="s">
        <v>3211</v>
      </c>
      <c r="J407" s="345">
        <v>43420</v>
      </c>
      <c r="K407" s="345"/>
      <c r="L407" s="345"/>
      <c r="M407" s="342" t="s">
        <v>2853</v>
      </c>
      <c r="N407" s="342"/>
      <c r="O407" s="345">
        <v>43412</v>
      </c>
      <c r="P407" s="355" t="s">
        <v>3061</v>
      </c>
      <c r="Q407" s="342" t="s">
        <v>2829</v>
      </c>
      <c r="R407" s="356"/>
      <c r="S407" s="354">
        <f t="shared" si="7"/>
        <v>20</v>
      </c>
    </row>
    <row r="408" spans="1:19" ht="51" x14ac:dyDescent="0.2">
      <c r="A408" s="338" t="s">
        <v>4590</v>
      </c>
      <c r="B408" s="339">
        <v>43392</v>
      </c>
      <c r="C408" s="343" t="s">
        <v>4593</v>
      </c>
      <c r="D408" s="343" t="s">
        <v>4595</v>
      </c>
      <c r="E408" s="344" t="s">
        <v>3519</v>
      </c>
      <c r="F408" s="344">
        <v>1</v>
      </c>
      <c r="G408" s="344" t="s">
        <v>2828</v>
      </c>
      <c r="H408" s="344" t="s">
        <v>4163</v>
      </c>
      <c r="I408" s="344" t="s">
        <v>3211</v>
      </c>
      <c r="J408" s="339">
        <v>43420</v>
      </c>
      <c r="K408" s="339"/>
      <c r="L408" s="339"/>
      <c r="M408" s="344" t="s">
        <v>2853</v>
      </c>
      <c r="N408" s="344"/>
      <c r="O408" s="339">
        <v>43412</v>
      </c>
      <c r="P408" s="353" t="s">
        <v>3061</v>
      </c>
      <c r="Q408" s="344" t="s">
        <v>2829</v>
      </c>
      <c r="R408" s="354"/>
      <c r="S408" s="354">
        <f t="shared" si="7"/>
        <v>20</v>
      </c>
    </row>
    <row r="409" spans="1:19" ht="63.75" x14ac:dyDescent="0.2">
      <c r="A409" s="340" t="s">
        <v>4591</v>
      </c>
      <c r="B409" s="345">
        <v>43392</v>
      </c>
      <c r="C409" s="341" t="s">
        <v>4594</v>
      </c>
      <c r="D409" s="341" t="s">
        <v>3606</v>
      </c>
      <c r="E409" s="342" t="s">
        <v>3519</v>
      </c>
      <c r="F409" s="342">
        <v>1</v>
      </c>
      <c r="G409" s="342" t="s">
        <v>2828</v>
      </c>
      <c r="H409" s="342" t="s">
        <v>4163</v>
      </c>
      <c r="I409" s="342" t="s">
        <v>3211</v>
      </c>
      <c r="J409" s="345">
        <v>43420</v>
      </c>
      <c r="K409" s="345"/>
      <c r="L409" s="345"/>
      <c r="M409" s="342" t="s">
        <v>2853</v>
      </c>
      <c r="N409" s="342" t="s">
        <v>3022</v>
      </c>
      <c r="O409" s="345">
        <v>43431</v>
      </c>
      <c r="P409" s="355" t="s">
        <v>3022</v>
      </c>
      <c r="Q409" s="342" t="s">
        <v>2832</v>
      </c>
      <c r="R409" s="356"/>
      <c r="S409" s="354">
        <f t="shared" si="7"/>
        <v>39</v>
      </c>
    </row>
    <row r="410" spans="1:19" ht="89.25" x14ac:dyDescent="0.2">
      <c r="A410" s="338" t="s">
        <v>4596</v>
      </c>
      <c r="B410" s="339">
        <v>43395</v>
      </c>
      <c r="C410" s="343" t="s">
        <v>4597</v>
      </c>
      <c r="D410" s="343" t="s">
        <v>4598</v>
      </c>
      <c r="E410" s="344" t="s">
        <v>3969</v>
      </c>
      <c r="F410" s="344">
        <v>1</v>
      </c>
      <c r="G410" s="344" t="s">
        <v>2828</v>
      </c>
      <c r="H410" s="344" t="s">
        <v>3423</v>
      </c>
      <c r="I410" s="344" t="s">
        <v>3211</v>
      </c>
      <c r="J410" s="339">
        <v>43427</v>
      </c>
      <c r="K410" s="339"/>
      <c r="L410" s="339"/>
      <c r="M410" s="344" t="s">
        <v>2853</v>
      </c>
      <c r="N410" s="344" t="s">
        <v>3022</v>
      </c>
      <c r="O410" s="339">
        <v>43432</v>
      </c>
      <c r="P410" s="353" t="s">
        <v>3022</v>
      </c>
      <c r="Q410" s="344" t="s">
        <v>2832</v>
      </c>
      <c r="R410" s="354"/>
      <c r="S410" s="354">
        <f t="shared" si="7"/>
        <v>37</v>
      </c>
    </row>
    <row r="411" spans="1:19" ht="89.25" x14ac:dyDescent="0.2">
      <c r="A411" s="340" t="s">
        <v>4599</v>
      </c>
      <c r="B411" s="345">
        <v>43396</v>
      </c>
      <c r="C411" s="341" t="s">
        <v>4600</v>
      </c>
      <c r="D411" s="341" t="s">
        <v>3307</v>
      </c>
      <c r="E411" s="342" t="s">
        <v>2971</v>
      </c>
      <c r="F411" s="342">
        <v>1</v>
      </c>
      <c r="G411" s="342" t="s">
        <v>2841</v>
      </c>
      <c r="H411" s="342" t="s">
        <v>3991</v>
      </c>
      <c r="I411" s="342" t="s">
        <v>229</v>
      </c>
      <c r="J411" s="345">
        <v>43434</v>
      </c>
      <c r="K411" s="345"/>
      <c r="L411" s="345"/>
      <c r="M411" s="342" t="s">
        <v>2853</v>
      </c>
      <c r="N411" s="342" t="s">
        <v>2088</v>
      </c>
      <c r="O411" s="345">
        <v>43423</v>
      </c>
      <c r="P411" s="355">
        <v>43434</v>
      </c>
      <c r="Q411" s="342" t="s">
        <v>2829</v>
      </c>
      <c r="R411" s="356"/>
      <c r="S411" s="354">
        <f t="shared" si="7"/>
        <v>27</v>
      </c>
    </row>
    <row r="412" spans="1:19" ht="51" x14ac:dyDescent="0.2">
      <c r="A412" s="338" t="s">
        <v>4601</v>
      </c>
      <c r="B412" s="339">
        <v>43397</v>
      </c>
      <c r="C412" s="343" t="s">
        <v>4766</v>
      </c>
      <c r="D412" s="343" t="s">
        <v>4602</v>
      </c>
      <c r="E412" s="344" t="s">
        <v>3532</v>
      </c>
      <c r="F412" s="344">
        <v>1</v>
      </c>
      <c r="G412" s="344" t="s">
        <v>2828</v>
      </c>
      <c r="H412" s="344" t="s">
        <v>3975</v>
      </c>
      <c r="I412" s="344" t="s">
        <v>3926</v>
      </c>
      <c r="J412" s="339">
        <v>43412</v>
      </c>
      <c r="K412" s="339"/>
      <c r="L412" s="339"/>
      <c r="M412" s="344" t="s">
        <v>2853</v>
      </c>
      <c r="N412" s="344" t="s">
        <v>2088</v>
      </c>
      <c r="O412" s="339">
        <v>43405</v>
      </c>
      <c r="P412" s="353" t="s">
        <v>3061</v>
      </c>
      <c r="Q412" s="344" t="s">
        <v>2829</v>
      </c>
      <c r="R412" s="354"/>
      <c r="S412" s="354">
        <f t="shared" si="7"/>
        <v>8</v>
      </c>
    </row>
    <row r="413" spans="1:19" ht="89.25" x14ac:dyDescent="0.2">
      <c r="A413" s="340" t="s">
        <v>4603</v>
      </c>
      <c r="B413" s="345">
        <v>43404</v>
      </c>
      <c r="C413" s="341" t="s">
        <v>4604</v>
      </c>
      <c r="D413" s="341" t="s">
        <v>4605</v>
      </c>
      <c r="E413" s="342" t="s">
        <v>3386</v>
      </c>
      <c r="F413" s="342">
        <v>1</v>
      </c>
      <c r="G413" s="342" t="s">
        <v>2828</v>
      </c>
      <c r="H413" s="342" t="s">
        <v>4079</v>
      </c>
      <c r="I413" s="342" t="s">
        <v>3926</v>
      </c>
      <c r="J413" s="345">
        <v>43434</v>
      </c>
      <c r="K413" s="345"/>
      <c r="L413" s="345"/>
      <c r="M413" s="342" t="s">
        <v>2853</v>
      </c>
      <c r="N413" s="342" t="s">
        <v>2088</v>
      </c>
      <c r="O413" s="345">
        <v>43406</v>
      </c>
      <c r="P413" s="355" t="s">
        <v>3061</v>
      </c>
      <c r="Q413" s="342" t="s">
        <v>2829</v>
      </c>
      <c r="R413" s="356"/>
      <c r="S413" s="354">
        <f t="shared" si="7"/>
        <v>2</v>
      </c>
    </row>
    <row r="414" spans="1:19" ht="89.25" x14ac:dyDescent="0.2">
      <c r="A414" s="338" t="s">
        <v>4606</v>
      </c>
      <c r="B414" s="339">
        <v>43404</v>
      </c>
      <c r="C414" s="343" t="s">
        <v>4607</v>
      </c>
      <c r="D414" s="343" t="s">
        <v>3606</v>
      </c>
      <c r="E414" s="344" t="s">
        <v>3825</v>
      </c>
      <c r="F414" s="344">
        <v>1</v>
      </c>
      <c r="G414" s="344" t="s">
        <v>2828</v>
      </c>
      <c r="H414" s="344" t="s">
        <v>2058</v>
      </c>
      <c r="I414" s="344" t="s">
        <v>3211</v>
      </c>
      <c r="J414" s="339">
        <v>43434</v>
      </c>
      <c r="K414" s="339"/>
      <c r="L414" s="339"/>
      <c r="M414" s="344" t="s">
        <v>2853</v>
      </c>
      <c r="N414" s="344" t="s">
        <v>2088</v>
      </c>
      <c r="O414" s="339">
        <v>43413</v>
      </c>
      <c r="P414" s="353" t="s">
        <v>3061</v>
      </c>
      <c r="Q414" s="344" t="s">
        <v>2829</v>
      </c>
      <c r="R414" s="354"/>
      <c r="S414" s="354">
        <f t="shared" si="7"/>
        <v>9</v>
      </c>
    </row>
    <row r="415" spans="1:19" ht="51" x14ac:dyDescent="0.2">
      <c r="A415" s="340" t="s">
        <v>4608</v>
      </c>
      <c r="B415" s="345">
        <v>43405</v>
      </c>
      <c r="C415" s="341" t="s">
        <v>4609</v>
      </c>
      <c r="D415" s="341" t="s">
        <v>4515</v>
      </c>
      <c r="E415" s="342" t="s">
        <v>4610</v>
      </c>
      <c r="F415" s="342">
        <v>1</v>
      </c>
      <c r="G415" s="342" t="s">
        <v>2828</v>
      </c>
      <c r="H415" s="342" t="s">
        <v>3842</v>
      </c>
      <c r="I415" s="342" t="s">
        <v>3926</v>
      </c>
      <c r="J415" s="345">
        <v>43465</v>
      </c>
      <c r="K415" s="345"/>
      <c r="L415" s="345"/>
      <c r="M415" s="342" t="s">
        <v>2853</v>
      </c>
      <c r="N415" s="342" t="s">
        <v>2088</v>
      </c>
      <c r="O415" s="345">
        <v>43431</v>
      </c>
      <c r="P415" s="355" t="s">
        <v>3061</v>
      </c>
      <c r="Q415" s="342" t="s">
        <v>2829</v>
      </c>
      <c r="R415" s="356"/>
      <c r="S415" s="354">
        <f t="shared" si="7"/>
        <v>26</v>
      </c>
    </row>
    <row r="416" spans="1:19" ht="51" x14ac:dyDescent="0.2">
      <c r="A416" s="338" t="s">
        <v>4611</v>
      </c>
      <c r="B416" s="339">
        <v>43409</v>
      </c>
      <c r="C416" s="343" t="s">
        <v>4612</v>
      </c>
      <c r="D416" s="343" t="s">
        <v>4401</v>
      </c>
      <c r="E416" s="344" t="s">
        <v>3519</v>
      </c>
      <c r="F416" s="344">
        <v>1</v>
      </c>
      <c r="G416" s="344" t="s">
        <v>2828</v>
      </c>
      <c r="H416" s="344" t="s">
        <v>3842</v>
      </c>
      <c r="I416" s="344" t="s">
        <v>3926</v>
      </c>
      <c r="J416" s="339">
        <v>43439</v>
      </c>
      <c r="K416" s="339"/>
      <c r="L416" s="339"/>
      <c r="M416" s="344" t="s">
        <v>2853</v>
      </c>
      <c r="N416" s="344" t="s">
        <v>2088</v>
      </c>
      <c r="O416" s="339">
        <v>43410</v>
      </c>
      <c r="P416" s="353" t="s">
        <v>3061</v>
      </c>
      <c r="Q416" s="344" t="s">
        <v>2829</v>
      </c>
      <c r="R416" s="354"/>
      <c r="S416" s="354">
        <f t="shared" si="7"/>
        <v>1</v>
      </c>
    </row>
    <row r="417" spans="1:19" ht="89.25" x14ac:dyDescent="0.2">
      <c r="A417" s="340" t="s">
        <v>4613</v>
      </c>
      <c r="B417" s="345">
        <v>43410</v>
      </c>
      <c r="C417" s="341" t="s">
        <v>4614</v>
      </c>
      <c r="D417" s="341" t="s">
        <v>3518</v>
      </c>
      <c r="E417" s="342" t="s">
        <v>3764</v>
      </c>
      <c r="F417" s="342">
        <v>1</v>
      </c>
      <c r="G417" s="342" t="s">
        <v>2828</v>
      </c>
      <c r="H417" s="342" t="s">
        <v>615</v>
      </c>
      <c r="I417" s="342" t="s">
        <v>3211</v>
      </c>
      <c r="J417" s="345">
        <v>43861</v>
      </c>
      <c r="K417" s="345"/>
      <c r="L417" s="345"/>
      <c r="M417" s="342" t="s">
        <v>2853</v>
      </c>
      <c r="N417" s="342" t="s">
        <v>2088</v>
      </c>
      <c r="O417" s="345">
        <v>43847</v>
      </c>
      <c r="P417" s="355" t="s">
        <v>3061</v>
      </c>
      <c r="Q417" s="342" t="s">
        <v>2839</v>
      </c>
      <c r="R417" s="356"/>
      <c r="S417" s="354">
        <f t="shared" si="7"/>
        <v>437</v>
      </c>
    </row>
    <row r="418" spans="1:19" ht="51" x14ac:dyDescent="0.2">
      <c r="A418" s="338" t="s">
        <v>4615</v>
      </c>
      <c r="B418" s="339">
        <v>43412</v>
      </c>
      <c r="C418" s="343" t="s">
        <v>4616</v>
      </c>
      <c r="D418" s="343" t="s">
        <v>4617</v>
      </c>
      <c r="E418" s="344" t="s">
        <v>3667</v>
      </c>
      <c r="F418" s="344">
        <v>1</v>
      </c>
      <c r="G418" s="344" t="s">
        <v>2828</v>
      </c>
      <c r="H418" s="344" t="s">
        <v>4079</v>
      </c>
      <c r="I418" s="344" t="s">
        <v>3926</v>
      </c>
      <c r="J418" s="339">
        <v>43442</v>
      </c>
      <c r="K418" s="339"/>
      <c r="L418" s="339"/>
      <c r="M418" s="344" t="s">
        <v>2853</v>
      </c>
      <c r="N418" s="344" t="s">
        <v>2088</v>
      </c>
      <c r="O418" s="339">
        <v>43418</v>
      </c>
      <c r="P418" s="353" t="s">
        <v>3061</v>
      </c>
      <c r="Q418" s="344" t="s">
        <v>2829</v>
      </c>
      <c r="R418" s="354"/>
      <c r="S418" s="354">
        <f t="shared" si="7"/>
        <v>6</v>
      </c>
    </row>
    <row r="419" spans="1:19" ht="51" x14ac:dyDescent="0.2">
      <c r="A419" s="340" t="s">
        <v>4618</v>
      </c>
      <c r="B419" s="345">
        <v>43418</v>
      </c>
      <c r="C419" s="341" t="s">
        <v>5009</v>
      </c>
      <c r="D419" s="341" t="s">
        <v>5010</v>
      </c>
      <c r="E419" s="342" t="s">
        <v>3927</v>
      </c>
      <c r="F419" s="342">
        <v>1</v>
      </c>
      <c r="G419" s="342" t="s">
        <v>2828</v>
      </c>
      <c r="H419" s="342" t="s">
        <v>3842</v>
      </c>
      <c r="I419" s="342" t="s">
        <v>3211</v>
      </c>
      <c r="J419" s="345">
        <v>43434</v>
      </c>
      <c r="K419" s="345"/>
      <c r="L419" s="345"/>
      <c r="M419" s="342" t="s">
        <v>2853</v>
      </c>
      <c r="N419" s="342" t="s">
        <v>2088</v>
      </c>
      <c r="O419" s="345">
        <v>43418</v>
      </c>
      <c r="P419" s="355" t="s">
        <v>3061</v>
      </c>
      <c r="Q419" s="342" t="s">
        <v>2829</v>
      </c>
      <c r="R419" s="356"/>
      <c r="S419" s="354">
        <f t="shared" si="7"/>
        <v>0</v>
      </c>
    </row>
    <row r="420" spans="1:19" ht="76.5" x14ac:dyDescent="0.2">
      <c r="A420" s="338" t="s">
        <v>4621</v>
      </c>
      <c r="B420" s="339">
        <v>43420</v>
      </c>
      <c r="C420" s="343" t="s">
        <v>4619</v>
      </c>
      <c r="D420" s="343" t="s">
        <v>4620</v>
      </c>
      <c r="E420" s="344" t="s">
        <v>3681</v>
      </c>
      <c r="F420" s="344">
        <v>1</v>
      </c>
      <c r="G420" s="344" t="s">
        <v>2828</v>
      </c>
      <c r="H420" s="344" t="s">
        <v>3423</v>
      </c>
      <c r="I420" s="344" t="s">
        <v>3211</v>
      </c>
      <c r="J420" s="339">
        <v>43481</v>
      </c>
      <c r="K420" s="339"/>
      <c r="L420" s="339"/>
      <c r="M420" s="344" t="s">
        <v>2853</v>
      </c>
      <c r="N420" s="344" t="s">
        <v>2088</v>
      </c>
      <c r="O420" s="339">
        <v>43469</v>
      </c>
      <c r="P420" s="353" t="s">
        <v>3061</v>
      </c>
      <c r="Q420" s="344" t="s">
        <v>2832</v>
      </c>
      <c r="R420" s="354"/>
      <c r="S420" s="354">
        <f t="shared" si="7"/>
        <v>49</v>
      </c>
    </row>
    <row r="421" spans="1:19" ht="51" x14ac:dyDescent="0.2">
      <c r="A421" s="340" t="s">
        <v>4622</v>
      </c>
      <c r="B421" s="345">
        <v>43423</v>
      </c>
      <c r="C421" s="341" t="s">
        <v>4623</v>
      </c>
      <c r="D421" s="341" t="s">
        <v>4624</v>
      </c>
      <c r="E421" s="342" t="s">
        <v>4256</v>
      </c>
      <c r="F421" s="342">
        <v>1</v>
      </c>
      <c r="G421" s="342" t="s">
        <v>2828</v>
      </c>
      <c r="H421" s="342" t="s">
        <v>4079</v>
      </c>
      <c r="I421" s="342" t="s">
        <v>3926</v>
      </c>
      <c r="J421" s="345">
        <v>43453</v>
      </c>
      <c r="K421" s="345"/>
      <c r="L421" s="345"/>
      <c r="M421" s="342" t="s">
        <v>2853</v>
      </c>
      <c r="N421" s="342" t="s">
        <v>2088</v>
      </c>
      <c r="O421" s="345">
        <v>43431</v>
      </c>
      <c r="P421" s="355" t="s">
        <v>3061</v>
      </c>
      <c r="Q421" s="342" t="s">
        <v>2829</v>
      </c>
      <c r="R421" s="356"/>
      <c r="S421" s="354">
        <f t="shared" si="7"/>
        <v>8</v>
      </c>
    </row>
    <row r="422" spans="1:19" ht="38.25" x14ac:dyDescent="0.2">
      <c r="A422" s="338" t="s">
        <v>4625</v>
      </c>
      <c r="B422" s="339">
        <v>43423</v>
      </c>
      <c r="C422" s="343" t="s">
        <v>4626</v>
      </c>
      <c r="D422" s="343" t="s">
        <v>4627</v>
      </c>
      <c r="E422" s="344" t="s">
        <v>2971</v>
      </c>
      <c r="F422" s="344">
        <v>1</v>
      </c>
      <c r="G422" s="344" t="s">
        <v>2828</v>
      </c>
      <c r="H422" s="344" t="s">
        <v>4163</v>
      </c>
      <c r="I422" s="344" t="s">
        <v>3211</v>
      </c>
      <c r="J422" s="339">
        <v>43830</v>
      </c>
      <c r="K422" s="339"/>
      <c r="L422" s="339"/>
      <c r="M422" s="344" t="s">
        <v>2853</v>
      </c>
      <c r="N422" s="344" t="s">
        <v>3061</v>
      </c>
      <c r="O422" s="339">
        <v>43790</v>
      </c>
      <c r="P422" s="353" t="s">
        <v>3061</v>
      </c>
      <c r="Q422" s="344" t="s">
        <v>2829</v>
      </c>
      <c r="R422" s="354"/>
      <c r="S422" s="354">
        <f t="shared" si="7"/>
        <v>367</v>
      </c>
    </row>
    <row r="423" spans="1:19" ht="63.75" x14ac:dyDescent="0.2">
      <c r="A423" s="340" t="s">
        <v>4628</v>
      </c>
      <c r="B423" s="345">
        <v>43424</v>
      </c>
      <c r="C423" s="341" t="s">
        <v>4629</v>
      </c>
      <c r="D423" s="341" t="s">
        <v>4630</v>
      </c>
      <c r="E423" s="342" t="s">
        <v>4631</v>
      </c>
      <c r="F423" s="342">
        <v>1</v>
      </c>
      <c r="G423" s="342" t="s">
        <v>2828</v>
      </c>
      <c r="H423" s="342" t="s">
        <v>3423</v>
      </c>
      <c r="I423" s="342" t="s">
        <v>3211</v>
      </c>
      <c r="J423" s="345">
        <v>43454</v>
      </c>
      <c r="K423" s="345"/>
      <c r="L423" s="345"/>
      <c r="M423" s="342" t="s">
        <v>2853</v>
      </c>
      <c r="N423" s="342" t="s">
        <v>2912</v>
      </c>
      <c r="O423" s="345">
        <v>43474</v>
      </c>
      <c r="P423" s="355" t="s">
        <v>3022</v>
      </c>
      <c r="Q423" s="342" t="s">
        <v>2832</v>
      </c>
      <c r="R423" s="356"/>
      <c r="S423" s="354">
        <f t="shared" si="7"/>
        <v>50</v>
      </c>
    </row>
    <row r="424" spans="1:19" ht="25.5" x14ac:dyDescent="0.2">
      <c r="A424" s="338" t="s">
        <v>4632</v>
      </c>
      <c r="B424" s="339">
        <v>43425</v>
      </c>
      <c r="C424" s="343" t="s">
        <v>2605</v>
      </c>
      <c r="D424" s="343" t="s">
        <v>4633</v>
      </c>
      <c r="E424" s="344" t="s">
        <v>2971</v>
      </c>
      <c r="F424" s="344">
        <v>1</v>
      </c>
      <c r="G424" s="344" t="s">
        <v>2838</v>
      </c>
      <c r="H424" s="344" t="s">
        <v>441</v>
      </c>
      <c r="I424" s="344" t="s">
        <v>229</v>
      </c>
      <c r="J424" s="339">
        <v>43554</v>
      </c>
      <c r="K424" s="339"/>
      <c r="L424" s="339"/>
      <c r="M424" s="344" t="s">
        <v>2853</v>
      </c>
      <c r="N424" s="344" t="s">
        <v>3061</v>
      </c>
      <c r="O424" s="339">
        <v>43473</v>
      </c>
      <c r="P424" s="353" t="s">
        <v>3061</v>
      </c>
      <c r="Q424" s="344" t="s">
        <v>2839</v>
      </c>
      <c r="R424" s="354"/>
      <c r="S424" s="354">
        <f t="shared" si="7"/>
        <v>48</v>
      </c>
    </row>
    <row r="425" spans="1:19" ht="38.25" x14ac:dyDescent="0.2">
      <c r="A425" s="340" t="s">
        <v>4634</v>
      </c>
      <c r="B425" s="345">
        <v>43431</v>
      </c>
      <c r="C425" s="341" t="s">
        <v>4635</v>
      </c>
      <c r="D425" s="341" t="s">
        <v>4048</v>
      </c>
      <c r="E425" s="342" t="s">
        <v>2971</v>
      </c>
      <c r="F425" s="342">
        <v>1</v>
      </c>
      <c r="G425" s="342" t="s">
        <v>2841</v>
      </c>
      <c r="H425" s="342" t="s">
        <v>3645</v>
      </c>
      <c r="I425" s="342" t="s">
        <v>229</v>
      </c>
      <c r="J425" s="345">
        <v>43465</v>
      </c>
      <c r="K425" s="345"/>
      <c r="L425" s="345"/>
      <c r="M425" s="342" t="s">
        <v>2853</v>
      </c>
      <c r="N425" s="342" t="s">
        <v>2088</v>
      </c>
      <c r="O425" s="345">
        <v>43448</v>
      </c>
      <c r="P425" s="355" t="s">
        <v>3061</v>
      </c>
      <c r="Q425" s="342" t="s">
        <v>2829</v>
      </c>
      <c r="R425" s="356"/>
      <c r="S425" s="354">
        <f t="shared" si="7"/>
        <v>17</v>
      </c>
    </row>
    <row r="426" spans="1:19" ht="38.25" x14ac:dyDescent="0.2">
      <c r="A426" s="338" t="s">
        <v>4636</v>
      </c>
      <c r="B426" s="339">
        <v>43431</v>
      </c>
      <c r="C426" s="343" t="s">
        <v>4637</v>
      </c>
      <c r="D426" s="343" t="s">
        <v>4048</v>
      </c>
      <c r="E426" s="344" t="s">
        <v>2971</v>
      </c>
      <c r="F426" s="344">
        <v>1</v>
      </c>
      <c r="G426" s="344" t="s">
        <v>2841</v>
      </c>
      <c r="H426" s="344" t="s">
        <v>3645</v>
      </c>
      <c r="I426" s="344" t="s">
        <v>229</v>
      </c>
      <c r="J426" s="339">
        <v>43465</v>
      </c>
      <c r="K426" s="339"/>
      <c r="L426" s="339"/>
      <c r="M426" s="344" t="s">
        <v>2853</v>
      </c>
      <c r="N426" s="344" t="s">
        <v>2088</v>
      </c>
      <c r="O426" s="339">
        <v>43448</v>
      </c>
      <c r="P426" s="353" t="s">
        <v>3061</v>
      </c>
      <c r="Q426" s="344" t="s">
        <v>2829</v>
      </c>
      <c r="R426" s="354"/>
      <c r="S426" s="354">
        <f t="shared" si="7"/>
        <v>17</v>
      </c>
    </row>
    <row r="427" spans="1:19" ht="89.25" x14ac:dyDescent="0.2">
      <c r="A427" s="340" t="s">
        <v>4638</v>
      </c>
      <c r="B427" s="345">
        <v>43432</v>
      </c>
      <c r="C427" s="341" t="s">
        <v>4639</v>
      </c>
      <c r="D427" s="341" t="s">
        <v>4640</v>
      </c>
      <c r="E427" s="342" t="s">
        <v>2971</v>
      </c>
      <c r="F427" s="342">
        <v>1</v>
      </c>
      <c r="G427" s="342" t="s">
        <v>2838</v>
      </c>
      <c r="H427" s="342" t="s">
        <v>4079</v>
      </c>
      <c r="I427" s="342" t="s">
        <v>3211</v>
      </c>
      <c r="J427" s="345">
        <v>43465</v>
      </c>
      <c r="K427" s="345"/>
      <c r="L427" s="345"/>
      <c r="M427" s="342" t="s">
        <v>1056</v>
      </c>
      <c r="N427" s="342"/>
      <c r="O427" s="345"/>
      <c r="P427" s="355"/>
      <c r="Q427" s="342"/>
      <c r="R427" s="356" t="s">
        <v>5999</v>
      </c>
      <c r="S427" s="354">
        <f t="shared" si="7"/>
        <v>-43432</v>
      </c>
    </row>
    <row r="428" spans="1:19" ht="102" x14ac:dyDescent="0.2">
      <c r="A428" s="338" t="s">
        <v>4641</v>
      </c>
      <c r="B428" s="339">
        <v>43432</v>
      </c>
      <c r="C428" s="343" t="s">
        <v>4642</v>
      </c>
      <c r="D428" s="343" t="s">
        <v>4643</v>
      </c>
      <c r="E428" s="344" t="s">
        <v>2971</v>
      </c>
      <c r="F428" s="344">
        <v>1</v>
      </c>
      <c r="G428" s="344" t="s">
        <v>2841</v>
      </c>
      <c r="H428" s="344" t="s">
        <v>4644</v>
      </c>
      <c r="I428" s="344" t="s">
        <v>229</v>
      </c>
      <c r="J428" s="339">
        <v>43448</v>
      </c>
      <c r="K428" s="339"/>
      <c r="L428" s="339"/>
      <c r="M428" s="344" t="s">
        <v>2853</v>
      </c>
      <c r="N428" s="344" t="s">
        <v>3022</v>
      </c>
      <c r="O428" s="339">
        <v>43451</v>
      </c>
      <c r="P428" s="353" t="s">
        <v>3022</v>
      </c>
      <c r="Q428" s="344" t="s">
        <v>2829</v>
      </c>
      <c r="R428" s="354" t="s">
        <v>4676</v>
      </c>
      <c r="S428" s="354">
        <f t="shared" si="7"/>
        <v>19</v>
      </c>
    </row>
    <row r="429" spans="1:19" ht="51" x14ac:dyDescent="0.2">
      <c r="A429" s="340" t="s">
        <v>4645</v>
      </c>
      <c r="B429" s="345">
        <v>43433</v>
      </c>
      <c r="C429" s="341" t="s">
        <v>4646</v>
      </c>
      <c r="D429" s="341" t="s">
        <v>4658</v>
      </c>
      <c r="E429" s="342" t="s">
        <v>2869</v>
      </c>
      <c r="F429" s="342">
        <v>1</v>
      </c>
      <c r="G429" s="342" t="s">
        <v>2828</v>
      </c>
      <c r="H429" s="342" t="s">
        <v>4232</v>
      </c>
      <c r="I429" s="342" t="s">
        <v>3926</v>
      </c>
      <c r="J429" s="345">
        <v>43463</v>
      </c>
      <c r="K429" s="345"/>
      <c r="L429" s="345"/>
      <c r="M429" s="342" t="s">
        <v>2853</v>
      </c>
      <c r="N429" s="342" t="s">
        <v>2088</v>
      </c>
      <c r="O429" s="345">
        <v>43438</v>
      </c>
      <c r="P429" s="355" t="s">
        <v>3061</v>
      </c>
      <c r="Q429" s="342" t="s">
        <v>2829</v>
      </c>
      <c r="R429" s="356"/>
      <c r="S429" s="354">
        <f t="shared" si="7"/>
        <v>5</v>
      </c>
    </row>
    <row r="430" spans="1:19" ht="51" x14ac:dyDescent="0.2">
      <c r="A430" s="338" t="s">
        <v>4647</v>
      </c>
      <c r="B430" s="339">
        <v>43438</v>
      </c>
      <c r="C430" s="343" t="s">
        <v>4648</v>
      </c>
      <c r="D430" s="343" t="s">
        <v>4651</v>
      </c>
      <c r="E430" s="344" t="s">
        <v>4649</v>
      </c>
      <c r="F430" s="344">
        <v>1</v>
      </c>
      <c r="G430" s="344" t="s">
        <v>2828</v>
      </c>
      <c r="H430" s="344" t="s">
        <v>4650</v>
      </c>
      <c r="I430" s="344" t="s">
        <v>3926</v>
      </c>
      <c r="J430" s="339">
        <v>43469</v>
      </c>
      <c r="K430" s="339"/>
      <c r="L430" s="339"/>
      <c r="M430" s="344" t="s">
        <v>2853</v>
      </c>
      <c r="N430" s="344" t="s">
        <v>2088</v>
      </c>
      <c r="O430" s="339">
        <v>43438</v>
      </c>
      <c r="P430" s="353" t="s">
        <v>3061</v>
      </c>
      <c r="Q430" s="344" t="s">
        <v>2829</v>
      </c>
      <c r="R430" s="354"/>
      <c r="S430" s="354">
        <f t="shared" si="7"/>
        <v>0</v>
      </c>
    </row>
    <row r="431" spans="1:19" ht="38.25" x14ac:dyDescent="0.2">
      <c r="A431" s="340" t="s">
        <v>4652</v>
      </c>
      <c r="B431" s="345">
        <v>43439</v>
      </c>
      <c r="C431" s="341" t="s">
        <v>4653</v>
      </c>
      <c r="D431" s="341" t="s">
        <v>4654</v>
      </c>
      <c r="E431" s="342" t="s">
        <v>2971</v>
      </c>
      <c r="F431" s="342">
        <v>1</v>
      </c>
      <c r="G431" s="342" t="s">
        <v>2841</v>
      </c>
      <c r="H431" s="342" t="s">
        <v>229</v>
      </c>
      <c r="I431" s="342" t="s">
        <v>229</v>
      </c>
      <c r="J431" s="345">
        <v>43465</v>
      </c>
      <c r="K431" s="345"/>
      <c r="L431" s="345"/>
      <c r="M431" s="342" t="s">
        <v>2853</v>
      </c>
      <c r="N431" s="342" t="s">
        <v>2088</v>
      </c>
      <c r="O431" s="345">
        <v>43823</v>
      </c>
      <c r="P431" s="355" t="s">
        <v>3061</v>
      </c>
      <c r="Q431" s="342" t="s">
        <v>2829</v>
      </c>
      <c r="R431" s="356"/>
      <c r="S431" s="354">
        <f t="shared" si="7"/>
        <v>384</v>
      </c>
    </row>
    <row r="432" spans="1:19" ht="165.75" x14ac:dyDescent="0.2">
      <c r="A432" s="338" t="s">
        <v>4655</v>
      </c>
      <c r="B432" s="339">
        <v>43440</v>
      </c>
      <c r="C432" s="343" t="s">
        <v>4656</v>
      </c>
      <c r="D432" s="343" t="s">
        <v>4657</v>
      </c>
      <c r="E432" s="344" t="s">
        <v>2971</v>
      </c>
      <c r="F432" s="344">
        <v>1</v>
      </c>
      <c r="G432" s="344" t="s">
        <v>4300</v>
      </c>
      <c r="H432" s="344" t="s">
        <v>481</v>
      </c>
      <c r="I432" s="344" t="s">
        <v>229</v>
      </c>
      <c r="J432" s="339">
        <v>43444</v>
      </c>
      <c r="K432" s="339"/>
      <c r="L432" s="339"/>
      <c r="M432" s="344" t="s">
        <v>2853</v>
      </c>
      <c r="N432" s="344" t="s">
        <v>2088</v>
      </c>
      <c r="O432" s="339">
        <v>43444</v>
      </c>
      <c r="P432" s="353" t="s">
        <v>3061</v>
      </c>
      <c r="Q432" s="344" t="s">
        <v>2829</v>
      </c>
      <c r="R432" s="354"/>
      <c r="S432" s="354">
        <f t="shared" si="7"/>
        <v>4</v>
      </c>
    </row>
    <row r="433" spans="1:19" ht="51" x14ac:dyDescent="0.2">
      <c r="A433" s="340" t="s">
        <v>4659</v>
      </c>
      <c r="B433" s="345">
        <v>43444</v>
      </c>
      <c r="C433" s="341" t="s">
        <v>4660</v>
      </c>
      <c r="D433" s="341" t="s">
        <v>3703</v>
      </c>
      <c r="E433" s="342" t="s">
        <v>3681</v>
      </c>
      <c r="F433" s="342">
        <v>1</v>
      </c>
      <c r="G433" s="342" t="s">
        <v>2828</v>
      </c>
      <c r="H433" s="342" t="s">
        <v>3423</v>
      </c>
      <c r="I433" s="342" t="s">
        <v>3211</v>
      </c>
      <c r="J433" s="345">
        <v>43110</v>
      </c>
      <c r="K433" s="345"/>
      <c r="L433" s="345"/>
      <c r="M433" s="342" t="s">
        <v>2853</v>
      </c>
      <c r="N433" s="342" t="s">
        <v>2088</v>
      </c>
      <c r="O433" s="345">
        <v>43445</v>
      </c>
      <c r="P433" s="355" t="s">
        <v>3061</v>
      </c>
      <c r="Q433" s="342" t="s">
        <v>2829</v>
      </c>
      <c r="R433" s="356"/>
      <c r="S433" s="354">
        <f t="shared" si="7"/>
        <v>1</v>
      </c>
    </row>
    <row r="434" spans="1:19" ht="63.75" x14ac:dyDescent="0.2">
      <c r="A434" s="338" t="s">
        <v>4661</v>
      </c>
      <c r="B434" s="339">
        <v>43446</v>
      </c>
      <c r="C434" s="343" t="s">
        <v>4662</v>
      </c>
      <c r="D434" s="343" t="s">
        <v>4663</v>
      </c>
      <c r="E434" s="344" t="s">
        <v>2971</v>
      </c>
      <c r="F434" s="344">
        <v>1</v>
      </c>
      <c r="G434" s="344" t="s">
        <v>4300</v>
      </c>
      <c r="H434" s="344" t="s">
        <v>441</v>
      </c>
      <c r="I434" s="344" t="s">
        <v>229</v>
      </c>
      <c r="J434" s="339">
        <v>43465</v>
      </c>
      <c r="K434" s="339"/>
      <c r="L434" s="339"/>
      <c r="M434" s="344" t="s">
        <v>2853</v>
      </c>
      <c r="N434" s="344" t="s">
        <v>2088</v>
      </c>
      <c r="O434" s="339">
        <v>43461</v>
      </c>
      <c r="P434" s="353" t="s">
        <v>3061</v>
      </c>
      <c r="Q434" s="344" t="s">
        <v>2829</v>
      </c>
      <c r="R434" s="354"/>
      <c r="S434" s="354">
        <f t="shared" si="7"/>
        <v>15</v>
      </c>
    </row>
    <row r="435" spans="1:19" ht="51" x14ac:dyDescent="0.2">
      <c r="A435" s="340" t="s">
        <v>4664</v>
      </c>
      <c r="B435" s="345">
        <v>43446</v>
      </c>
      <c r="C435" s="341" t="s">
        <v>4665</v>
      </c>
      <c r="D435" s="341" t="s">
        <v>4666</v>
      </c>
      <c r="E435" s="342" t="s">
        <v>4208</v>
      </c>
      <c r="F435" s="342">
        <v>1</v>
      </c>
      <c r="G435" s="342" t="s">
        <v>2828</v>
      </c>
      <c r="H435" s="342" t="s">
        <v>4232</v>
      </c>
      <c r="I435" s="342" t="s">
        <v>3211</v>
      </c>
      <c r="J435" s="345">
        <v>43477</v>
      </c>
      <c r="K435" s="345"/>
      <c r="L435" s="345"/>
      <c r="M435" s="342" t="s">
        <v>2853</v>
      </c>
      <c r="N435" s="342" t="s">
        <v>2088</v>
      </c>
      <c r="O435" s="345">
        <v>43451</v>
      </c>
      <c r="P435" s="355" t="s">
        <v>3061</v>
      </c>
      <c r="Q435" s="342" t="s">
        <v>2829</v>
      </c>
      <c r="R435" s="356"/>
      <c r="S435" s="354">
        <f t="shared" si="7"/>
        <v>5</v>
      </c>
    </row>
    <row r="436" spans="1:19" ht="51" x14ac:dyDescent="0.2">
      <c r="A436" s="338" t="s">
        <v>4667</v>
      </c>
      <c r="B436" s="339">
        <v>43447</v>
      </c>
      <c r="C436" s="343" t="s">
        <v>4668</v>
      </c>
      <c r="D436" s="343" t="s">
        <v>3039</v>
      </c>
      <c r="E436" s="344" t="s">
        <v>2971</v>
      </c>
      <c r="F436" s="344">
        <v>1</v>
      </c>
      <c r="G436" s="344" t="s">
        <v>2841</v>
      </c>
      <c r="H436" s="344" t="s">
        <v>3645</v>
      </c>
      <c r="I436" s="344" t="s">
        <v>229</v>
      </c>
      <c r="J436" s="339">
        <v>43465</v>
      </c>
      <c r="K436" s="339"/>
      <c r="L436" s="339"/>
      <c r="M436" s="344" t="s">
        <v>2853</v>
      </c>
      <c r="N436" s="344" t="s">
        <v>2088</v>
      </c>
      <c r="O436" s="339">
        <v>43474</v>
      </c>
      <c r="P436" s="353" t="s">
        <v>3061</v>
      </c>
      <c r="Q436" s="344" t="s">
        <v>2829</v>
      </c>
      <c r="R436" s="354"/>
      <c r="S436" s="354">
        <f t="shared" si="7"/>
        <v>27</v>
      </c>
    </row>
    <row r="437" spans="1:19" ht="51" x14ac:dyDescent="0.2">
      <c r="A437" s="340" t="s">
        <v>4669</v>
      </c>
      <c r="B437" s="345">
        <v>43447</v>
      </c>
      <c r="C437" s="341" t="s">
        <v>4670</v>
      </c>
      <c r="D437" s="341" t="s">
        <v>3039</v>
      </c>
      <c r="E437" s="342" t="s">
        <v>2971</v>
      </c>
      <c r="F437" s="342">
        <v>1</v>
      </c>
      <c r="G437" s="342" t="s">
        <v>2841</v>
      </c>
      <c r="H437" s="342" t="s">
        <v>486</v>
      </c>
      <c r="I437" s="342" t="s">
        <v>229</v>
      </c>
      <c r="J437" s="345">
        <v>43465</v>
      </c>
      <c r="K437" s="345"/>
      <c r="L437" s="345"/>
      <c r="M437" s="342" t="s">
        <v>2853</v>
      </c>
      <c r="N437" s="342" t="s">
        <v>2088</v>
      </c>
      <c r="O437" s="345">
        <v>43474</v>
      </c>
      <c r="P437" s="355" t="s">
        <v>3061</v>
      </c>
      <c r="Q437" s="342" t="s">
        <v>3677</v>
      </c>
      <c r="R437" s="356"/>
      <c r="S437" s="354">
        <f t="shared" si="7"/>
        <v>27</v>
      </c>
    </row>
    <row r="438" spans="1:19" ht="63.75" x14ac:dyDescent="0.2">
      <c r="A438" s="338" t="s">
        <v>4672</v>
      </c>
      <c r="B438" s="339">
        <v>43453</v>
      </c>
      <c r="C438" s="343" t="s">
        <v>4673</v>
      </c>
      <c r="D438" s="343" t="s">
        <v>4674</v>
      </c>
      <c r="E438" s="344" t="s">
        <v>4675</v>
      </c>
      <c r="F438" s="344">
        <v>1</v>
      </c>
      <c r="G438" s="344" t="s">
        <v>2836</v>
      </c>
      <c r="H438" s="344" t="s">
        <v>3991</v>
      </c>
      <c r="I438" s="344" t="s">
        <v>229</v>
      </c>
      <c r="J438" s="339">
        <v>43465</v>
      </c>
      <c r="K438" s="339"/>
      <c r="L438" s="339"/>
      <c r="M438" s="344" t="s">
        <v>2853</v>
      </c>
      <c r="N438" s="344" t="s">
        <v>2088</v>
      </c>
      <c r="O438" s="339">
        <v>43454</v>
      </c>
      <c r="P438" s="353" t="s">
        <v>3061</v>
      </c>
      <c r="Q438" s="344" t="s">
        <v>2829</v>
      </c>
      <c r="R438" s="354"/>
      <c r="S438" s="354">
        <f t="shared" si="7"/>
        <v>1</v>
      </c>
    </row>
    <row r="439" spans="1:19" ht="38.25" x14ac:dyDescent="0.2">
      <c r="A439" s="340" t="s">
        <v>4677</v>
      </c>
      <c r="B439" s="345">
        <v>43454</v>
      </c>
      <c r="C439" s="341" t="s">
        <v>4678</v>
      </c>
      <c r="D439" s="341" t="s">
        <v>4679</v>
      </c>
      <c r="E439" s="342" t="s">
        <v>2971</v>
      </c>
      <c r="F439" s="342">
        <v>1</v>
      </c>
      <c r="G439" s="342" t="s">
        <v>2838</v>
      </c>
      <c r="H439" s="342" t="s">
        <v>685</v>
      </c>
      <c r="I439" s="342" t="s">
        <v>229</v>
      </c>
      <c r="J439" s="345">
        <v>43554</v>
      </c>
      <c r="K439" s="345"/>
      <c r="L439" s="345"/>
      <c r="M439" s="342" t="s">
        <v>2853</v>
      </c>
      <c r="N439" s="342" t="s">
        <v>2088</v>
      </c>
      <c r="O439" s="345">
        <v>43486</v>
      </c>
      <c r="P439" s="355" t="s">
        <v>3061</v>
      </c>
      <c r="Q439" s="342" t="s">
        <v>2839</v>
      </c>
      <c r="R439" s="356"/>
      <c r="S439" s="354">
        <f t="shared" si="7"/>
        <v>32</v>
      </c>
    </row>
    <row r="440" spans="1:19" ht="63.75" x14ac:dyDescent="0.2">
      <c r="A440" s="338" t="s">
        <v>4680</v>
      </c>
      <c r="B440" s="339">
        <v>43455</v>
      </c>
      <c r="C440" s="343" t="s">
        <v>4681</v>
      </c>
      <c r="D440" s="343" t="s">
        <v>4048</v>
      </c>
      <c r="E440" s="344" t="s">
        <v>2971</v>
      </c>
      <c r="F440" s="344">
        <v>1</v>
      </c>
      <c r="G440" s="344" t="s">
        <v>2841</v>
      </c>
      <c r="H440" s="344" t="s">
        <v>685</v>
      </c>
      <c r="I440" s="344" t="s">
        <v>229</v>
      </c>
      <c r="J440" s="339">
        <v>43465</v>
      </c>
      <c r="K440" s="339"/>
      <c r="L440" s="339"/>
      <c r="M440" s="344" t="s">
        <v>2853</v>
      </c>
      <c r="N440" s="344" t="s">
        <v>2088</v>
      </c>
      <c r="O440" s="339">
        <v>43825</v>
      </c>
      <c r="P440" s="353" t="s">
        <v>3061</v>
      </c>
      <c r="Q440" s="344" t="s">
        <v>2829</v>
      </c>
      <c r="R440" s="354"/>
      <c r="S440" s="354">
        <f t="shared" si="7"/>
        <v>370</v>
      </c>
    </row>
    <row r="441" spans="1:19" ht="76.5" x14ac:dyDescent="0.2">
      <c r="A441" s="340" t="s">
        <v>4682</v>
      </c>
      <c r="B441" s="345">
        <v>43455</v>
      </c>
      <c r="C441" s="341" t="s">
        <v>4683</v>
      </c>
      <c r="D441" s="341" t="s">
        <v>3039</v>
      </c>
      <c r="E441" s="342" t="s">
        <v>2971</v>
      </c>
      <c r="F441" s="342">
        <v>1</v>
      </c>
      <c r="G441" s="342" t="s">
        <v>2841</v>
      </c>
      <c r="H441" s="342" t="s">
        <v>4684</v>
      </c>
      <c r="I441" s="342" t="s">
        <v>229</v>
      </c>
      <c r="J441" s="345">
        <v>43465</v>
      </c>
      <c r="K441" s="345"/>
      <c r="L441" s="345"/>
      <c r="M441" s="342" t="s">
        <v>2853</v>
      </c>
      <c r="N441" s="342" t="s">
        <v>2088</v>
      </c>
      <c r="O441" s="345">
        <v>43479</v>
      </c>
      <c r="P441" s="355" t="s">
        <v>3061</v>
      </c>
      <c r="Q441" s="342" t="s">
        <v>2829</v>
      </c>
      <c r="R441" s="356"/>
      <c r="S441" s="354">
        <f t="shared" ref="S441:S450" si="8">O441-B441</f>
        <v>24</v>
      </c>
    </row>
    <row r="442" spans="1:19" ht="38.25" x14ac:dyDescent="0.2">
      <c r="A442" s="338" t="s">
        <v>4685</v>
      </c>
      <c r="B442" s="339">
        <v>43455</v>
      </c>
      <c r="C442" s="343" t="s">
        <v>4687</v>
      </c>
      <c r="D442" s="343" t="s">
        <v>3873</v>
      </c>
      <c r="E442" s="344" t="s">
        <v>2971</v>
      </c>
      <c r="F442" s="344">
        <v>1</v>
      </c>
      <c r="G442" s="344" t="s">
        <v>2841</v>
      </c>
      <c r="H442" s="344" t="s">
        <v>727</v>
      </c>
      <c r="I442" s="344" t="s">
        <v>229</v>
      </c>
      <c r="J442" s="339">
        <v>43465</v>
      </c>
      <c r="K442" s="339"/>
      <c r="L442" s="339"/>
      <c r="M442" s="344" t="s">
        <v>2853</v>
      </c>
      <c r="N442" s="344" t="s">
        <v>3022</v>
      </c>
      <c r="O442" s="339">
        <v>43488</v>
      </c>
      <c r="P442" s="353" t="s">
        <v>3022</v>
      </c>
      <c r="Q442" s="344" t="s">
        <v>2832</v>
      </c>
      <c r="R442" s="354"/>
      <c r="S442" s="354">
        <f t="shared" si="8"/>
        <v>33</v>
      </c>
    </row>
    <row r="443" spans="1:19" ht="38.25" x14ac:dyDescent="0.2">
      <c r="A443" s="340" t="s">
        <v>4686</v>
      </c>
      <c r="B443" s="345">
        <v>43455</v>
      </c>
      <c r="C443" s="341" t="s">
        <v>4688</v>
      </c>
      <c r="D443" s="341" t="s">
        <v>3873</v>
      </c>
      <c r="E443" s="342" t="s">
        <v>2971</v>
      </c>
      <c r="F443" s="342">
        <v>1</v>
      </c>
      <c r="G443" s="342" t="s">
        <v>2841</v>
      </c>
      <c r="H443" s="342" t="s">
        <v>685</v>
      </c>
      <c r="I443" s="342" t="s">
        <v>229</v>
      </c>
      <c r="J443" s="345">
        <v>43465</v>
      </c>
      <c r="K443" s="345"/>
      <c r="L443" s="345"/>
      <c r="M443" s="342" t="s">
        <v>2853</v>
      </c>
      <c r="N443" s="342" t="s">
        <v>3022</v>
      </c>
      <c r="O443" s="345">
        <v>43486</v>
      </c>
      <c r="P443" s="355" t="s">
        <v>3022</v>
      </c>
      <c r="Q443" s="342" t="s">
        <v>2829</v>
      </c>
      <c r="R443" s="356"/>
      <c r="S443" s="354">
        <f t="shared" si="8"/>
        <v>31</v>
      </c>
    </row>
    <row r="444" spans="1:19" ht="38.25" x14ac:dyDescent="0.2">
      <c r="A444" s="338" t="s">
        <v>4689</v>
      </c>
      <c r="B444" s="339">
        <v>43455</v>
      </c>
      <c r="C444" s="343" t="s">
        <v>4690</v>
      </c>
      <c r="D444" s="343" t="s">
        <v>3873</v>
      </c>
      <c r="E444" s="344" t="s">
        <v>2971</v>
      </c>
      <c r="F444" s="344">
        <v>1</v>
      </c>
      <c r="G444" s="344" t="s">
        <v>2841</v>
      </c>
      <c r="H444" s="344" t="s">
        <v>1461</v>
      </c>
      <c r="I444" s="344" t="s">
        <v>229</v>
      </c>
      <c r="J444" s="339">
        <v>43476</v>
      </c>
      <c r="K444" s="339"/>
      <c r="L444" s="339"/>
      <c r="M444" s="344" t="s">
        <v>2853</v>
      </c>
      <c r="N444" s="344" t="s">
        <v>3022</v>
      </c>
      <c r="O444" s="339">
        <v>43615</v>
      </c>
      <c r="P444" s="353" t="s">
        <v>3022</v>
      </c>
      <c r="Q444" s="344" t="s">
        <v>2835</v>
      </c>
      <c r="R444" s="354"/>
      <c r="S444" s="354">
        <f t="shared" si="8"/>
        <v>160</v>
      </c>
    </row>
    <row r="445" spans="1:19" ht="38.25" x14ac:dyDescent="0.2">
      <c r="A445" s="340" t="s">
        <v>4691</v>
      </c>
      <c r="B445" s="345">
        <v>43455</v>
      </c>
      <c r="C445" s="341" t="s">
        <v>4692</v>
      </c>
      <c r="D445" s="341" t="s">
        <v>4048</v>
      </c>
      <c r="E445" s="342" t="s">
        <v>2971</v>
      </c>
      <c r="F445" s="342">
        <v>1</v>
      </c>
      <c r="G445" s="342" t="s">
        <v>2841</v>
      </c>
      <c r="H445" s="342" t="s">
        <v>229</v>
      </c>
      <c r="I445" s="342" t="s">
        <v>229</v>
      </c>
      <c r="J445" s="345">
        <v>43465</v>
      </c>
      <c r="K445" s="345"/>
      <c r="L445" s="345"/>
      <c r="M445" s="342" t="s">
        <v>2853</v>
      </c>
      <c r="N445" s="342" t="s">
        <v>2088</v>
      </c>
      <c r="O445" s="345">
        <v>43532</v>
      </c>
      <c r="P445" s="355" t="s">
        <v>3022</v>
      </c>
      <c r="Q445" s="342" t="s">
        <v>2832</v>
      </c>
      <c r="R445" s="356"/>
      <c r="S445" s="354">
        <f t="shared" si="8"/>
        <v>77</v>
      </c>
    </row>
    <row r="446" spans="1:19" ht="38.25" x14ac:dyDescent="0.2">
      <c r="A446" s="338" t="s">
        <v>4693</v>
      </c>
      <c r="B446" s="339">
        <v>43460</v>
      </c>
      <c r="C446" s="343" t="s">
        <v>4694</v>
      </c>
      <c r="D446" s="343" t="s">
        <v>3873</v>
      </c>
      <c r="E446" s="344" t="s">
        <v>2971</v>
      </c>
      <c r="F446" s="344">
        <v>1</v>
      </c>
      <c r="G446" s="344" t="s">
        <v>2841</v>
      </c>
      <c r="H446" s="344" t="s">
        <v>1339</v>
      </c>
      <c r="I446" s="344" t="s">
        <v>229</v>
      </c>
      <c r="J446" s="339">
        <v>43465</v>
      </c>
      <c r="K446" s="339"/>
      <c r="L446" s="339"/>
      <c r="M446" s="344" t="s">
        <v>2853</v>
      </c>
      <c r="N446" s="344" t="s">
        <v>2088</v>
      </c>
      <c r="O446" s="339">
        <v>43475</v>
      </c>
      <c r="P446" s="353" t="s">
        <v>3061</v>
      </c>
      <c r="Q446" s="344" t="s">
        <v>3677</v>
      </c>
      <c r="R446" s="354"/>
      <c r="S446" s="354">
        <f t="shared" si="8"/>
        <v>15</v>
      </c>
    </row>
    <row r="447" spans="1:19" ht="76.5" x14ac:dyDescent="0.2">
      <c r="A447" s="340" t="s">
        <v>4695</v>
      </c>
      <c r="B447" s="345">
        <v>43460</v>
      </c>
      <c r="C447" s="341" t="s">
        <v>4696</v>
      </c>
      <c r="D447" s="341" t="s">
        <v>4697</v>
      </c>
      <c r="E447" s="342" t="s">
        <v>2971</v>
      </c>
      <c r="F447" s="342">
        <v>1</v>
      </c>
      <c r="G447" s="342" t="s">
        <v>2841</v>
      </c>
      <c r="H447" s="342" t="s">
        <v>486</v>
      </c>
      <c r="I447" s="342" t="s">
        <v>229</v>
      </c>
      <c r="J447" s="345">
        <v>43465</v>
      </c>
      <c r="K447" s="345"/>
      <c r="L447" s="345"/>
      <c r="M447" s="342" t="s">
        <v>2853</v>
      </c>
      <c r="N447" s="342" t="s">
        <v>2088</v>
      </c>
      <c r="O447" s="345">
        <v>43476</v>
      </c>
      <c r="P447" s="355" t="s">
        <v>3061</v>
      </c>
      <c r="Q447" s="342" t="s">
        <v>2829</v>
      </c>
      <c r="R447" s="356"/>
      <c r="S447" s="354">
        <f t="shared" si="8"/>
        <v>16</v>
      </c>
    </row>
    <row r="448" spans="1:19" ht="25.5" x14ac:dyDescent="0.2">
      <c r="A448" s="399" t="s">
        <v>4699</v>
      </c>
      <c r="B448" s="400">
        <v>43462</v>
      </c>
      <c r="C448" s="401" t="s">
        <v>2605</v>
      </c>
      <c r="D448" s="401" t="s">
        <v>4700</v>
      </c>
      <c r="E448" s="391" t="s">
        <v>2971</v>
      </c>
      <c r="F448" s="391">
        <v>1</v>
      </c>
      <c r="G448" s="391" t="s">
        <v>2838</v>
      </c>
      <c r="H448" s="391" t="s">
        <v>685</v>
      </c>
      <c r="I448" s="391" t="s">
        <v>229</v>
      </c>
      <c r="J448" s="400">
        <v>43465</v>
      </c>
      <c r="K448" s="400"/>
      <c r="L448" s="400"/>
      <c r="M448" s="391" t="s">
        <v>2853</v>
      </c>
      <c r="N448" s="391" t="s">
        <v>2088</v>
      </c>
      <c r="O448" s="400">
        <v>43479</v>
      </c>
      <c r="P448" s="402" t="s">
        <v>3061</v>
      </c>
      <c r="Q448" s="391" t="s">
        <v>2829</v>
      </c>
      <c r="R448" s="392"/>
      <c r="S448" s="392">
        <f t="shared" si="8"/>
        <v>17</v>
      </c>
    </row>
    <row r="449" spans="1:19" ht="76.5" x14ac:dyDescent="0.2">
      <c r="A449" s="340" t="s">
        <v>4695</v>
      </c>
      <c r="B449" s="345">
        <v>43460</v>
      </c>
      <c r="C449" s="341" t="s">
        <v>4696</v>
      </c>
      <c r="D449" s="341" t="s">
        <v>4697</v>
      </c>
      <c r="E449" s="342" t="s">
        <v>2971</v>
      </c>
      <c r="F449" s="342">
        <v>1</v>
      </c>
      <c r="G449" s="342" t="s">
        <v>2841</v>
      </c>
      <c r="H449" s="342" t="s">
        <v>486</v>
      </c>
      <c r="I449" s="342" t="s">
        <v>229</v>
      </c>
      <c r="J449" s="345">
        <v>43465</v>
      </c>
      <c r="K449" s="345"/>
      <c r="L449" s="345"/>
      <c r="M449" s="342" t="s">
        <v>2853</v>
      </c>
      <c r="N449" s="342" t="s">
        <v>2088</v>
      </c>
      <c r="O449" s="345">
        <v>43476</v>
      </c>
      <c r="P449" s="355" t="s">
        <v>3061</v>
      </c>
      <c r="Q449" s="342" t="s">
        <v>2829</v>
      </c>
      <c r="R449" s="356"/>
      <c r="S449" s="354">
        <f t="shared" si="8"/>
        <v>16</v>
      </c>
    </row>
    <row r="450" spans="1:19" ht="25.5" x14ac:dyDescent="0.2">
      <c r="A450" s="399" t="s">
        <v>4699</v>
      </c>
      <c r="B450" s="400">
        <v>43462</v>
      </c>
      <c r="C450" s="401" t="s">
        <v>2605</v>
      </c>
      <c r="D450" s="401" t="s">
        <v>4700</v>
      </c>
      <c r="E450" s="391" t="s">
        <v>2971</v>
      </c>
      <c r="F450" s="391">
        <v>1</v>
      </c>
      <c r="G450" s="391" t="s">
        <v>2838</v>
      </c>
      <c r="H450" s="391" t="s">
        <v>685</v>
      </c>
      <c r="I450" s="391" t="s">
        <v>229</v>
      </c>
      <c r="J450" s="400">
        <v>43465</v>
      </c>
      <c r="K450" s="400"/>
      <c r="L450" s="400"/>
      <c r="M450" s="391" t="s">
        <v>2853</v>
      </c>
      <c r="N450" s="391" t="s">
        <v>2088</v>
      </c>
      <c r="O450" s="400">
        <v>43479</v>
      </c>
      <c r="P450" s="402" t="s">
        <v>3061</v>
      </c>
      <c r="Q450" s="391" t="s">
        <v>2829</v>
      </c>
      <c r="R450" s="392"/>
      <c r="S450" s="392">
        <f t="shared" si="8"/>
        <v>17</v>
      </c>
    </row>
    <row r="451" spans="1:19" x14ac:dyDescent="0.2">
      <c r="A451" s="340"/>
      <c r="B451" s="345"/>
      <c r="C451" s="341"/>
      <c r="D451" s="341"/>
      <c r="E451" s="342"/>
      <c r="F451" s="342"/>
      <c r="G451" s="342"/>
      <c r="H451" s="342"/>
      <c r="I451" s="342"/>
      <c r="J451" s="345"/>
      <c r="K451" s="345"/>
      <c r="L451" s="345"/>
      <c r="M451" s="342"/>
      <c r="N451" s="342"/>
      <c r="O451" s="345"/>
      <c r="P451" s="355"/>
      <c r="Q451" s="342"/>
      <c r="R451" s="356"/>
      <c r="S451" s="354"/>
    </row>
    <row r="452" spans="1:19" x14ac:dyDescent="0.2">
      <c r="A452" s="338"/>
      <c r="B452" s="339"/>
      <c r="C452" s="343"/>
      <c r="D452" s="343"/>
      <c r="E452" s="344"/>
      <c r="F452" s="344"/>
      <c r="G452" s="344"/>
      <c r="H452" s="344"/>
      <c r="I452" s="344"/>
      <c r="J452" s="339"/>
      <c r="K452" s="339"/>
      <c r="L452" s="339"/>
      <c r="M452" s="344"/>
      <c r="N452" s="344"/>
      <c r="O452" s="339"/>
      <c r="P452" s="353"/>
      <c r="Q452" s="344"/>
      <c r="R452" s="354"/>
      <c r="S452" s="354"/>
    </row>
    <row r="453" spans="1:19" ht="140.25" x14ac:dyDescent="0.2">
      <c r="A453" s="338" t="s">
        <v>4698</v>
      </c>
      <c r="B453" s="508">
        <v>43468</v>
      </c>
      <c r="C453" s="509" t="s">
        <v>4701</v>
      </c>
      <c r="D453" s="343" t="s">
        <v>4702</v>
      </c>
      <c r="E453" s="510" t="s">
        <v>2971</v>
      </c>
      <c r="F453" s="510">
        <v>1</v>
      </c>
      <c r="G453" s="510" t="s">
        <v>2836</v>
      </c>
      <c r="H453" s="510" t="s">
        <v>727</v>
      </c>
      <c r="I453" s="510" t="s">
        <v>229</v>
      </c>
      <c r="J453" s="508">
        <v>43475</v>
      </c>
      <c r="K453" s="508"/>
      <c r="L453" s="508"/>
      <c r="M453" s="510" t="s">
        <v>2853</v>
      </c>
      <c r="N453" s="510" t="s">
        <v>2088</v>
      </c>
      <c r="O453" s="511">
        <v>43468</v>
      </c>
      <c r="P453" s="510" t="s">
        <v>3061</v>
      </c>
      <c r="Q453" s="510" t="s">
        <v>2829</v>
      </c>
      <c r="R453" s="512"/>
      <c r="S453" s="513" t="e">
        <f>Table137[[#This Row],[DATE  CLOSED]]-Table137[[#This Row],[INITIATION DATE]]</f>
        <v>#VALUE!</v>
      </c>
    </row>
    <row r="454" spans="1:19" ht="76.5" x14ac:dyDescent="0.2">
      <c r="A454" s="521" t="s">
        <v>4703</v>
      </c>
      <c r="B454" s="514">
        <v>43469</v>
      </c>
      <c r="C454" s="515" t="s">
        <v>4704</v>
      </c>
      <c r="D454" s="515" t="s">
        <v>4705</v>
      </c>
      <c r="E454" s="516" t="s">
        <v>3667</v>
      </c>
      <c r="F454" s="516">
        <v>1</v>
      </c>
      <c r="G454" s="516" t="s">
        <v>2828</v>
      </c>
      <c r="H454" s="516" t="s">
        <v>4079</v>
      </c>
      <c r="I454" s="516" t="s">
        <v>3211</v>
      </c>
      <c r="J454" s="514">
        <v>43504</v>
      </c>
      <c r="K454" s="514"/>
      <c r="L454" s="514"/>
      <c r="M454" s="342" t="s">
        <v>2853</v>
      </c>
      <c r="N454" s="342" t="s">
        <v>2088</v>
      </c>
      <c r="O454" s="517">
        <v>43480</v>
      </c>
      <c r="P454" s="342" t="s">
        <v>3061</v>
      </c>
      <c r="Q454" s="342" t="s">
        <v>2829</v>
      </c>
      <c r="R454" s="518"/>
      <c r="S454" s="519" t="e">
        <f>Table137[[#This Row],[DATE  CLOSED]]-Table137[[#This Row],[INITIATION DATE]]</f>
        <v>#VALUE!</v>
      </c>
    </row>
    <row r="455" spans="1:19" ht="76.5" x14ac:dyDescent="0.2">
      <c r="A455" s="520" t="s">
        <v>4706</v>
      </c>
      <c r="B455" s="508">
        <v>43472</v>
      </c>
      <c r="C455" s="509" t="s">
        <v>4707</v>
      </c>
      <c r="D455" s="509" t="s">
        <v>3606</v>
      </c>
      <c r="E455" s="510" t="s">
        <v>4208</v>
      </c>
      <c r="F455" s="510">
        <v>1</v>
      </c>
      <c r="G455" s="510" t="s">
        <v>2828</v>
      </c>
      <c r="H455" s="510" t="s">
        <v>4232</v>
      </c>
      <c r="I455" s="510" t="s">
        <v>3211</v>
      </c>
      <c r="J455" s="508">
        <v>43503</v>
      </c>
      <c r="K455" s="508"/>
      <c r="L455" s="508"/>
      <c r="M455" s="510" t="s">
        <v>2853</v>
      </c>
      <c r="N455" s="510" t="s">
        <v>2088</v>
      </c>
      <c r="O455" s="511">
        <v>43474</v>
      </c>
      <c r="P455" s="510" t="s">
        <v>3061</v>
      </c>
      <c r="Q455" s="510" t="s">
        <v>2829</v>
      </c>
      <c r="R455" s="512"/>
      <c r="S455" s="513" t="e">
        <f>Table137[[#This Row],[DATE  CLOSED]]-Table137[[#This Row],[INITIATION DATE]]</f>
        <v>#VALUE!</v>
      </c>
    </row>
    <row r="456" spans="1:19" ht="102" x14ac:dyDescent="0.2">
      <c r="A456" s="521" t="s">
        <v>4708</v>
      </c>
      <c r="B456" s="514">
        <v>43473</v>
      </c>
      <c r="C456" s="515" t="s">
        <v>4709</v>
      </c>
      <c r="D456" s="515" t="s">
        <v>4702</v>
      </c>
      <c r="E456" s="516" t="s">
        <v>2971</v>
      </c>
      <c r="F456" s="516">
        <v>1</v>
      </c>
      <c r="G456" s="516" t="s">
        <v>2836</v>
      </c>
      <c r="H456" s="516" t="s">
        <v>685</v>
      </c>
      <c r="I456" s="516" t="s">
        <v>229</v>
      </c>
      <c r="J456" s="514">
        <v>43496</v>
      </c>
      <c r="K456" s="514">
        <v>44012</v>
      </c>
      <c r="L456" s="514">
        <v>44561</v>
      </c>
      <c r="M456" s="516" t="s">
        <v>2847</v>
      </c>
      <c r="N456" s="516" t="s">
        <v>2912</v>
      </c>
      <c r="O456" s="517"/>
      <c r="P456" s="516"/>
      <c r="Q456" s="516"/>
      <c r="R456" s="518"/>
      <c r="S456" s="519" t="e">
        <f>Table137[[#This Row],[DATE  CLOSED]]-Table137[[#This Row],[INITIATION DATE]]</f>
        <v>#VALUE!</v>
      </c>
    </row>
    <row r="457" spans="1:19" ht="89.25" x14ac:dyDescent="0.2">
      <c r="A457" s="338" t="s">
        <v>4710</v>
      </c>
      <c r="B457" s="508">
        <v>43474</v>
      </c>
      <c r="C457" s="343" t="s">
        <v>4711</v>
      </c>
      <c r="D457" s="343" t="s">
        <v>3606</v>
      </c>
      <c r="E457" s="344" t="s">
        <v>4631</v>
      </c>
      <c r="F457" s="510">
        <v>1</v>
      </c>
      <c r="G457" s="344" t="s">
        <v>2828</v>
      </c>
      <c r="H457" s="344" t="s">
        <v>3423</v>
      </c>
      <c r="I457" s="344" t="s">
        <v>3211</v>
      </c>
      <c r="J457" s="508" t="s">
        <v>2088</v>
      </c>
      <c r="K457" s="508"/>
      <c r="L457" s="508"/>
      <c r="M457" s="344" t="s">
        <v>2853</v>
      </c>
      <c r="N457" s="510" t="s">
        <v>2088</v>
      </c>
      <c r="O457" s="511" t="s">
        <v>2088</v>
      </c>
      <c r="P457" s="510" t="s">
        <v>2088</v>
      </c>
      <c r="Q457" s="510" t="s">
        <v>2837</v>
      </c>
      <c r="R457" s="512" t="s">
        <v>4993</v>
      </c>
      <c r="S457" s="513" t="e">
        <f>Table137[[#This Row],[DATE  CLOSED]]-Table137[[#This Row],[INITIATION DATE]]</f>
        <v>#VALUE!</v>
      </c>
    </row>
    <row r="458" spans="1:19" ht="63.75" x14ac:dyDescent="0.2">
      <c r="A458" s="340" t="s">
        <v>4712</v>
      </c>
      <c r="B458" s="345">
        <v>43476</v>
      </c>
      <c r="C458" s="515" t="s">
        <v>4714</v>
      </c>
      <c r="D458" s="515" t="s">
        <v>4713</v>
      </c>
      <c r="E458" s="342" t="s">
        <v>2971</v>
      </c>
      <c r="F458" s="516">
        <v>1</v>
      </c>
      <c r="G458" s="342" t="s">
        <v>2836</v>
      </c>
      <c r="H458" s="342" t="s">
        <v>2176</v>
      </c>
      <c r="I458" s="342" t="s">
        <v>3211</v>
      </c>
      <c r="J458" s="514">
        <v>43525</v>
      </c>
      <c r="K458" s="514"/>
      <c r="L458" s="514"/>
      <c r="M458" s="342" t="s">
        <v>2853</v>
      </c>
      <c r="N458" s="342" t="s">
        <v>2088</v>
      </c>
      <c r="O458" s="517">
        <v>43511</v>
      </c>
      <c r="P458" s="342" t="s">
        <v>3061</v>
      </c>
      <c r="Q458" s="342" t="s">
        <v>2829</v>
      </c>
      <c r="R458" s="518"/>
      <c r="S458" s="519" t="e">
        <f>Table137[[#This Row],[DATE  CLOSED]]-Table137[[#This Row],[INITIATION DATE]]</f>
        <v>#VALUE!</v>
      </c>
    </row>
    <row r="459" spans="1:19" ht="51" x14ac:dyDescent="0.2">
      <c r="A459" s="338" t="s">
        <v>4715</v>
      </c>
      <c r="B459" s="508">
        <v>43476</v>
      </c>
      <c r="C459" s="509" t="s">
        <v>4716</v>
      </c>
      <c r="D459" s="343" t="s">
        <v>4717</v>
      </c>
      <c r="E459" s="344" t="s">
        <v>3969</v>
      </c>
      <c r="F459" s="510">
        <v>1</v>
      </c>
      <c r="G459" s="344" t="s">
        <v>2828</v>
      </c>
      <c r="H459" s="344" t="s">
        <v>3423</v>
      </c>
      <c r="I459" s="344" t="s">
        <v>3211</v>
      </c>
      <c r="J459" s="508">
        <v>43653</v>
      </c>
      <c r="K459" s="508"/>
      <c r="L459" s="508"/>
      <c r="M459" s="344" t="s">
        <v>2853</v>
      </c>
      <c r="N459" s="510" t="s">
        <v>2088</v>
      </c>
      <c r="O459" s="511">
        <v>43642</v>
      </c>
      <c r="P459" s="510" t="s">
        <v>3061</v>
      </c>
      <c r="Q459" s="510" t="s">
        <v>2835</v>
      </c>
      <c r="R459" s="512"/>
      <c r="S459" s="513" t="e">
        <f>Table137[[#This Row],[DATE  CLOSED]]-Table137[[#This Row],[INITIATION DATE]]</f>
        <v>#VALUE!</v>
      </c>
    </row>
    <row r="460" spans="1:19" ht="51" x14ac:dyDescent="0.2">
      <c r="A460" s="340" t="s">
        <v>4718</v>
      </c>
      <c r="B460" s="514">
        <v>43476</v>
      </c>
      <c r="C460" s="341" t="s">
        <v>4719</v>
      </c>
      <c r="D460" s="341" t="s">
        <v>3606</v>
      </c>
      <c r="E460" s="342" t="s">
        <v>3921</v>
      </c>
      <c r="F460" s="516">
        <v>1</v>
      </c>
      <c r="G460" s="342" t="s">
        <v>2828</v>
      </c>
      <c r="H460" s="342" t="s">
        <v>4163</v>
      </c>
      <c r="I460" s="342" t="s">
        <v>3211</v>
      </c>
      <c r="J460" s="514">
        <v>43756</v>
      </c>
      <c r="K460" s="514">
        <v>43830</v>
      </c>
      <c r="L460" s="514"/>
      <c r="M460" s="342" t="s">
        <v>1056</v>
      </c>
      <c r="N460" s="516" t="s">
        <v>3061</v>
      </c>
      <c r="O460" s="517">
        <v>43966</v>
      </c>
      <c r="P460" s="516" t="s">
        <v>3022</v>
      </c>
      <c r="Q460" s="516" t="s">
        <v>2839</v>
      </c>
      <c r="R460" s="518"/>
      <c r="S460" s="519" t="e">
        <f>Table137[[#This Row],[DATE  CLOSED]]-Table137[[#This Row],[INITIATION DATE]]</f>
        <v>#VALUE!</v>
      </c>
    </row>
    <row r="461" spans="1:19" ht="178.5" x14ac:dyDescent="0.2">
      <c r="A461" s="338" t="s">
        <v>4720</v>
      </c>
      <c r="B461" s="508">
        <v>43479</v>
      </c>
      <c r="C461" s="509" t="s">
        <v>4721</v>
      </c>
      <c r="D461" s="509" t="s">
        <v>4722</v>
      </c>
      <c r="E461" s="510" t="s">
        <v>3586</v>
      </c>
      <c r="F461" s="510">
        <v>1</v>
      </c>
      <c r="G461" s="510" t="s">
        <v>2841</v>
      </c>
      <c r="H461" s="510" t="s">
        <v>685</v>
      </c>
      <c r="I461" s="510" t="s">
        <v>755</v>
      </c>
      <c r="J461" s="508">
        <v>43496</v>
      </c>
      <c r="K461" s="508"/>
      <c r="L461" s="508"/>
      <c r="M461" s="344" t="s">
        <v>2853</v>
      </c>
      <c r="N461" s="344" t="s">
        <v>2088</v>
      </c>
      <c r="O461" s="511">
        <v>43494</v>
      </c>
      <c r="P461" s="344" t="s">
        <v>3061</v>
      </c>
      <c r="Q461" s="344" t="s">
        <v>2829</v>
      </c>
      <c r="R461" s="512"/>
      <c r="S461" s="513" t="e">
        <f>Table137[[#This Row],[DATE  CLOSED]]-Table137[[#This Row],[INITIATION DATE]]</f>
        <v>#VALUE!</v>
      </c>
    </row>
    <row r="462" spans="1:19" ht="51" x14ac:dyDescent="0.2">
      <c r="A462" s="340" t="s">
        <v>4723</v>
      </c>
      <c r="B462" s="514">
        <v>43480</v>
      </c>
      <c r="C462" s="515" t="s">
        <v>4724</v>
      </c>
      <c r="D462" s="515" t="s">
        <v>4725</v>
      </c>
      <c r="E462" s="516" t="s">
        <v>4208</v>
      </c>
      <c r="F462" s="516">
        <v>1</v>
      </c>
      <c r="G462" s="516" t="s">
        <v>2828</v>
      </c>
      <c r="H462" s="516" t="s">
        <v>4232</v>
      </c>
      <c r="I462" s="516" t="s">
        <v>3926</v>
      </c>
      <c r="J462" s="514">
        <v>43496</v>
      </c>
      <c r="K462" s="514"/>
      <c r="L462" s="514"/>
      <c r="M462" s="516" t="s">
        <v>2853</v>
      </c>
      <c r="N462" s="516" t="s">
        <v>2088</v>
      </c>
      <c r="O462" s="517">
        <v>43483</v>
      </c>
      <c r="P462" s="516" t="s">
        <v>3061</v>
      </c>
      <c r="Q462" s="516" t="s">
        <v>2829</v>
      </c>
      <c r="R462" s="518"/>
      <c r="S462" s="519" t="e">
        <f>Table137[[#This Row],[DATE  CLOSED]]-Table137[[#This Row],[INITIATION DATE]]</f>
        <v>#VALUE!</v>
      </c>
    </row>
    <row r="463" spans="1:19" ht="89.25" x14ac:dyDescent="0.2">
      <c r="A463" s="520" t="s">
        <v>4726</v>
      </c>
      <c r="B463" s="508">
        <v>43480</v>
      </c>
      <c r="C463" s="343" t="s">
        <v>4734</v>
      </c>
      <c r="D463" s="343" t="s">
        <v>4729</v>
      </c>
      <c r="E463" s="344" t="s">
        <v>4256</v>
      </c>
      <c r="F463" s="510">
        <v>1</v>
      </c>
      <c r="G463" s="344" t="s">
        <v>2828</v>
      </c>
      <c r="H463" s="344" t="s">
        <v>4232</v>
      </c>
      <c r="I463" s="344" t="s">
        <v>3211</v>
      </c>
      <c r="J463" s="508">
        <v>43570</v>
      </c>
      <c r="K463" s="508"/>
      <c r="L463" s="508"/>
      <c r="M463" s="344" t="s">
        <v>2853</v>
      </c>
      <c r="N463" s="510" t="s">
        <v>2088</v>
      </c>
      <c r="O463" s="511">
        <v>43500</v>
      </c>
      <c r="P463" s="510" t="s">
        <v>3061</v>
      </c>
      <c r="Q463" s="510" t="s">
        <v>2829</v>
      </c>
      <c r="R463" s="512"/>
      <c r="S463" s="513" t="e">
        <f>Table137[[#This Row],[DATE  CLOSED]]-Table137[[#This Row],[INITIATION DATE]]</f>
        <v>#VALUE!</v>
      </c>
    </row>
    <row r="464" spans="1:19" ht="51" x14ac:dyDescent="0.2">
      <c r="A464" s="340" t="s">
        <v>4727</v>
      </c>
      <c r="B464" s="514">
        <v>43480</v>
      </c>
      <c r="C464" s="341" t="s">
        <v>4728</v>
      </c>
      <c r="D464" s="341" t="s">
        <v>4730</v>
      </c>
      <c r="E464" s="342" t="s">
        <v>4242</v>
      </c>
      <c r="F464" s="516">
        <v>1</v>
      </c>
      <c r="G464" s="342" t="s">
        <v>2828</v>
      </c>
      <c r="H464" s="342" t="s">
        <v>4232</v>
      </c>
      <c r="I464" s="342" t="s">
        <v>3211</v>
      </c>
      <c r="J464" s="514">
        <v>43570</v>
      </c>
      <c r="K464" s="514"/>
      <c r="L464" s="514"/>
      <c r="M464" s="342" t="s">
        <v>2853</v>
      </c>
      <c r="N464" s="516" t="s">
        <v>2088</v>
      </c>
      <c r="O464" s="517">
        <v>43487</v>
      </c>
      <c r="P464" s="516" t="s">
        <v>3061</v>
      </c>
      <c r="Q464" s="516" t="s">
        <v>2829</v>
      </c>
      <c r="R464" s="518"/>
      <c r="S464" s="519" t="e">
        <f>Table137[[#This Row],[DATE  CLOSED]]-Table137[[#This Row],[INITIATION DATE]]</f>
        <v>#VALUE!</v>
      </c>
    </row>
    <row r="465" spans="1:19" ht="63.75" x14ac:dyDescent="0.2">
      <c r="A465" s="338" t="s">
        <v>4731</v>
      </c>
      <c r="B465" s="508">
        <v>43482</v>
      </c>
      <c r="C465" s="343" t="s">
        <v>4732</v>
      </c>
      <c r="D465" s="343" t="s">
        <v>3606</v>
      </c>
      <c r="E465" s="344" t="s">
        <v>4733</v>
      </c>
      <c r="F465" s="510">
        <v>1</v>
      </c>
      <c r="G465" s="344" t="s">
        <v>2828</v>
      </c>
      <c r="H465" s="344" t="s">
        <v>4021</v>
      </c>
      <c r="I465" s="344" t="s">
        <v>3211</v>
      </c>
      <c r="J465" s="508">
        <v>43504</v>
      </c>
      <c r="K465" s="508"/>
      <c r="L465" s="508"/>
      <c r="M465" s="344" t="s">
        <v>2853</v>
      </c>
      <c r="N465" s="344" t="s">
        <v>2088</v>
      </c>
      <c r="O465" s="511">
        <v>43500</v>
      </c>
      <c r="P465" s="344" t="s">
        <v>3061</v>
      </c>
      <c r="Q465" s="344" t="s">
        <v>2829</v>
      </c>
      <c r="R465" s="512"/>
      <c r="S465" s="513" t="e">
        <f>Table137[[#This Row],[DATE  CLOSED]]-Table137[[#This Row],[INITIATION DATE]]</f>
        <v>#VALUE!</v>
      </c>
    </row>
    <row r="466" spans="1:19" ht="51" x14ac:dyDescent="0.2">
      <c r="A466" s="340" t="s">
        <v>4740</v>
      </c>
      <c r="B466" s="514">
        <v>43490</v>
      </c>
      <c r="C466" s="515" t="s">
        <v>4741</v>
      </c>
      <c r="D466" s="515" t="s">
        <v>4742</v>
      </c>
      <c r="E466" s="516" t="s">
        <v>2971</v>
      </c>
      <c r="F466" s="516">
        <v>1</v>
      </c>
      <c r="G466" s="516" t="s">
        <v>2841</v>
      </c>
      <c r="H466" s="516" t="s">
        <v>3991</v>
      </c>
      <c r="I466" s="516" t="s">
        <v>229</v>
      </c>
      <c r="J466" s="514">
        <v>43524</v>
      </c>
      <c r="K466" s="514"/>
      <c r="L466" s="514"/>
      <c r="M466" s="342" t="s">
        <v>2853</v>
      </c>
      <c r="N466" s="342" t="s">
        <v>2088</v>
      </c>
      <c r="O466" s="517">
        <v>43507</v>
      </c>
      <c r="P466" s="342" t="s">
        <v>3061</v>
      </c>
      <c r="Q466" s="342" t="s">
        <v>2829</v>
      </c>
      <c r="R466" s="518"/>
      <c r="S466" s="519" t="e">
        <f>Table137[[#This Row],[DATE  CLOSED]]-Table137[[#This Row],[INITIATION DATE]]</f>
        <v>#VALUE!</v>
      </c>
    </row>
    <row r="467" spans="1:19" ht="114.75" x14ac:dyDescent="0.2">
      <c r="A467" s="520" t="s">
        <v>4743</v>
      </c>
      <c r="B467" s="508">
        <v>43490</v>
      </c>
      <c r="C467" s="509" t="s">
        <v>4757</v>
      </c>
      <c r="D467" s="343" t="s">
        <v>3307</v>
      </c>
      <c r="E467" s="344" t="s">
        <v>2971</v>
      </c>
      <c r="F467" s="510">
        <v>1</v>
      </c>
      <c r="G467" s="344" t="s">
        <v>2836</v>
      </c>
      <c r="H467" s="344" t="s">
        <v>834</v>
      </c>
      <c r="I467" s="344" t="s">
        <v>229</v>
      </c>
      <c r="J467" s="508">
        <v>43616</v>
      </c>
      <c r="K467" s="508"/>
      <c r="L467" s="508"/>
      <c r="M467" s="344" t="s">
        <v>2853</v>
      </c>
      <c r="N467" s="344" t="s">
        <v>3022</v>
      </c>
      <c r="O467" s="443">
        <v>43580</v>
      </c>
      <c r="P467" s="344" t="s">
        <v>3061</v>
      </c>
      <c r="Q467" s="344" t="s">
        <v>2832</v>
      </c>
      <c r="R467" s="512"/>
      <c r="S467" s="513" t="e">
        <f>Table137[[#This Row],[DATE  CLOSED]]-Table137[[#This Row],[INITIATION DATE]]</f>
        <v>#VALUE!</v>
      </c>
    </row>
    <row r="468" spans="1:19" ht="89.25" x14ac:dyDescent="0.2">
      <c r="A468" s="521" t="s">
        <v>4744</v>
      </c>
      <c r="B468" s="514">
        <v>43496</v>
      </c>
      <c r="C468" s="515" t="s">
        <v>4747</v>
      </c>
      <c r="D468" s="515" t="s">
        <v>4746</v>
      </c>
      <c r="E468" s="516" t="s">
        <v>2971</v>
      </c>
      <c r="F468" s="516">
        <v>1</v>
      </c>
      <c r="G468" s="516" t="s">
        <v>2836</v>
      </c>
      <c r="H468" s="516" t="s">
        <v>1339</v>
      </c>
      <c r="I468" s="516" t="s">
        <v>229</v>
      </c>
      <c r="J468" s="514">
        <v>43524</v>
      </c>
      <c r="K468" s="514"/>
      <c r="L468" s="514"/>
      <c r="M468" s="342" t="s">
        <v>2853</v>
      </c>
      <c r="N468" s="342" t="s">
        <v>2088</v>
      </c>
      <c r="O468" s="517">
        <v>43511</v>
      </c>
      <c r="P468" s="342" t="s">
        <v>3061</v>
      </c>
      <c r="Q468" s="342" t="s">
        <v>2829</v>
      </c>
      <c r="R468" s="518"/>
      <c r="S468" s="519" t="e">
        <f>Table137[[#This Row],[DATE  CLOSED]]-Table137[[#This Row],[INITIATION DATE]]</f>
        <v>#VALUE!</v>
      </c>
    </row>
    <row r="469" spans="1:19" ht="38.25" x14ac:dyDescent="0.2">
      <c r="A469" s="520" t="s">
        <v>4745</v>
      </c>
      <c r="B469" s="508">
        <v>43496</v>
      </c>
      <c r="C469" s="509" t="s">
        <v>4748</v>
      </c>
      <c r="D469" s="509" t="s">
        <v>4749</v>
      </c>
      <c r="E469" s="510" t="s">
        <v>2971</v>
      </c>
      <c r="F469" s="510">
        <v>1</v>
      </c>
      <c r="G469" s="510" t="s">
        <v>2836</v>
      </c>
      <c r="H469" s="510" t="s">
        <v>4502</v>
      </c>
      <c r="I469" s="510" t="s">
        <v>229</v>
      </c>
      <c r="J469" s="508">
        <v>43524</v>
      </c>
      <c r="K469" s="508"/>
      <c r="L469" s="508"/>
      <c r="M469" s="344" t="s">
        <v>2853</v>
      </c>
      <c r="N469" s="344" t="s">
        <v>3022</v>
      </c>
      <c r="O469" s="511">
        <v>43726</v>
      </c>
      <c r="P469" s="344" t="s">
        <v>3022</v>
      </c>
      <c r="Q469" s="344" t="s">
        <v>2837</v>
      </c>
      <c r="R469" s="512"/>
      <c r="S469" s="513" t="e">
        <f>Table137[[#This Row],[DATE  CLOSED]]-Table137[[#This Row],[INITIATION DATE]]</f>
        <v>#VALUE!</v>
      </c>
    </row>
    <row r="470" spans="1:19" ht="51" x14ac:dyDescent="0.2">
      <c r="A470" s="521" t="s">
        <v>4751</v>
      </c>
      <c r="B470" s="514">
        <v>43497</v>
      </c>
      <c r="C470" s="515" t="s">
        <v>4754</v>
      </c>
      <c r="D470" s="515" t="s">
        <v>4755</v>
      </c>
      <c r="E470" s="516" t="s">
        <v>2971</v>
      </c>
      <c r="F470" s="516">
        <v>1</v>
      </c>
      <c r="G470" s="516" t="s">
        <v>2841</v>
      </c>
      <c r="H470" s="516" t="s">
        <v>4021</v>
      </c>
      <c r="I470" s="516" t="s">
        <v>3211</v>
      </c>
      <c r="J470" s="514">
        <v>43524</v>
      </c>
      <c r="K470" s="514"/>
      <c r="L470" s="514"/>
      <c r="M470" s="516" t="s">
        <v>2853</v>
      </c>
      <c r="N470" s="516" t="s">
        <v>2088</v>
      </c>
      <c r="O470" s="517">
        <v>43528</v>
      </c>
      <c r="P470" s="516" t="s">
        <v>3022</v>
      </c>
      <c r="Q470" s="516" t="s">
        <v>2832</v>
      </c>
      <c r="R470" s="518"/>
      <c r="S470" s="519" t="e">
        <f>Table137[[#This Row],[DATE  CLOSED]]-Table137[[#This Row],[INITIATION DATE]]</f>
        <v>#VALUE!</v>
      </c>
    </row>
    <row r="471" spans="1:19" ht="89.25" x14ac:dyDescent="0.2">
      <c r="A471" s="520" t="s">
        <v>4752</v>
      </c>
      <c r="B471" s="508">
        <v>43500</v>
      </c>
      <c r="C471" s="509" t="s">
        <v>4753</v>
      </c>
      <c r="D471" s="509" t="s">
        <v>4141</v>
      </c>
      <c r="E471" s="510" t="s">
        <v>2971</v>
      </c>
      <c r="F471" s="510">
        <v>1</v>
      </c>
      <c r="G471" s="510" t="s">
        <v>2841</v>
      </c>
      <c r="H471" s="510" t="s">
        <v>1339</v>
      </c>
      <c r="I471" s="510" t="s">
        <v>229</v>
      </c>
      <c r="J471" s="508">
        <v>43524</v>
      </c>
      <c r="K471" s="508"/>
      <c r="L471" s="508"/>
      <c r="M471" s="510" t="s">
        <v>2853</v>
      </c>
      <c r="N471" s="510" t="s">
        <v>2088</v>
      </c>
      <c r="O471" s="511">
        <v>43522</v>
      </c>
      <c r="P471" s="510" t="s">
        <v>3061</v>
      </c>
      <c r="Q471" s="510" t="s">
        <v>2829</v>
      </c>
      <c r="R471" s="512"/>
      <c r="S471" s="513" t="e">
        <f>Table137[[#This Row],[DATE  CLOSED]]-Table137[[#This Row],[INITIATION DATE]]</f>
        <v>#VALUE!</v>
      </c>
    </row>
    <row r="472" spans="1:19" ht="51" x14ac:dyDescent="0.2">
      <c r="A472" s="340" t="s">
        <v>4758</v>
      </c>
      <c r="B472" s="514">
        <v>43503</v>
      </c>
      <c r="C472" s="341" t="s">
        <v>4759</v>
      </c>
      <c r="D472" s="341" t="s">
        <v>3518</v>
      </c>
      <c r="E472" s="342" t="s">
        <v>4649</v>
      </c>
      <c r="F472" s="516">
        <v>1</v>
      </c>
      <c r="G472" s="342" t="s">
        <v>2828</v>
      </c>
      <c r="H472" s="342" t="s">
        <v>4021</v>
      </c>
      <c r="I472" s="342" t="s">
        <v>3211</v>
      </c>
      <c r="J472" s="514">
        <v>43531</v>
      </c>
      <c r="K472" s="514"/>
      <c r="L472" s="514"/>
      <c r="M472" s="342" t="s">
        <v>2853</v>
      </c>
      <c r="N472" s="516" t="s">
        <v>2088</v>
      </c>
      <c r="O472" s="517">
        <v>43507</v>
      </c>
      <c r="P472" s="516" t="s">
        <v>3061</v>
      </c>
      <c r="Q472" s="516" t="s">
        <v>2829</v>
      </c>
      <c r="R472" s="518"/>
      <c r="S472" s="519" t="e">
        <f>Table137[[#This Row],[DATE  CLOSED]]-Table137[[#This Row],[INITIATION DATE]]</f>
        <v>#VALUE!</v>
      </c>
    </row>
    <row r="473" spans="1:19" ht="76.5" x14ac:dyDescent="0.2">
      <c r="A473" s="338" t="s">
        <v>4760</v>
      </c>
      <c r="B473" s="508">
        <v>43508</v>
      </c>
      <c r="C473" s="509" t="s">
        <v>4761</v>
      </c>
      <c r="D473" s="509" t="s">
        <v>4762</v>
      </c>
      <c r="E473" s="344" t="s">
        <v>4174</v>
      </c>
      <c r="F473" s="510">
        <v>1</v>
      </c>
      <c r="G473" s="344" t="s">
        <v>2828</v>
      </c>
      <c r="H473" s="344" t="s">
        <v>615</v>
      </c>
      <c r="I473" s="344" t="s">
        <v>3211</v>
      </c>
      <c r="J473" s="508">
        <v>43524</v>
      </c>
      <c r="K473" s="508"/>
      <c r="L473" s="508"/>
      <c r="M473" s="344" t="s">
        <v>2853</v>
      </c>
      <c r="N473" s="510" t="s">
        <v>2088</v>
      </c>
      <c r="O473" s="511">
        <v>43511</v>
      </c>
      <c r="P473" s="510" t="s">
        <v>3061</v>
      </c>
      <c r="Q473" s="510" t="s">
        <v>2829</v>
      </c>
      <c r="R473" s="512"/>
      <c r="S473" s="513" t="e">
        <f>Table137[[#This Row],[DATE  CLOSED]]-Table137[[#This Row],[INITIATION DATE]]</f>
        <v>#VALUE!</v>
      </c>
    </row>
    <row r="474" spans="1:19" ht="89.25" x14ac:dyDescent="0.2">
      <c r="A474" s="340" t="s">
        <v>4763</v>
      </c>
      <c r="B474" s="514">
        <v>43509</v>
      </c>
      <c r="C474" s="515" t="s">
        <v>4764</v>
      </c>
      <c r="D474" s="515" t="s">
        <v>4617</v>
      </c>
      <c r="E474" s="516" t="s">
        <v>3519</v>
      </c>
      <c r="F474" s="516">
        <v>1</v>
      </c>
      <c r="G474" s="516" t="s">
        <v>2828</v>
      </c>
      <c r="H474" s="516" t="s">
        <v>4079</v>
      </c>
      <c r="I474" s="516" t="s">
        <v>3926</v>
      </c>
      <c r="J474" s="514">
        <v>43537</v>
      </c>
      <c r="K474" s="514"/>
      <c r="L474" s="514"/>
      <c r="M474" s="516" t="s">
        <v>2853</v>
      </c>
      <c r="N474" s="516" t="s">
        <v>2088</v>
      </c>
      <c r="O474" s="517">
        <v>43529</v>
      </c>
      <c r="P474" s="516" t="s">
        <v>3061</v>
      </c>
      <c r="Q474" s="516" t="s">
        <v>2829</v>
      </c>
      <c r="R474" s="518"/>
      <c r="S474" s="519" t="e">
        <f>Table137[[#This Row],[DATE  CLOSED]]-Table137[[#This Row],[INITIATION DATE]]</f>
        <v>#VALUE!</v>
      </c>
    </row>
    <row r="475" spans="1:19" ht="38.25" x14ac:dyDescent="0.2">
      <c r="A475" s="338" t="s">
        <v>4767</v>
      </c>
      <c r="B475" s="508">
        <v>43514</v>
      </c>
      <c r="C475" s="509" t="s">
        <v>4768</v>
      </c>
      <c r="D475" s="509" t="s">
        <v>4749</v>
      </c>
      <c r="E475" s="344" t="s">
        <v>2971</v>
      </c>
      <c r="F475" s="510">
        <v>1</v>
      </c>
      <c r="G475" s="344" t="s">
        <v>2836</v>
      </c>
      <c r="H475" s="344" t="s">
        <v>4502</v>
      </c>
      <c r="I475" s="344" t="s">
        <v>229</v>
      </c>
      <c r="J475" s="508">
        <v>43524</v>
      </c>
      <c r="K475" s="508"/>
      <c r="L475" s="508"/>
      <c r="M475" s="344" t="s">
        <v>2853</v>
      </c>
      <c r="N475" s="510" t="s">
        <v>2088</v>
      </c>
      <c r="O475" s="511">
        <v>43726</v>
      </c>
      <c r="P475" s="510" t="s">
        <v>3022</v>
      </c>
      <c r="Q475" s="510" t="s">
        <v>2837</v>
      </c>
      <c r="R475" s="512"/>
      <c r="S475" s="513" t="e">
        <f>Table137[[#This Row],[DATE  CLOSED]]-Table137[[#This Row],[INITIATION DATE]]</f>
        <v>#VALUE!</v>
      </c>
    </row>
    <row r="476" spans="1:19" ht="51" x14ac:dyDescent="0.2">
      <c r="A476" s="340" t="s">
        <v>4769</v>
      </c>
      <c r="B476" s="514">
        <v>43514</v>
      </c>
      <c r="C476" s="341" t="s">
        <v>4770</v>
      </c>
      <c r="D476" s="341" t="s">
        <v>4771</v>
      </c>
      <c r="E476" s="342" t="s">
        <v>4733</v>
      </c>
      <c r="F476" s="516">
        <v>1</v>
      </c>
      <c r="G476" s="342" t="s">
        <v>2828</v>
      </c>
      <c r="H476" s="342" t="s">
        <v>615</v>
      </c>
      <c r="I476" s="342" t="s">
        <v>3211</v>
      </c>
      <c r="J476" s="514">
        <v>43528</v>
      </c>
      <c r="K476" s="514"/>
      <c r="L476" s="514"/>
      <c r="M476" s="342" t="s">
        <v>2853</v>
      </c>
      <c r="N476" s="516" t="s">
        <v>2088</v>
      </c>
      <c r="O476" s="517">
        <v>43521</v>
      </c>
      <c r="P476" s="516" t="s">
        <v>3061</v>
      </c>
      <c r="Q476" s="516" t="s">
        <v>2829</v>
      </c>
      <c r="R476" s="518"/>
      <c r="S476" s="519" t="e">
        <f>Table137[[#This Row],[DATE  CLOSED]]-Table137[[#This Row],[INITIATION DATE]]</f>
        <v>#VALUE!</v>
      </c>
    </row>
    <row r="477" spans="1:19" ht="63.75" x14ac:dyDescent="0.2">
      <c r="A477" s="338" t="s">
        <v>4772</v>
      </c>
      <c r="B477" s="508">
        <v>43514</v>
      </c>
      <c r="C477" s="343" t="s">
        <v>4773</v>
      </c>
      <c r="D477" s="343" t="s">
        <v>4774</v>
      </c>
      <c r="E477" s="344" t="s">
        <v>3323</v>
      </c>
      <c r="F477" s="510">
        <v>1</v>
      </c>
      <c r="G477" s="344" t="s">
        <v>2828</v>
      </c>
      <c r="H477" s="344" t="s">
        <v>4079</v>
      </c>
      <c r="I477" s="344" t="s">
        <v>3211</v>
      </c>
      <c r="J477" s="508">
        <v>43524</v>
      </c>
      <c r="K477" s="508"/>
      <c r="L477" s="508"/>
      <c r="M477" s="344" t="s">
        <v>2853</v>
      </c>
      <c r="N477" s="510" t="s">
        <v>2088</v>
      </c>
      <c r="O477" s="511">
        <v>43761</v>
      </c>
      <c r="P477" s="510" t="s">
        <v>3061</v>
      </c>
      <c r="Q477" s="510" t="s">
        <v>2829</v>
      </c>
      <c r="R477" s="512" t="s">
        <v>5166</v>
      </c>
      <c r="S477" s="513" t="e">
        <f>Table137[[#This Row],[DATE  CLOSED]]-Table137[[#This Row],[INITIATION DATE]]</f>
        <v>#VALUE!</v>
      </c>
    </row>
    <row r="478" spans="1:19" ht="89.25" x14ac:dyDescent="0.2">
      <c r="A478" s="340" t="s">
        <v>4775</v>
      </c>
      <c r="B478" s="514">
        <v>43515</v>
      </c>
      <c r="C478" s="341" t="s">
        <v>4776</v>
      </c>
      <c r="D478" s="341" t="s">
        <v>4777</v>
      </c>
      <c r="E478" s="342" t="s">
        <v>2971</v>
      </c>
      <c r="F478" s="516">
        <v>1</v>
      </c>
      <c r="G478" s="342" t="s">
        <v>2828</v>
      </c>
      <c r="H478" s="342" t="s">
        <v>3227</v>
      </c>
      <c r="I478" s="342" t="s">
        <v>3211</v>
      </c>
      <c r="J478" s="514">
        <v>43545</v>
      </c>
      <c r="K478" s="514"/>
      <c r="L478" s="514"/>
      <c r="M478" s="342" t="s">
        <v>2853</v>
      </c>
      <c r="N478" s="342" t="s">
        <v>2088</v>
      </c>
      <c r="O478" s="517">
        <v>43525</v>
      </c>
      <c r="P478" s="342" t="s">
        <v>3061</v>
      </c>
      <c r="Q478" s="342" t="s">
        <v>2829</v>
      </c>
      <c r="R478" s="518"/>
      <c r="S478" s="519" t="e">
        <f>Table137[[#This Row],[DATE  CLOSED]]-Table137[[#This Row],[INITIATION DATE]]</f>
        <v>#VALUE!</v>
      </c>
    </row>
    <row r="479" spans="1:19" ht="51" x14ac:dyDescent="0.2">
      <c r="A479" s="520" t="s">
        <v>4778</v>
      </c>
      <c r="B479" s="508">
        <v>43515</v>
      </c>
      <c r="C479" s="343" t="s">
        <v>4779</v>
      </c>
      <c r="D479" s="343" t="s">
        <v>4780</v>
      </c>
      <c r="E479" s="344" t="s">
        <v>2971</v>
      </c>
      <c r="F479" s="510">
        <v>1</v>
      </c>
      <c r="G479" s="344" t="s">
        <v>2841</v>
      </c>
      <c r="H479" s="344" t="s">
        <v>486</v>
      </c>
      <c r="I479" s="344" t="s">
        <v>229</v>
      </c>
      <c r="J479" s="508">
        <v>43555</v>
      </c>
      <c r="K479" s="508"/>
      <c r="L479" s="508"/>
      <c r="M479" s="344" t="s">
        <v>2853</v>
      </c>
      <c r="N479" s="344" t="s">
        <v>2088</v>
      </c>
      <c r="O479" s="511">
        <v>43539</v>
      </c>
      <c r="P479" s="344" t="s">
        <v>3061</v>
      </c>
      <c r="Q479" s="344" t="s">
        <v>2829</v>
      </c>
      <c r="R479" s="512"/>
      <c r="S479" s="513" t="e">
        <f>Table137[[#This Row],[DATE  CLOSED]]-Table137[[#This Row],[INITIATION DATE]]</f>
        <v>#VALUE!</v>
      </c>
    </row>
    <row r="480" spans="1:19" ht="51" x14ac:dyDescent="0.2">
      <c r="A480" s="521" t="s">
        <v>4781</v>
      </c>
      <c r="B480" s="514">
        <v>43517</v>
      </c>
      <c r="C480" s="515" t="s">
        <v>4782</v>
      </c>
      <c r="D480" s="515" t="s">
        <v>3225</v>
      </c>
      <c r="E480" s="516" t="s">
        <v>2971</v>
      </c>
      <c r="F480" s="516">
        <v>1</v>
      </c>
      <c r="G480" s="516" t="s">
        <v>2841</v>
      </c>
      <c r="H480" s="516" t="s">
        <v>486</v>
      </c>
      <c r="I480" s="516" t="s">
        <v>229</v>
      </c>
      <c r="J480" s="514">
        <v>43555</v>
      </c>
      <c r="K480" s="514"/>
      <c r="L480" s="514"/>
      <c r="M480" s="516" t="s">
        <v>2853</v>
      </c>
      <c r="N480" s="516" t="s">
        <v>2088</v>
      </c>
      <c r="O480" s="517">
        <v>43538</v>
      </c>
      <c r="P480" s="516" t="s">
        <v>3061</v>
      </c>
      <c r="Q480" s="516" t="s">
        <v>2829</v>
      </c>
      <c r="R480" s="518"/>
      <c r="S480" s="519" t="e">
        <f>Table137[[#This Row],[DATE  CLOSED]]-Table137[[#This Row],[INITIATION DATE]]</f>
        <v>#VALUE!</v>
      </c>
    </row>
    <row r="481" spans="1:19" ht="153" x14ac:dyDescent="0.2">
      <c r="A481" s="520" t="s">
        <v>4783</v>
      </c>
      <c r="B481" s="508">
        <v>43517</v>
      </c>
      <c r="C481" s="509" t="s">
        <v>4786</v>
      </c>
      <c r="D481" s="509" t="s">
        <v>4787</v>
      </c>
      <c r="E481" s="510" t="s">
        <v>2971</v>
      </c>
      <c r="F481" s="510">
        <v>1</v>
      </c>
      <c r="G481" s="510" t="s">
        <v>2836</v>
      </c>
      <c r="H481" s="510" t="s">
        <v>685</v>
      </c>
      <c r="I481" s="510" t="s">
        <v>229</v>
      </c>
      <c r="J481" s="508">
        <v>43524</v>
      </c>
      <c r="K481" s="508">
        <v>44012</v>
      </c>
      <c r="L481" s="508"/>
      <c r="M481" s="344" t="s">
        <v>5969</v>
      </c>
      <c r="N481" s="344" t="s">
        <v>2912</v>
      </c>
      <c r="O481" s="511">
        <v>44230</v>
      </c>
      <c r="P481" s="344" t="s">
        <v>2912</v>
      </c>
      <c r="Q481" s="344" t="s">
        <v>5989</v>
      </c>
      <c r="R481" s="512" t="s">
        <v>5990</v>
      </c>
      <c r="S481" s="513" t="e">
        <f>Table137[[#This Row],[DATE  CLOSED]]-Table137[[#This Row],[INITIATION DATE]]</f>
        <v>#VALUE!</v>
      </c>
    </row>
    <row r="482" spans="1:19" ht="38.25" x14ac:dyDescent="0.2">
      <c r="A482" s="521" t="s">
        <v>4784</v>
      </c>
      <c r="B482" s="514">
        <v>43517</v>
      </c>
      <c r="C482" s="515" t="s">
        <v>4788</v>
      </c>
      <c r="D482" s="515" t="s">
        <v>4790</v>
      </c>
      <c r="E482" s="516" t="s">
        <v>2971</v>
      </c>
      <c r="F482" s="516">
        <v>1</v>
      </c>
      <c r="G482" s="516" t="s">
        <v>2838</v>
      </c>
      <c r="H482" s="516" t="s">
        <v>685</v>
      </c>
      <c r="I482" s="516" t="s">
        <v>229</v>
      </c>
      <c r="J482" s="514">
        <v>43524</v>
      </c>
      <c r="K482" s="514"/>
      <c r="L482" s="514"/>
      <c r="M482" s="342" t="s">
        <v>2853</v>
      </c>
      <c r="N482" s="342" t="s">
        <v>2088</v>
      </c>
      <c r="O482" s="517">
        <v>43495</v>
      </c>
      <c r="P482" s="342" t="s">
        <v>2088</v>
      </c>
      <c r="Q482" s="342" t="s">
        <v>2829</v>
      </c>
      <c r="R482" s="518" t="s">
        <v>4797</v>
      </c>
      <c r="S482" s="519" t="e">
        <f>Table137[[#This Row],[DATE  CLOSED]]-Table137[[#This Row],[INITIATION DATE]]</f>
        <v>#VALUE!</v>
      </c>
    </row>
    <row r="483" spans="1:19" ht="51" x14ac:dyDescent="0.2">
      <c r="A483" s="520" t="s">
        <v>4785</v>
      </c>
      <c r="B483" s="508">
        <v>43517</v>
      </c>
      <c r="C483" s="509" t="s">
        <v>4788</v>
      </c>
      <c r="D483" s="509" t="s">
        <v>4789</v>
      </c>
      <c r="E483" s="510" t="s">
        <v>2971</v>
      </c>
      <c r="F483" s="510">
        <v>1</v>
      </c>
      <c r="G483" s="510" t="s">
        <v>2838</v>
      </c>
      <c r="H483" s="510" t="s">
        <v>685</v>
      </c>
      <c r="I483" s="510" t="s">
        <v>229</v>
      </c>
      <c r="J483" s="508">
        <v>43585</v>
      </c>
      <c r="K483" s="508"/>
      <c r="L483" s="508"/>
      <c r="M483" s="510" t="s">
        <v>2853</v>
      </c>
      <c r="N483" s="510" t="s">
        <v>2088</v>
      </c>
      <c r="O483" s="511">
        <v>43556</v>
      </c>
      <c r="P483" s="510" t="s">
        <v>3061</v>
      </c>
      <c r="Q483" s="510" t="s">
        <v>2832</v>
      </c>
      <c r="R483" s="512"/>
      <c r="S483" s="513" t="e">
        <f>Table137[[#This Row],[DATE  CLOSED]]-Table137[[#This Row],[INITIATION DATE]]</f>
        <v>#VALUE!</v>
      </c>
    </row>
    <row r="484" spans="1:19" ht="51" x14ac:dyDescent="0.2">
      <c r="A484" s="521" t="s">
        <v>4791</v>
      </c>
      <c r="B484" s="514">
        <v>43521</v>
      </c>
      <c r="C484" s="515" t="s">
        <v>4792</v>
      </c>
      <c r="D484" s="515" t="s">
        <v>4793</v>
      </c>
      <c r="E484" s="516" t="s">
        <v>3335</v>
      </c>
      <c r="F484" s="516">
        <v>1</v>
      </c>
      <c r="G484" s="516" t="s">
        <v>2828</v>
      </c>
      <c r="H484" s="516" t="s">
        <v>4079</v>
      </c>
      <c r="I484" s="516" t="s">
        <v>3211</v>
      </c>
      <c r="J484" s="514">
        <v>43861</v>
      </c>
      <c r="K484" s="514"/>
      <c r="L484" s="514"/>
      <c r="M484" s="516" t="s">
        <v>2853</v>
      </c>
      <c r="N484" s="516" t="s">
        <v>2088</v>
      </c>
      <c r="O484" s="517">
        <v>43837</v>
      </c>
      <c r="P484" s="516" t="s">
        <v>3061</v>
      </c>
      <c r="Q484" s="516" t="s">
        <v>2837</v>
      </c>
      <c r="R484" s="518"/>
      <c r="S484" s="519" t="e">
        <f>Table137[[#This Row],[DATE  CLOSED]]-Table137[[#This Row],[INITIATION DATE]]</f>
        <v>#VALUE!</v>
      </c>
    </row>
    <row r="485" spans="1:19" ht="38.25" x14ac:dyDescent="0.2">
      <c r="A485" s="520" t="s">
        <v>4794</v>
      </c>
      <c r="B485" s="508">
        <v>43522</v>
      </c>
      <c r="C485" s="509" t="s">
        <v>4795</v>
      </c>
      <c r="D485" s="509" t="s">
        <v>3225</v>
      </c>
      <c r="E485" s="510" t="s">
        <v>2971</v>
      </c>
      <c r="F485" s="510">
        <v>1</v>
      </c>
      <c r="G485" s="510" t="s">
        <v>2841</v>
      </c>
      <c r="H485" s="510" t="s">
        <v>4796</v>
      </c>
      <c r="I485" s="510" t="s">
        <v>229</v>
      </c>
      <c r="J485" s="508">
        <v>43555</v>
      </c>
      <c r="K485" s="508"/>
      <c r="L485" s="508"/>
      <c r="M485" s="510" t="s">
        <v>2853</v>
      </c>
      <c r="N485" s="510" t="s">
        <v>2088</v>
      </c>
      <c r="O485" s="511">
        <v>43538</v>
      </c>
      <c r="P485" s="510" t="s">
        <v>3061</v>
      </c>
      <c r="Q485" s="510" t="s">
        <v>2829</v>
      </c>
      <c r="R485" s="512"/>
      <c r="S485" s="513" t="e">
        <f>Table137[[#This Row],[DATE  CLOSED]]-Table137[[#This Row],[INITIATION DATE]]</f>
        <v>#VALUE!</v>
      </c>
    </row>
    <row r="486" spans="1:19" ht="38.25" x14ac:dyDescent="0.2">
      <c r="A486" s="521" t="s">
        <v>4798</v>
      </c>
      <c r="B486" s="514">
        <v>43522</v>
      </c>
      <c r="C486" s="515" t="s">
        <v>4799</v>
      </c>
      <c r="D486" s="515" t="s">
        <v>4800</v>
      </c>
      <c r="E486" s="516" t="s">
        <v>2971</v>
      </c>
      <c r="F486" s="516">
        <v>1</v>
      </c>
      <c r="G486" s="516" t="s">
        <v>2841</v>
      </c>
      <c r="H486" s="516" t="s">
        <v>3423</v>
      </c>
      <c r="I486" s="516" t="s">
        <v>3211</v>
      </c>
      <c r="J486" s="514">
        <v>43555</v>
      </c>
      <c r="K486" s="514"/>
      <c r="L486" s="514"/>
      <c r="M486" s="516" t="s">
        <v>2853</v>
      </c>
      <c r="N486" s="516" t="s">
        <v>2088</v>
      </c>
      <c r="O486" s="517">
        <v>43553</v>
      </c>
      <c r="P486" s="516" t="s">
        <v>3061</v>
      </c>
      <c r="Q486" s="516" t="s">
        <v>2832</v>
      </c>
      <c r="R486" s="518"/>
      <c r="S486" s="519" t="e">
        <f>Table137[[#This Row],[DATE  CLOSED]]-Table137[[#This Row],[INITIATION DATE]]</f>
        <v>#VALUE!</v>
      </c>
    </row>
    <row r="487" spans="1:19" ht="51" x14ac:dyDescent="0.2">
      <c r="A487" s="520" t="s">
        <v>4801</v>
      </c>
      <c r="B487" s="508">
        <v>43525</v>
      </c>
      <c r="C487" s="509" t="s">
        <v>4802</v>
      </c>
      <c r="D487" s="509" t="s">
        <v>4803</v>
      </c>
      <c r="E487" s="510" t="s">
        <v>3825</v>
      </c>
      <c r="F487" s="510">
        <v>1</v>
      </c>
      <c r="G487" s="510" t="s">
        <v>2828</v>
      </c>
      <c r="H487" s="510" t="s">
        <v>4079</v>
      </c>
      <c r="I487" s="510" t="s">
        <v>3211</v>
      </c>
      <c r="J487" s="508">
        <v>43537</v>
      </c>
      <c r="K487" s="508"/>
      <c r="L487" s="508"/>
      <c r="M487" s="344" t="s">
        <v>2853</v>
      </c>
      <c r="N487" s="344" t="s">
        <v>2088</v>
      </c>
      <c r="O487" s="511">
        <v>43535</v>
      </c>
      <c r="P487" s="344" t="s">
        <v>3061</v>
      </c>
      <c r="Q487" s="344" t="s">
        <v>2829</v>
      </c>
      <c r="R487" s="512"/>
      <c r="S487" s="513" t="e">
        <f>Table137[[#This Row],[DATE  CLOSED]]-Table137[[#This Row],[INITIATION DATE]]</f>
        <v>#VALUE!</v>
      </c>
    </row>
    <row r="488" spans="1:19" ht="63.75" x14ac:dyDescent="0.2">
      <c r="A488" s="521" t="s">
        <v>4804</v>
      </c>
      <c r="B488" s="514">
        <v>43525</v>
      </c>
      <c r="C488" s="341" t="s">
        <v>4805</v>
      </c>
      <c r="D488" s="341" t="s">
        <v>4806</v>
      </c>
      <c r="E488" s="342" t="s">
        <v>2971</v>
      </c>
      <c r="F488" s="516">
        <v>1</v>
      </c>
      <c r="G488" s="342" t="s">
        <v>2838</v>
      </c>
      <c r="H488" s="342" t="s">
        <v>685</v>
      </c>
      <c r="I488" s="342" t="s">
        <v>229</v>
      </c>
      <c r="J488" s="514">
        <v>43585</v>
      </c>
      <c r="K488" s="514">
        <v>44012</v>
      </c>
      <c r="L488" s="514"/>
      <c r="M488" s="342" t="s">
        <v>2847</v>
      </c>
      <c r="N488" s="516"/>
      <c r="O488" s="517"/>
      <c r="P488" s="516"/>
      <c r="Q488" s="516"/>
      <c r="R488" s="518"/>
      <c r="S488" s="519" t="e">
        <f>Table137[[#This Row],[DATE  CLOSED]]-Table137[[#This Row],[INITIATION DATE]]</f>
        <v>#VALUE!</v>
      </c>
    </row>
    <row r="489" spans="1:19" ht="191.25" x14ac:dyDescent="0.2">
      <c r="A489" s="520" t="s">
        <v>4807</v>
      </c>
      <c r="B489" s="508">
        <v>43529</v>
      </c>
      <c r="C489" s="509" t="s">
        <v>4809</v>
      </c>
      <c r="D489" s="509" t="s">
        <v>4808</v>
      </c>
      <c r="E489" s="510" t="s">
        <v>3825</v>
      </c>
      <c r="F489" s="510">
        <v>1</v>
      </c>
      <c r="G489" s="510" t="s">
        <v>2828</v>
      </c>
      <c r="H489" s="510" t="s">
        <v>1351</v>
      </c>
      <c r="I489" s="510" t="s">
        <v>3211</v>
      </c>
      <c r="J489" s="508">
        <v>43560</v>
      </c>
      <c r="K489" s="508"/>
      <c r="L489" s="508"/>
      <c r="M489" s="510" t="s">
        <v>2853</v>
      </c>
      <c r="N489" s="510" t="s">
        <v>2088</v>
      </c>
      <c r="O489" s="511">
        <v>43538</v>
      </c>
      <c r="P489" s="510" t="s">
        <v>3061</v>
      </c>
      <c r="Q489" s="510" t="s">
        <v>2829</v>
      </c>
      <c r="R489" s="512"/>
      <c r="S489" s="513" t="e">
        <f>Table137[[#This Row],[DATE  CLOSED]]-Table137[[#This Row],[INITIATION DATE]]</f>
        <v>#VALUE!</v>
      </c>
    </row>
    <row r="490" spans="1:19" ht="51" x14ac:dyDescent="0.2">
      <c r="A490" s="521" t="s">
        <v>4810</v>
      </c>
      <c r="B490" s="514">
        <v>43530</v>
      </c>
      <c r="C490" s="515" t="s">
        <v>4811</v>
      </c>
      <c r="D490" s="515" t="s">
        <v>4812</v>
      </c>
      <c r="E490" s="516" t="s">
        <v>2971</v>
      </c>
      <c r="F490" s="516">
        <v>1</v>
      </c>
      <c r="G490" s="516" t="s">
        <v>2841</v>
      </c>
      <c r="H490" s="516" t="s">
        <v>3227</v>
      </c>
      <c r="I490" s="516" t="s">
        <v>3211</v>
      </c>
      <c r="J490" s="514">
        <v>43555</v>
      </c>
      <c r="K490" s="514"/>
      <c r="L490" s="514"/>
      <c r="M490" s="516" t="s">
        <v>2853</v>
      </c>
      <c r="N490" s="516" t="s">
        <v>2088</v>
      </c>
      <c r="O490" s="517">
        <v>43553</v>
      </c>
      <c r="P490" s="516" t="s">
        <v>3061</v>
      </c>
      <c r="Q490" s="516" t="s">
        <v>2829</v>
      </c>
      <c r="R490" s="518"/>
      <c r="S490" s="519" t="e">
        <f>Table137[[#This Row],[DATE  CLOSED]]-Table137[[#This Row],[INITIATION DATE]]</f>
        <v>#VALUE!</v>
      </c>
    </row>
    <row r="491" spans="1:19" ht="51" x14ac:dyDescent="0.2">
      <c r="A491" s="520" t="s">
        <v>4813</v>
      </c>
      <c r="B491" s="508">
        <v>43530</v>
      </c>
      <c r="C491" s="509" t="s">
        <v>4814</v>
      </c>
      <c r="D491" s="509" t="s">
        <v>4815</v>
      </c>
      <c r="E491" s="344" t="s">
        <v>4816</v>
      </c>
      <c r="F491" s="510">
        <v>1</v>
      </c>
      <c r="G491" s="344" t="s">
        <v>2841</v>
      </c>
      <c r="H491" s="344" t="s">
        <v>229</v>
      </c>
      <c r="I491" s="344" t="s">
        <v>229</v>
      </c>
      <c r="J491" s="508">
        <v>43555</v>
      </c>
      <c r="K491" s="508"/>
      <c r="L491" s="508"/>
      <c r="M491" s="344" t="s">
        <v>2853</v>
      </c>
      <c r="N491" s="510" t="s">
        <v>2088</v>
      </c>
      <c r="O491" s="511">
        <v>43545</v>
      </c>
      <c r="P491" s="510" t="s">
        <v>3061</v>
      </c>
      <c r="Q491" s="510" t="s">
        <v>2829</v>
      </c>
      <c r="R491" s="512"/>
      <c r="S491" s="513" t="e">
        <f>Table137[[#This Row],[DATE  CLOSED]]-Table137[[#This Row],[INITIATION DATE]]</f>
        <v>#VALUE!</v>
      </c>
    </row>
    <row r="492" spans="1:19" ht="51" x14ac:dyDescent="0.2">
      <c r="A492" s="521" t="s">
        <v>4817</v>
      </c>
      <c r="B492" s="514">
        <v>43531</v>
      </c>
      <c r="C492" s="515" t="s">
        <v>4818</v>
      </c>
      <c r="D492" s="515" t="s">
        <v>4819</v>
      </c>
      <c r="E492" s="516" t="s">
        <v>2971</v>
      </c>
      <c r="F492" s="516">
        <v>1</v>
      </c>
      <c r="G492" s="516" t="s">
        <v>2841</v>
      </c>
      <c r="H492" s="516" t="s">
        <v>1339</v>
      </c>
      <c r="I492" s="516" t="s">
        <v>229</v>
      </c>
      <c r="J492" s="514">
        <v>43555</v>
      </c>
      <c r="K492" s="514"/>
      <c r="L492" s="514"/>
      <c r="M492" s="516" t="s">
        <v>2853</v>
      </c>
      <c r="N492" s="516" t="s">
        <v>2088</v>
      </c>
      <c r="O492" s="517">
        <v>43563</v>
      </c>
      <c r="P492" s="516" t="s">
        <v>3061</v>
      </c>
      <c r="Q492" s="516" t="s">
        <v>2829</v>
      </c>
      <c r="R492" s="518" t="s">
        <v>4860</v>
      </c>
      <c r="S492" s="519" t="e">
        <f>Table137[[#This Row],[DATE  CLOSED]]-Table137[[#This Row],[INITIATION DATE]]</f>
        <v>#VALUE!</v>
      </c>
    </row>
    <row r="493" spans="1:19" ht="51" x14ac:dyDescent="0.2">
      <c r="A493" s="520" t="s">
        <v>4820</v>
      </c>
      <c r="B493" s="508">
        <v>43531</v>
      </c>
      <c r="C493" s="509" t="s">
        <v>4821</v>
      </c>
      <c r="D493" s="509" t="s">
        <v>4822</v>
      </c>
      <c r="E493" s="510" t="s">
        <v>2971</v>
      </c>
      <c r="F493" s="510">
        <v>1</v>
      </c>
      <c r="G493" s="510" t="s">
        <v>2841</v>
      </c>
      <c r="H493" s="510" t="s">
        <v>1339</v>
      </c>
      <c r="I493" s="510" t="s">
        <v>229</v>
      </c>
      <c r="J493" s="508">
        <v>43555</v>
      </c>
      <c r="K493" s="508"/>
      <c r="L493" s="508"/>
      <c r="M493" s="510" t="s">
        <v>2853</v>
      </c>
      <c r="N493" s="510" t="s">
        <v>2088</v>
      </c>
      <c r="O493" s="511">
        <v>43543</v>
      </c>
      <c r="P493" s="510" t="s">
        <v>3061</v>
      </c>
      <c r="Q493" s="510" t="s">
        <v>2829</v>
      </c>
      <c r="R493" s="512"/>
      <c r="S493" s="513" t="e">
        <f>Table137[[#This Row],[DATE  CLOSED]]-Table137[[#This Row],[INITIATION DATE]]</f>
        <v>#VALUE!</v>
      </c>
    </row>
    <row r="494" spans="1:19" ht="38.25" x14ac:dyDescent="0.2">
      <c r="A494" s="521" t="s">
        <v>4823</v>
      </c>
      <c r="B494" s="514">
        <v>43531</v>
      </c>
      <c r="C494" s="515" t="s">
        <v>4824</v>
      </c>
      <c r="D494" s="515" t="s">
        <v>4825</v>
      </c>
      <c r="E494" s="516" t="s">
        <v>2971</v>
      </c>
      <c r="F494" s="516">
        <v>1</v>
      </c>
      <c r="G494" s="516" t="s">
        <v>2836</v>
      </c>
      <c r="H494" s="516" t="s">
        <v>685</v>
      </c>
      <c r="I494" s="516" t="s">
        <v>229</v>
      </c>
      <c r="J494" s="514">
        <v>43616</v>
      </c>
      <c r="K494" s="514">
        <v>43861</v>
      </c>
      <c r="L494" s="514">
        <v>44561</v>
      </c>
      <c r="M494" s="516" t="s">
        <v>2847</v>
      </c>
      <c r="N494" s="516" t="s">
        <v>2912</v>
      </c>
      <c r="O494" s="517"/>
      <c r="P494" s="516"/>
      <c r="Q494" s="516"/>
      <c r="R494" s="518"/>
      <c r="S494" s="519" t="e">
        <f>Table137[[#This Row],[DATE  CLOSED]]-Table137[[#This Row],[INITIATION DATE]]</f>
        <v>#VALUE!</v>
      </c>
    </row>
    <row r="495" spans="1:19" ht="63.75" x14ac:dyDescent="0.2">
      <c r="A495" s="520" t="s">
        <v>4826</v>
      </c>
      <c r="B495" s="508">
        <v>43538</v>
      </c>
      <c r="C495" s="509" t="s">
        <v>4827</v>
      </c>
      <c r="D495" s="509" t="s">
        <v>4828</v>
      </c>
      <c r="E495" s="510" t="s">
        <v>4675</v>
      </c>
      <c r="F495" s="510">
        <v>1</v>
      </c>
      <c r="G495" s="510" t="s">
        <v>2836</v>
      </c>
      <c r="H495" s="510" t="s">
        <v>3747</v>
      </c>
      <c r="I495" s="510" t="s">
        <v>229</v>
      </c>
      <c r="J495" s="508">
        <v>43555</v>
      </c>
      <c r="K495" s="508"/>
      <c r="L495" s="508"/>
      <c r="M495" s="510" t="s">
        <v>2853</v>
      </c>
      <c r="N495" s="510" t="s">
        <v>2088</v>
      </c>
      <c r="O495" s="511">
        <v>43550</v>
      </c>
      <c r="P495" s="510" t="s">
        <v>3061</v>
      </c>
      <c r="Q495" s="510" t="s">
        <v>2829</v>
      </c>
      <c r="R495" s="512"/>
      <c r="S495" s="513" t="e">
        <f>Table137[[#This Row],[DATE  CLOSED]]-Table137[[#This Row],[INITIATION DATE]]</f>
        <v>#VALUE!</v>
      </c>
    </row>
    <row r="496" spans="1:19" ht="38.25" x14ac:dyDescent="0.2">
      <c r="A496" s="521" t="s">
        <v>4829</v>
      </c>
      <c r="B496" s="514">
        <v>43542</v>
      </c>
      <c r="C496" s="515" t="s">
        <v>4830</v>
      </c>
      <c r="D496" s="515" t="s">
        <v>4831</v>
      </c>
      <c r="E496" s="516" t="s">
        <v>2971</v>
      </c>
      <c r="F496" s="516">
        <v>1</v>
      </c>
      <c r="G496" s="516" t="s">
        <v>2840</v>
      </c>
      <c r="H496" s="516" t="s">
        <v>1461</v>
      </c>
      <c r="I496" s="516" t="s">
        <v>229</v>
      </c>
      <c r="J496" s="514">
        <v>43585</v>
      </c>
      <c r="K496" s="514"/>
      <c r="L496" s="514"/>
      <c r="M496" s="516" t="s">
        <v>2853</v>
      </c>
      <c r="N496" s="516" t="s">
        <v>2088</v>
      </c>
      <c r="O496" s="517">
        <v>43564</v>
      </c>
      <c r="P496" s="516" t="s">
        <v>3061</v>
      </c>
      <c r="Q496" s="516" t="s">
        <v>2829</v>
      </c>
      <c r="R496" s="518"/>
      <c r="S496" s="519" t="e">
        <f>Table137[[#This Row],[DATE  CLOSED]]-Table137[[#This Row],[INITIATION DATE]]</f>
        <v>#VALUE!</v>
      </c>
    </row>
    <row r="497" spans="1:19" ht="165.75" x14ac:dyDescent="0.2">
      <c r="A497" s="520" t="s">
        <v>4832</v>
      </c>
      <c r="B497" s="508">
        <v>43542</v>
      </c>
      <c r="C497" s="509" t="s">
        <v>5256</v>
      </c>
      <c r="D497" s="343" t="s">
        <v>5257</v>
      </c>
      <c r="E497" s="344" t="s">
        <v>3825</v>
      </c>
      <c r="F497" s="510">
        <v>1</v>
      </c>
      <c r="G497" s="510" t="s">
        <v>2828</v>
      </c>
      <c r="H497" s="344" t="s">
        <v>4232</v>
      </c>
      <c r="I497" s="344" t="s">
        <v>3926</v>
      </c>
      <c r="J497" s="508">
        <v>43555</v>
      </c>
      <c r="K497" s="508"/>
      <c r="L497" s="508"/>
      <c r="M497" s="344" t="s">
        <v>2853</v>
      </c>
      <c r="N497" s="510" t="s">
        <v>2088</v>
      </c>
      <c r="O497" s="511">
        <v>43811</v>
      </c>
      <c r="P497" s="510" t="s">
        <v>3061</v>
      </c>
      <c r="Q497" s="510" t="s">
        <v>2829</v>
      </c>
      <c r="R497" s="512" t="s">
        <v>5258</v>
      </c>
      <c r="S497" s="513" t="e">
        <f>Table137[[#This Row],[DATE  CLOSED]]-Table137[[#This Row],[INITIATION DATE]]</f>
        <v>#VALUE!</v>
      </c>
    </row>
    <row r="498" spans="1:19" ht="51" x14ac:dyDescent="0.2">
      <c r="A498" s="340" t="s">
        <v>4833</v>
      </c>
      <c r="B498" s="514">
        <v>43542</v>
      </c>
      <c r="C498" s="515" t="s">
        <v>4834</v>
      </c>
      <c r="D498" s="515" t="s">
        <v>4835</v>
      </c>
      <c r="E498" s="516" t="s">
        <v>2971</v>
      </c>
      <c r="F498" s="516">
        <v>1</v>
      </c>
      <c r="G498" s="516" t="s">
        <v>2841</v>
      </c>
      <c r="H498" s="516" t="s">
        <v>481</v>
      </c>
      <c r="I498" s="516" t="s">
        <v>229</v>
      </c>
      <c r="J498" s="514">
        <v>43585</v>
      </c>
      <c r="K498" s="514"/>
      <c r="L498" s="514"/>
      <c r="M498" s="516" t="s">
        <v>2853</v>
      </c>
      <c r="N498" s="516" t="s">
        <v>2088</v>
      </c>
      <c r="O498" s="517">
        <v>43563</v>
      </c>
      <c r="P498" s="516" t="s">
        <v>3061</v>
      </c>
      <c r="Q498" s="516" t="s">
        <v>2829</v>
      </c>
      <c r="R498" s="518"/>
      <c r="S498" s="519" t="e">
        <f>Table137[[#This Row],[DATE  CLOSED]]-Table137[[#This Row],[INITIATION DATE]]</f>
        <v>#VALUE!</v>
      </c>
    </row>
    <row r="499" spans="1:19" ht="89.25" x14ac:dyDescent="0.2">
      <c r="A499" s="520" t="s">
        <v>4836</v>
      </c>
      <c r="B499" s="508">
        <v>43544</v>
      </c>
      <c r="C499" s="509" t="s">
        <v>4838</v>
      </c>
      <c r="D499" s="509" t="s">
        <v>4839</v>
      </c>
      <c r="E499" s="510" t="s">
        <v>4111</v>
      </c>
      <c r="F499" s="510">
        <v>1</v>
      </c>
      <c r="G499" s="510" t="s">
        <v>2828</v>
      </c>
      <c r="H499" s="510" t="s">
        <v>3975</v>
      </c>
      <c r="I499" s="510" t="s">
        <v>3211</v>
      </c>
      <c r="J499" s="508">
        <v>43585</v>
      </c>
      <c r="K499" s="508"/>
      <c r="L499" s="508"/>
      <c r="M499" s="510" t="s">
        <v>2853</v>
      </c>
      <c r="N499" s="510" t="s">
        <v>3022</v>
      </c>
      <c r="O499" s="511">
        <v>43635</v>
      </c>
      <c r="P499" s="510" t="s">
        <v>3022</v>
      </c>
      <c r="Q499" s="510" t="s">
        <v>2835</v>
      </c>
      <c r="R499" s="512"/>
      <c r="S499" s="513" t="e">
        <f>Table137[[#This Row],[DATE  CLOSED]]-Table137[[#This Row],[INITIATION DATE]]</f>
        <v>#VALUE!</v>
      </c>
    </row>
    <row r="500" spans="1:19" ht="89.25" x14ac:dyDescent="0.2">
      <c r="A500" s="521" t="s">
        <v>4837</v>
      </c>
      <c r="B500" s="514">
        <v>43544</v>
      </c>
      <c r="C500" s="515" t="s">
        <v>4840</v>
      </c>
      <c r="D500" s="515" t="s">
        <v>4841</v>
      </c>
      <c r="E500" s="516" t="s">
        <v>4631</v>
      </c>
      <c r="F500" s="516">
        <v>1</v>
      </c>
      <c r="G500" s="516" t="s">
        <v>2828</v>
      </c>
      <c r="H500" s="516" t="s">
        <v>3975</v>
      </c>
      <c r="I500" s="516" t="s">
        <v>3211</v>
      </c>
      <c r="J500" s="514">
        <v>43585</v>
      </c>
      <c r="K500" s="514"/>
      <c r="L500" s="514"/>
      <c r="M500" s="516" t="s">
        <v>2853</v>
      </c>
      <c r="N500" s="516" t="s">
        <v>3022</v>
      </c>
      <c r="O500" s="517">
        <v>43672</v>
      </c>
      <c r="P500" s="516" t="s">
        <v>3022</v>
      </c>
      <c r="Q500" s="516" t="s">
        <v>2835</v>
      </c>
      <c r="R500" s="518"/>
      <c r="S500" s="519" t="e">
        <f>Table137[[#This Row],[DATE  CLOSED]]-Table137[[#This Row],[INITIATION DATE]]</f>
        <v>#VALUE!</v>
      </c>
    </row>
    <row r="501" spans="1:19" ht="38.25" x14ac:dyDescent="0.2">
      <c r="A501" s="520" t="s">
        <v>4842</v>
      </c>
      <c r="B501" s="508">
        <v>43549</v>
      </c>
      <c r="C501" s="343" t="s">
        <v>4843</v>
      </c>
      <c r="D501" s="343" t="s">
        <v>4844</v>
      </c>
      <c r="E501" s="344" t="s">
        <v>2971</v>
      </c>
      <c r="F501" s="510">
        <v>1</v>
      </c>
      <c r="G501" s="344" t="s">
        <v>2836</v>
      </c>
      <c r="H501" s="344" t="s">
        <v>4845</v>
      </c>
      <c r="I501" s="344" t="s">
        <v>229</v>
      </c>
      <c r="J501" s="508">
        <v>43585</v>
      </c>
      <c r="K501" s="508"/>
      <c r="L501" s="508"/>
      <c r="M501" s="344" t="s">
        <v>2853</v>
      </c>
      <c r="N501" s="510" t="s">
        <v>2088</v>
      </c>
      <c r="O501" s="511">
        <v>43615</v>
      </c>
      <c r="P501" s="510" t="s">
        <v>3022</v>
      </c>
      <c r="Q501" s="510" t="s">
        <v>2832</v>
      </c>
      <c r="R501" s="512"/>
      <c r="S501" s="513" t="e">
        <f>Table137[[#This Row],[DATE  CLOSED]]-Table137[[#This Row],[INITIATION DATE]]</f>
        <v>#VALUE!</v>
      </c>
    </row>
    <row r="502" spans="1:19" ht="51" x14ac:dyDescent="0.2">
      <c r="A502" s="521" t="s">
        <v>4846</v>
      </c>
      <c r="B502" s="514">
        <v>43551</v>
      </c>
      <c r="C502" s="515" t="s">
        <v>4847</v>
      </c>
      <c r="D502" s="515" t="s">
        <v>4819</v>
      </c>
      <c r="E502" s="516" t="s">
        <v>2971</v>
      </c>
      <c r="F502" s="516">
        <v>1</v>
      </c>
      <c r="G502" s="516" t="s">
        <v>2841</v>
      </c>
      <c r="H502" s="516" t="s">
        <v>624</v>
      </c>
      <c r="I502" s="516" t="s">
        <v>229</v>
      </c>
      <c r="J502" s="514">
        <v>43585</v>
      </c>
      <c r="K502" s="514"/>
      <c r="L502" s="514"/>
      <c r="M502" s="516" t="s">
        <v>2853</v>
      </c>
      <c r="N502" s="516" t="s">
        <v>2088</v>
      </c>
      <c r="O502" s="517">
        <v>43570</v>
      </c>
      <c r="P502" s="516" t="s">
        <v>3061</v>
      </c>
      <c r="Q502" s="516" t="s">
        <v>2829</v>
      </c>
      <c r="R502" s="518"/>
      <c r="S502" s="519" t="e">
        <f>Table137[[#This Row],[DATE  CLOSED]]-Table137[[#This Row],[INITIATION DATE]]</f>
        <v>#VALUE!</v>
      </c>
    </row>
    <row r="503" spans="1:19" ht="51" x14ac:dyDescent="0.2">
      <c r="A503" s="520" t="s">
        <v>4848</v>
      </c>
      <c r="B503" s="508">
        <v>43558</v>
      </c>
      <c r="C503" s="509" t="s">
        <v>4852</v>
      </c>
      <c r="D503" s="509" t="s">
        <v>4849</v>
      </c>
      <c r="E503" s="510" t="s">
        <v>3532</v>
      </c>
      <c r="F503" s="510">
        <v>1</v>
      </c>
      <c r="G503" s="510" t="s">
        <v>2828</v>
      </c>
      <c r="H503" s="510" t="s">
        <v>4850</v>
      </c>
      <c r="I503" s="510" t="s">
        <v>3926</v>
      </c>
      <c r="J503" s="508">
        <v>43585</v>
      </c>
      <c r="K503" s="508"/>
      <c r="L503" s="508"/>
      <c r="M503" s="510" t="s">
        <v>2853</v>
      </c>
      <c r="N503" s="510" t="s">
        <v>2088</v>
      </c>
      <c r="O503" s="511">
        <v>43746</v>
      </c>
      <c r="P503" s="510" t="s">
        <v>3061</v>
      </c>
      <c r="Q503" s="510" t="s">
        <v>2829</v>
      </c>
      <c r="R503" s="512" t="s">
        <v>5153</v>
      </c>
      <c r="S503" s="513" t="e">
        <f>Table137[[#This Row],[DATE  CLOSED]]-Table137[[#This Row],[INITIATION DATE]]</f>
        <v>#VALUE!</v>
      </c>
    </row>
    <row r="504" spans="1:19" ht="51" x14ac:dyDescent="0.2">
      <c r="A504" s="521" t="s">
        <v>4851</v>
      </c>
      <c r="B504" s="514">
        <v>43558</v>
      </c>
      <c r="C504" s="515" t="s">
        <v>4853</v>
      </c>
      <c r="D504" s="515" t="s">
        <v>4854</v>
      </c>
      <c r="E504" s="516" t="s">
        <v>4260</v>
      </c>
      <c r="F504" s="516">
        <v>1</v>
      </c>
      <c r="G504" s="516" t="s">
        <v>2828</v>
      </c>
      <c r="H504" s="516" t="s">
        <v>4232</v>
      </c>
      <c r="I504" s="516" t="s">
        <v>3926</v>
      </c>
      <c r="J504" s="514">
        <v>43616</v>
      </c>
      <c r="K504" s="514"/>
      <c r="L504" s="514"/>
      <c r="M504" s="516" t="s">
        <v>2853</v>
      </c>
      <c r="N504" s="516" t="s">
        <v>2088</v>
      </c>
      <c r="O504" s="517">
        <v>43570</v>
      </c>
      <c r="P504" s="516" t="s">
        <v>3061</v>
      </c>
      <c r="Q504" s="516" t="s">
        <v>2829</v>
      </c>
      <c r="R504" s="518"/>
      <c r="S504" s="519" t="e">
        <f>Table137[[#This Row],[DATE  CLOSED]]-Table137[[#This Row],[INITIATION DATE]]</f>
        <v>#VALUE!</v>
      </c>
    </row>
    <row r="505" spans="1:19" ht="51" x14ac:dyDescent="0.2">
      <c r="A505" s="520" t="s">
        <v>4855</v>
      </c>
      <c r="B505" s="508">
        <v>43560</v>
      </c>
      <c r="C505" s="509" t="s">
        <v>4856</v>
      </c>
      <c r="D505" s="509" t="s">
        <v>4812</v>
      </c>
      <c r="E505" s="510" t="s">
        <v>2971</v>
      </c>
      <c r="F505" s="510">
        <v>1</v>
      </c>
      <c r="G505" s="510" t="s">
        <v>2841</v>
      </c>
      <c r="H505" s="510" t="s">
        <v>4079</v>
      </c>
      <c r="I505" s="510" t="s">
        <v>3211</v>
      </c>
      <c r="J505" s="508">
        <v>43585</v>
      </c>
      <c r="K505" s="508"/>
      <c r="L505" s="508"/>
      <c r="M505" s="344" t="s">
        <v>2853</v>
      </c>
      <c r="N505" s="344" t="s">
        <v>2088</v>
      </c>
      <c r="O505" s="511">
        <v>43591</v>
      </c>
      <c r="P505" s="344" t="s">
        <v>3061</v>
      </c>
      <c r="Q505" s="344" t="s">
        <v>2829</v>
      </c>
      <c r="R505" s="440"/>
      <c r="S505" s="513" t="e">
        <f>Table137[[#This Row],[DATE  CLOSED]]-Table137[[#This Row],[INITIATION DATE]]</f>
        <v>#VALUE!</v>
      </c>
    </row>
    <row r="506" spans="1:19" ht="63.75" x14ac:dyDescent="0.2">
      <c r="A506" s="521" t="s">
        <v>4857</v>
      </c>
      <c r="B506" s="514">
        <v>43560</v>
      </c>
      <c r="C506" s="515" t="s">
        <v>4858</v>
      </c>
      <c r="D506" s="515" t="s">
        <v>4859</v>
      </c>
      <c r="E506" s="516" t="s">
        <v>4208</v>
      </c>
      <c r="F506" s="516">
        <v>1</v>
      </c>
      <c r="G506" s="516" t="s">
        <v>2828</v>
      </c>
      <c r="H506" s="516" t="s">
        <v>4232</v>
      </c>
      <c r="I506" s="516" t="s">
        <v>3211</v>
      </c>
      <c r="J506" s="514">
        <v>43616</v>
      </c>
      <c r="K506" s="514"/>
      <c r="L506" s="514"/>
      <c r="M506" s="342" t="s">
        <v>2853</v>
      </c>
      <c r="N506" s="342" t="s">
        <v>3022</v>
      </c>
      <c r="O506" s="517">
        <v>43633</v>
      </c>
      <c r="P506" s="342" t="s">
        <v>3022</v>
      </c>
      <c r="Q506" s="342" t="s">
        <v>2832</v>
      </c>
      <c r="R506" s="518"/>
      <c r="S506" s="519" t="e">
        <f>Table137[[#This Row],[DATE  CLOSED]]-Table137[[#This Row],[INITIATION DATE]]</f>
        <v>#VALUE!</v>
      </c>
    </row>
    <row r="507" spans="1:19" ht="51" x14ac:dyDescent="0.2">
      <c r="A507" s="520" t="s">
        <v>4861</v>
      </c>
      <c r="B507" s="508">
        <v>43567</v>
      </c>
      <c r="C507" s="509" t="s">
        <v>4862</v>
      </c>
      <c r="D507" s="509" t="s">
        <v>4863</v>
      </c>
      <c r="E507" s="510" t="s">
        <v>3323</v>
      </c>
      <c r="F507" s="510">
        <v>1</v>
      </c>
      <c r="G507" s="510" t="s">
        <v>2828</v>
      </c>
      <c r="H507" s="510" t="s">
        <v>3227</v>
      </c>
      <c r="I507" s="510" t="s">
        <v>3926</v>
      </c>
      <c r="J507" s="508">
        <v>43585</v>
      </c>
      <c r="K507" s="508"/>
      <c r="L507" s="508"/>
      <c r="M507" s="510" t="s">
        <v>2853</v>
      </c>
      <c r="N507" s="510" t="s">
        <v>2088</v>
      </c>
      <c r="O507" s="511">
        <v>43567</v>
      </c>
      <c r="P507" s="510" t="s">
        <v>3061</v>
      </c>
      <c r="Q507" s="510" t="s">
        <v>2829</v>
      </c>
      <c r="R507" s="512"/>
      <c r="S507" s="513" t="e">
        <f>Table137[[#This Row],[DATE  CLOSED]]-Table137[[#This Row],[INITIATION DATE]]</f>
        <v>#VALUE!</v>
      </c>
    </row>
    <row r="508" spans="1:19" ht="51" x14ac:dyDescent="0.2">
      <c r="A508" s="521" t="s">
        <v>4864</v>
      </c>
      <c r="B508" s="514">
        <v>43567</v>
      </c>
      <c r="C508" s="515" t="s">
        <v>4866</v>
      </c>
      <c r="D508" s="515" t="s">
        <v>4865</v>
      </c>
      <c r="E508" s="516" t="s">
        <v>2971</v>
      </c>
      <c r="F508" s="516">
        <v>1</v>
      </c>
      <c r="G508" s="516" t="s">
        <v>2838</v>
      </c>
      <c r="H508" s="516" t="s">
        <v>685</v>
      </c>
      <c r="I508" s="516" t="s">
        <v>229</v>
      </c>
      <c r="J508" s="514">
        <v>43567</v>
      </c>
      <c r="K508" s="514"/>
      <c r="L508" s="514"/>
      <c r="M508" s="516" t="s">
        <v>2853</v>
      </c>
      <c r="N508" s="516" t="s">
        <v>2088</v>
      </c>
      <c r="O508" s="517">
        <v>43567</v>
      </c>
      <c r="P508" s="516" t="s">
        <v>3061</v>
      </c>
      <c r="Q508" s="516" t="s">
        <v>2829</v>
      </c>
      <c r="R508" s="518"/>
      <c r="S508" s="519" t="e">
        <f>Table137[[#This Row],[DATE  CLOSED]]-Table137[[#This Row],[INITIATION DATE]]</f>
        <v>#VALUE!</v>
      </c>
    </row>
    <row r="509" spans="1:19" ht="51" x14ac:dyDescent="0.2">
      <c r="A509" s="520" t="s">
        <v>4867</v>
      </c>
      <c r="B509" s="508">
        <v>43570</v>
      </c>
      <c r="C509" s="509" t="s">
        <v>4945</v>
      </c>
      <c r="D509" s="509" t="s">
        <v>3225</v>
      </c>
      <c r="E509" s="510" t="s">
        <v>2971</v>
      </c>
      <c r="F509" s="510">
        <v>1</v>
      </c>
      <c r="G509" s="510" t="s">
        <v>2841</v>
      </c>
      <c r="H509" s="510" t="s">
        <v>486</v>
      </c>
      <c r="I509" s="510" t="s">
        <v>229</v>
      </c>
      <c r="J509" s="508">
        <v>43585</v>
      </c>
      <c r="K509" s="508"/>
      <c r="L509" s="508"/>
      <c r="M509" s="510" t="s">
        <v>2853</v>
      </c>
      <c r="N509" s="510" t="s">
        <v>3022</v>
      </c>
      <c r="O509" s="511">
        <v>43600</v>
      </c>
      <c r="P509" s="510" t="s">
        <v>3022</v>
      </c>
      <c r="Q509" s="510" t="s">
        <v>2829</v>
      </c>
      <c r="R509" s="512" t="s">
        <v>4925</v>
      </c>
      <c r="S509" s="513" t="e">
        <f>Table137[[#This Row],[DATE  CLOSED]]-Table137[[#This Row],[INITIATION DATE]]</f>
        <v>#VALUE!</v>
      </c>
    </row>
    <row r="510" spans="1:19" ht="51" x14ac:dyDescent="0.2">
      <c r="A510" s="521" t="s">
        <v>4868</v>
      </c>
      <c r="B510" s="514">
        <v>43571</v>
      </c>
      <c r="C510" s="515" t="s">
        <v>4869</v>
      </c>
      <c r="D510" s="515" t="s">
        <v>4870</v>
      </c>
      <c r="E510" s="516" t="s">
        <v>3969</v>
      </c>
      <c r="F510" s="516">
        <v>1</v>
      </c>
      <c r="G510" s="516" t="s">
        <v>2828</v>
      </c>
      <c r="H510" s="516" t="s">
        <v>3423</v>
      </c>
      <c r="I510" s="516" t="s">
        <v>3211</v>
      </c>
      <c r="J510" s="514">
        <v>43662</v>
      </c>
      <c r="K510" s="514"/>
      <c r="L510" s="514"/>
      <c r="M510" s="516" t="s">
        <v>2853</v>
      </c>
      <c r="N510" s="516" t="s">
        <v>2088</v>
      </c>
      <c r="O510" s="517">
        <v>43627</v>
      </c>
      <c r="P510" s="516" t="s">
        <v>3061</v>
      </c>
      <c r="Q510" s="516" t="s">
        <v>2832</v>
      </c>
      <c r="R510" s="518"/>
      <c r="S510" s="519" t="e">
        <f>Table137[[#This Row],[DATE  CLOSED]]-Table137[[#This Row],[INITIATION DATE]]</f>
        <v>#VALUE!</v>
      </c>
    </row>
    <row r="511" spans="1:19" ht="63.75" x14ac:dyDescent="0.2">
      <c r="A511" s="520" t="s">
        <v>4871</v>
      </c>
      <c r="B511" s="508">
        <v>43572</v>
      </c>
      <c r="C511" s="509" t="s">
        <v>4872</v>
      </c>
      <c r="D511" s="509" t="s">
        <v>4873</v>
      </c>
      <c r="E511" s="510" t="s">
        <v>4256</v>
      </c>
      <c r="F511" s="510">
        <v>1</v>
      </c>
      <c r="G511" s="510" t="s">
        <v>2828</v>
      </c>
      <c r="H511" s="510" t="s">
        <v>4232</v>
      </c>
      <c r="I511" s="510" t="s">
        <v>3211</v>
      </c>
      <c r="J511" s="508">
        <v>43600</v>
      </c>
      <c r="K511" s="508"/>
      <c r="L511" s="508"/>
      <c r="M511" s="344" t="s">
        <v>2853</v>
      </c>
      <c r="N511" s="344" t="s">
        <v>2088</v>
      </c>
      <c r="O511" s="511">
        <v>43588</v>
      </c>
      <c r="P511" s="344" t="s">
        <v>3061</v>
      </c>
      <c r="Q511" s="344" t="s">
        <v>2829</v>
      </c>
      <c r="R511" s="512"/>
      <c r="S511" s="513" t="e">
        <f>Table137[[#This Row],[DATE  CLOSED]]-Table137[[#This Row],[INITIATION DATE]]</f>
        <v>#VALUE!</v>
      </c>
    </row>
    <row r="512" spans="1:19" ht="76.5" x14ac:dyDescent="0.2">
      <c r="A512" s="521" t="s">
        <v>4876</v>
      </c>
      <c r="B512" s="514">
        <v>43577</v>
      </c>
      <c r="C512" s="515" t="s">
        <v>4874</v>
      </c>
      <c r="D512" s="515" t="s">
        <v>4875</v>
      </c>
      <c r="E512" s="516" t="s">
        <v>2971</v>
      </c>
      <c r="F512" s="516">
        <v>1</v>
      </c>
      <c r="G512" s="516" t="s">
        <v>2834</v>
      </c>
      <c r="H512" s="516" t="s">
        <v>3645</v>
      </c>
      <c r="I512" s="516" t="s">
        <v>441</v>
      </c>
      <c r="J512" s="514">
        <v>43585</v>
      </c>
      <c r="K512" s="514"/>
      <c r="L512" s="514"/>
      <c r="M512" s="516" t="s">
        <v>2853</v>
      </c>
      <c r="N512" s="516" t="s">
        <v>2088</v>
      </c>
      <c r="O512" s="517">
        <v>43579</v>
      </c>
      <c r="P512" s="516" t="s">
        <v>3061</v>
      </c>
      <c r="Q512" s="516" t="s">
        <v>2829</v>
      </c>
      <c r="R512" s="518"/>
      <c r="S512" s="519" t="e">
        <f>Table137[[#This Row],[DATE  CLOSED]]-Table137[[#This Row],[INITIATION DATE]]</f>
        <v>#VALUE!</v>
      </c>
    </row>
    <row r="513" spans="1:19" ht="51" x14ac:dyDescent="0.2">
      <c r="A513" s="520" t="s">
        <v>4877</v>
      </c>
      <c r="B513" s="508">
        <v>43578</v>
      </c>
      <c r="C513" s="509" t="s">
        <v>4946</v>
      </c>
      <c r="D513" s="509" t="s">
        <v>3225</v>
      </c>
      <c r="E513" s="510" t="s">
        <v>2971</v>
      </c>
      <c r="F513" s="510">
        <v>1</v>
      </c>
      <c r="G513" s="510" t="s">
        <v>2841</v>
      </c>
      <c r="H513" s="510" t="s">
        <v>2067</v>
      </c>
      <c r="I513" s="510" t="s">
        <v>229</v>
      </c>
      <c r="J513" s="508">
        <v>43616</v>
      </c>
      <c r="K513" s="508"/>
      <c r="L513" s="508"/>
      <c r="M513" s="510" t="s">
        <v>2853</v>
      </c>
      <c r="N513" s="510" t="s">
        <v>2088</v>
      </c>
      <c r="O513" s="511">
        <v>43600</v>
      </c>
      <c r="P513" s="510" t="s">
        <v>3061</v>
      </c>
      <c r="Q513" s="510" t="s">
        <v>2829</v>
      </c>
      <c r="R513" s="512"/>
      <c r="S513" s="513" t="e">
        <f>Table137[[#This Row],[DATE  CLOSED]]-Table137[[#This Row],[INITIATION DATE]]</f>
        <v>#VALUE!</v>
      </c>
    </row>
    <row r="514" spans="1:19" ht="51" x14ac:dyDescent="0.2">
      <c r="A514" s="521" t="s">
        <v>4878</v>
      </c>
      <c r="B514" s="514">
        <v>43578</v>
      </c>
      <c r="C514" s="515" t="s">
        <v>4879</v>
      </c>
      <c r="D514" s="515" t="s">
        <v>4880</v>
      </c>
      <c r="E514" s="516" t="s">
        <v>3323</v>
      </c>
      <c r="F514" s="516">
        <v>1</v>
      </c>
      <c r="G514" s="516" t="s">
        <v>2828</v>
      </c>
      <c r="H514" s="516" t="s">
        <v>3842</v>
      </c>
      <c r="I514" s="516" t="s">
        <v>3211</v>
      </c>
      <c r="J514" s="514">
        <v>43616</v>
      </c>
      <c r="K514" s="514"/>
      <c r="L514" s="514"/>
      <c r="M514" s="516" t="s">
        <v>2853</v>
      </c>
      <c r="N514" s="516" t="s">
        <v>2088</v>
      </c>
      <c r="O514" s="517">
        <v>43598</v>
      </c>
      <c r="P514" s="516" t="s">
        <v>3061</v>
      </c>
      <c r="Q514" s="516" t="s">
        <v>2829</v>
      </c>
      <c r="R514" s="518"/>
      <c r="S514" s="519" t="e">
        <f>Table137[[#This Row],[DATE  CLOSED]]-Table137[[#This Row],[INITIATION DATE]]</f>
        <v>#VALUE!</v>
      </c>
    </row>
    <row r="515" spans="1:19" ht="51" x14ac:dyDescent="0.2">
      <c r="A515" s="338" t="s">
        <v>4881</v>
      </c>
      <c r="B515" s="508">
        <v>43579</v>
      </c>
      <c r="C515" s="343" t="s">
        <v>4882</v>
      </c>
      <c r="D515" s="343" t="s">
        <v>4883</v>
      </c>
      <c r="E515" s="344" t="s">
        <v>3825</v>
      </c>
      <c r="F515" s="510">
        <v>1</v>
      </c>
      <c r="G515" s="344" t="s">
        <v>2828</v>
      </c>
      <c r="H515" s="344" t="s">
        <v>3747</v>
      </c>
      <c r="I515" s="344" t="s">
        <v>4261</v>
      </c>
      <c r="J515" s="508">
        <v>43609</v>
      </c>
      <c r="K515" s="508"/>
      <c r="L515" s="508"/>
      <c r="M515" s="344" t="s">
        <v>2853</v>
      </c>
      <c r="N515" s="510" t="s">
        <v>2088</v>
      </c>
      <c r="O515" s="511">
        <v>43588</v>
      </c>
      <c r="P515" s="510" t="s">
        <v>3061</v>
      </c>
      <c r="Q515" s="510" t="s">
        <v>4987</v>
      </c>
      <c r="R515" s="512"/>
      <c r="S515" s="513" t="e">
        <f>Table137[[#This Row],[DATE  CLOSED]]-Table137[[#This Row],[INITIATION DATE]]</f>
        <v>#VALUE!</v>
      </c>
    </row>
    <row r="516" spans="1:19" ht="51" x14ac:dyDescent="0.2">
      <c r="A516" s="521" t="s">
        <v>4884</v>
      </c>
      <c r="B516" s="514">
        <v>43579</v>
      </c>
      <c r="C516" s="515" t="s">
        <v>4885</v>
      </c>
      <c r="D516" s="515" t="s">
        <v>4886</v>
      </c>
      <c r="E516" s="516" t="s">
        <v>3586</v>
      </c>
      <c r="F516" s="516">
        <v>1</v>
      </c>
      <c r="G516" s="516" t="s">
        <v>2828</v>
      </c>
      <c r="H516" s="516" t="s">
        <v>615</v>
      </c>
      <c r="I516" s="516" t="s">
        <v>3211</v>
      </c>
      <c r="J516" s="514">
        <v>43609</v>
      </c>
      <c r="K516" s="514"/>
      <c r="L516" s="514"/>
      <c r="M516" s="516" t="s">
        <v>2853</v>
      </c>
      <c r="N516" s="516" t="s">
        <v>2088</v>
      </c>
      <c r="O516" s="517">
        <v>43588</v>
      </c>
      <c r="P516" s="516" t="s">
        <v>3061</v>
      </c>
      <c r="Q516" s="516" t="s">
        <v>2829</v>
      </c>
      <c r="R516" s="518"/>
      <c r="S516" s="519" t="e">
        <f>Table137[[#This Row],[DATE  CLOSED]]-Table137[[#This Row],[INITIATION DATE]]</f>
        <v>#VALUE!</v>
      </c>
    </row>
    <row r="517" spans="1:19" ht="25.5" x14ac:dyDescent="0.2">
      <c r="A517" s="520" t="s">
        <v>4887</v>
      </c>
      <c r="B517" s="508">
        <v>43580</v>
      </c>
      <c r="C517" s="509" t="s">
        <v>4888</v>
      </c>
      <c r="D517" s="509" t="s">
        <v>4889</v>
      </c>
      <c r="E517" s="510" t="s">
        <v>2971</v>
      </c>
      <c r="F517" s="510">
        <v>1</v>
      </c>
      <c r="G517" s="510" t="s">
        <v>2840</v>
      </c>
      <c r="H517" s="510" t="s">
        <v>441</v>
      </c>
      <c r="I517" s="510" t="s">
        <v>229</v>
      </c>
      <c r="J517" s="508">
        <v>43616</v>
      </c>
      <c r="K517" s="508"/>
      <c r="L517" s="508"/>
      <c r="M517" s="510" t="s">
        <v>2853</v>
      </c>
      <c r="N517" s="510" t="s">
        <v>2088</v>
      </c>
      <c r="O517" s="511">
        <v>43609</v>
      </c>
      <c r="P517" s="510" t="s">
        <v>3061</v>
      </c>
      <c r="Q517" s="510" t="s">
        <v>2829</v>
      </c>
      <c r="R517" s="512"/>
      <c r="S517" s="513" t="e">
        <f>Table137[[#This Row],[DATE  CLOSED]]-Table137[[#This Row],[INITIATION DATE]]</f>
        <v>#VALUE!</v>
      </c>
    </row>
    <row r="518" spans="1:19" ht="76.5" x14ac:dyDescent="0.2">
      <c r="A518" s="521" t="s">
        <v>4890</v>
      </c>
      <c r="B518" s="514">
        <v>43581</v>
      </c>
      <c r="C518" s="515" t="s">
        <v>4891</v>
      </c>
      <c r="D518" s="515" t="s">
        <v>4892</v>
      </c>
      <c r="E518" s="516" t="s">
        <v>4256</v>
      </c>
      <c r="F518" s="516">
        <v>1</v>
      </c>
      <c r="G518" s="516" t="s">
        <v>2828</v>
      </c>
      <c r="H518" s="516" t="s">
        <v>615</v>
      </c>
      <c r="I518" s="516" t="s">
        <v>3211</v>
      </c>
      <c r="J518" s="514">
        <v>43611</v>
      </c>
      <c r="K518" s="514"/>
      <c r="L518" s="514"/>
      <c r="M518" s="516" t="s">
        <v>2853</v>
      </c>
      <c r="N518" s="516" t="s">
        <v>2088</v>
      </c>
      <c r="O518" s="517">
        <v>43584</v>
      </c>
      <c r="P518" s="516" t="s">
        <v>3061</v>
      </c>
      <c r="Q518" s="516" t="s">
        <v>2829</v>
      </c>
      <c r="R518" s="518"/>
      <c r="S518" s="519" t="e">
        <f>Table137[[#This Row],[DATE  CLOSED]]-Table137[[#This Row],[INITIATION DATE]]</f>
        <v>#VALUE!</v>
      </c>
    </row>
    <row r="519" spans="1:19" ht="89.25" x14ac:dyDescent="0.2">
      <c r="A519" s="520" t="s">
        <v>4893</v>
      </c>
      <c r="B519" s="508">
        <v>43585</v>
      </c>
      <c r="C519" s="509" t="s">
        <v>4972</v>
      </c>
      <c r="D519" s="509" t="s">
        <v>4973</v>
      </c>
      <c r="E519" s="510" t="s">
        <v>3386</v>
      </c>
      <c r="F519" s="510">
        <v>1</v>
      </c>
      <c r="G519" s="510" t="s">
        <v>2828</v>
      </c>
      <c r="H519" s="510" t="s">
        <v>615</v>
      </c>
      <c r="I519" s="344" t="s">
        <v>3926</v>
      </c>
      <c r="J519" s="508">
        <v>43615</v>
      </c>
      <c r="K519" s="508"/>
      <c r="L519" s="508"/>
      <c r="M519" s="510" t="s">
        <v>2853</v>
      </c>
      <c r="N519" s="510" t="s">
        <v>3022</v>
      </c>
      <c r="O519" s="511">
        <v>43629</v>
      </c>
      <c r="P519" s="510" t="s">
        <v>3022</v>
      </c>
      <c r="Q519" s="510" t="s">
        <v>2832</v>
      </c>
      <c r="R519" s="512"/>
      <c r="S519" s="513" t="e">
        <f>Table137[[#This Row],[DATE  CLOSED]]-Table137[[#This Row],[INITIATION DATE]]</f>
        <v>#VALUE!</v>
      </c>
    </row>
    <row r="520" spans="1:19" ht="76.5" x14ac:dyDescent="0.2">
      <c r="A520" s="521" t="s">
        <v>4894</v>
      </c>
      <c r="B520" s="514">
        <v>43586</v>
      </c>
      <c r="C520" s="515" t="s">
        <v>4895</v>
      </c>
      <c r="D520" s="515" t="s">
        <v>4896</v>
      </c>
      <c r="E520" s="516" t="s">
        <v>3519</v>
      </c>
      <c r="F520" s="516">
        <v>1</v>
      </c>
      <c r="G520" s="516" t="s">
        <v>2828</v>
      </c>
      <c r="H520" s="516" t="s">
        <v>4163</v>
      </c>
      <c r="I520" s="516" t="s">
        <v>3211</v>
      </c>
      <c r="J520" s="514">
        <v>43617</v>
      </c>
      <c r="K520" s="514"/>
      <c r="L520" s="514"/>
      <c r="M520" s="516" t="s">
        <v>2853</v>
      </c>
      <c r="N520" s="516" t="s">
        <v>2088</v>
      </c>
      <c r="O520" s="517">
        <v>43609</v>
      </c>
      <c r="P520" s="516" t="s">
        <v>3061</v>
      </c>
      <c r="Q520" s="516" t="s">
        <v>2829</v>
      </c>
      <c r="R520" s="518"/>
      <c r="S520" s="519" t="e">
        <f>Table137[[#This Row],[DATE  CLOSED]]-Table137[[#This Row],[INITIATION DATE]]</f>
        <v>#VALUE!</v>
      </c>
    </row>
    <row r="521" spans="1:19" ht="51" x14ac:dyDescent="0.2">
      <c r="A521" s="520" t="s">
        <v>4897</v>
      </c>
      <c r="B521" s="508">
        <v>43587</v>
      </c>
      <c r="C521" s="509" t="s">
        <v>4898</v>
      </c>
      <c r="D521" s="509" t="s">
        <v>4899</v>
      </c>
      <c r="E521" s="510" t="s">
        <v>3825</v>
      </c>
      <c r="F521" s="510">
        <v>1</v>
      </c>
      <c r="G521" s="510" t="s">
        <v>2828</v>
      </c>
      <c r="H521" s="510" t="s">
        <v>4232</v>
      </c>
      <c r="I521" s="510" t="s">
        <v>3926</v>
      </c>
      <c r="J521" s="508">
        <v>43646</v>
      </c>
      <c r="K521" s="508"/>
      <c r="L521" s="508"/>
      <c r="M521" s="510" t="s">
        <v>2853</v>
      </c>
      <c r="N521" s="510" t="s">
        <v>2088</v>
      </c>
      <c r="O521" s="511">
        <v>43600</v>
      </c>
      <c r="P521" s="510" t="s">
        <v>3061</v>
      </c>
      <c r="Q521" s="510" t="s">
        <v>2829</v>
      </c>
      <c r="R521" s="512"/>
      <c r="S521" s="513" t="e">
        <f>Table137[[#This Row],[DATE  CLOSED]]-Table137[[#This Row],[INITIATION DATE]]</f>
        <v>#VALUE!</v>
      </c>
    </row>
    <row r="522" spans="1:19" ht="51" x14ac:dyDescent="0.2">
      <c r="A522" s="521" t="s">
        <v>4900</v>
      </c>
      <c r="B522" s="514">
        <v>43587</v>
      </c>
      <c r="C522" s="515" t="s">
        <v>4901</v>
      </c>
      <c r="D522" s="515" t="s">
        <v>4902</v>
      </c>
      <c r="E522" s="516" t="s">
        <v>3323</v>
      </c>
      <c r="F522" s="516">
        <v>1</v>
      </c>
      <c r="G522" s="516" t="s">
        <v>2828</v>
      </c>
      <c r="H522" s="516" t="s">
        <v>4163</v>
      </c>
      <c r="I522" s="516" t="s">
        <v>3211</v>
      </c>
      <c r="J522" s="514">
        <v>43799</v>
      </c>
      <c r="K522" s="514"/>
      <c r="L522" s="514"/>
      <c r="M522" s="516" t="s">
        <v>2853</v>
      </c>
      <c r="N522" s="516" t="s">
        <v>2088</v>
      </c>
      <c r="O522" s="517">
        <v>43763</v>
      </c>
      <c r="P522" s="342" t="s">
        <v>3061</v>
      </c>
      <c r="Q522" s="516" t="s">
        <v>2835</v>
      </c>
      <c r="R522" s="518"/>
      <c r="S522" s="519" t="e">
        <f>Table137[[#This Row],[DATE  CLOSED]]-Table137[[#This Row],[INITIATION DATE]]</f>
        <v>#VALUE!</v>
      </c>
    </row>
    <row r="523" spans="1:19" ht="76.5" x14ac:dyDescent="0.2">
      <c r="A523" s="338" t="s">
        <v>4903</v>
      </c>
      <c r="B523" s="508">
        <v>43587</v>
      </c>
      <c r="C523" s="343" t="s">
        <v>4904</v>
      </c>
      <c r="D523" s="343" t="s">
        <v>4904</v>
      </c>
      <c r="E523" s="344" t="s">
        <v>3825</v>
      </c>
      <c r="F523" s="510">
        <v>1</v>
      </c>
      <c r="G523" s="344" t="s">
        <v>2828</v>
      </c>
      <c r="H523" s="344" t="s">
        <v>3747</v>
      </c>
      <c r="I523" s="344" t="s">
        <v>4261</v>
      </c>
      <c r="J523" s="508">
        <v>43615</v>
      </c>
      <c r="K523" s="508"/>
      <c r="L523" s="508"/>
      <c r="M523" s="344" t="s">
        <v>2853</v>
      </c>
      <c r="N523" s="510" t="s">
        <v>2088</v>
      </c>
      <c r="O523" s="511">
        <v>43593</v>
      </c>
      <c r="P523" s="510" t="s">
        <v>3061</v>
      </c>
      <c r="Q523" s="510" t="s">
        <v>4987</v>
      </c>
      <c r="R523" s="512"/>
      <c r="S523" s="513" t="e">
        <f>Table137[[#This Row],[DATE  CLOSED]]-Table137[[#This Row],[INITIATION DATE]]</f>
        <v>#VALUE!</v>
      </c>
    </row>
    <row r="524" spans="1:19" ht="51" x14ac:dyDescent="0.2">
      <c r="A524" s="521" t="s">
        <v>4905</v>
      </c>
      <c r="B524" s="514">
        <v>43587</v>
      </c>
      <c r="C524" s="515" t="s">
        <v>4947</v>
      </c>
      <c r="D524" s="515" t="s">
        <v>4906</v>
      </c>
      <c r="E524" s="516" t="s">
        <v>2971</v>
      </c>
      <c r="F524" s="516">
        <v>1</v>
      </c>
      <c r="G524" s="516" t="s">
        <v>2841</v>
      </c>
      <c r="H524" s="516" t="s">
        <v>685</v>
      </c>
      <c r="I524" s="516" t="s">
        <v>229</v>
      </c>
      <c r="J524" s="514">
        <v>43616</v>
      </c>
      <c r="K524" s="514"/>
      <c r="L524" s="514"/>
      <c r="M524" s="516" t="s">
        <v>2853</v>
      </c>
      <c r="N524" s="516" t="s">
        <v>2088</v>
      </c>
      <c r="O524" s="517">
        <v>43608</v>
      </c>
      <c r="P524" s="516" t="s">
        <v>3061</v>
      </c>
      <c r="Q524" s="516" t="s">
        <v>2829</v>
      </c>
      <c r="R524" s="518"/>
      <c r="S524" s="519" t="e">
        <f>Table137[[#This Row],[DATE  CLOSED]]-Table137[[#This Row],[INITIATION DATE]]</f>
        <v>#VALUE!</v>
      </c>
    </row>
    <row r="525" spans="1:19" ht="51" x14ac:dyDescent="0.2">
      <c r="A525" s="520" t="s">
        <v>4907</v>
      </c>
      <c r="B525" s="508">
        <v>43587</v>
      </c>
      <c r="C525" s="509" t="s">
        <v>4948</v>
      </c>
      <c r="D525" s="509" t="s">
        <v>3225</v>
      </c>
      <c r="E525" s="510" t="s">
        <v>2971</v>
      </c>
      <c r="F525" s="510">
        <v>1</v>
      </c>
      <c r="G525" s="510" t="s">
        <v>2841</v>
      </c>
      <c r="H525" s="510" t="s">
        <v>486</v>
      </c>
      <c r="I525" s="510" t="s">
        <v>229</v>
      </c>
      <c r="J525" s="508">
        <v>43616</v>
      </c>
      <c r="K525" s="508"/>
      <c r="L525" s="508"/>
      <c r="M525" s="510" t="s">
        <v>2853</v>
      </c>
      <c r="N525" s="510" t="s">
        <v>2088</v>
      </c>
      <c r="O525" s="511">
        <v>43608</v>
      </c>
      <c r="P525" s="510" t="s">
        <v>3061</v>
      </c>
      <c r="Q525" s="510" t="s">
        <v>2829</v>
      </c>
      <c r="R525" s="512"/>
      <c r="S525" s="513" t="e">
        <f>Table137[[#This Row],[DATE  CLOSED]]-Table137[[#This Row],[INITIATION DATE]]</f>
        <v>#VALUE!</v>
      </c>
    </row>
    <row r="526" spans="1:19" ht="51" x14ac:dyDescent="0.2">
      <c r="A526" s="521" t="s">
        <v>4908</v>
      </c>
      <c r="B526" s="514">
        <v>43588</v>
      </c>
      <c r="C526" s="515" t="s">
        <v>4949</v>
      </c>
      <c r="D526" s="515" t="s">
        <v>4909</v>
      </c>
      <c r="E526" s="516" t="s">
        <v>2971</v>
      </c>
      <c r="F526" s="516">
        <v>1</v>
      </c>
      <c r="G526" s="516" t="s">
        <v>2841</v>
      </c>
      <c r="H526" s="516" t="s">
        <v>3645</v>
      </c>
      <c r="I526" s="516" t="s">
        <v>229</v>
      </c>
      <c r="J526" s="514">
        <v>43616</v>
      </c>
      <c r="K526" s="514"/>
      <c r="L526" s="514"/>
      <c r="M526" s="516" t="s">
        <v>2853</v>
      </c>
      <c r="N526" s="516" t="s">
        <v>2088</v>
      </c>
      <c r="O526" s="517">
        <v>43605</v>
      </c>
      <c r="P526" s="516" t="s">
        <v>3061</v>
      </c>
      <c r="Q526" s="516" t="s">
        <v>2829</v>
      </c>
      <c r="R526" s="518"/>
      <c r="S526" s="519" t="e">
        <f>Table137[[#This Row],[DATE  CLOSED]]-Table137[[#This Row],[INITIATION DATE]]</f>
        <v>#VALUE!</v>
      </c>
    </row>
    <row r="527" spans="1:19" ht="63.75" x14ac:dyDescent="0.2">
      <c r="A527" s="520" t="s">
        <v>4910</v>
      </c>
      <c r="B527" s="508">
        <v>43592</v>
      </c>
      <c r="C527" s="509" t="s">
        <v>4912</v>
      </c>
      <c r="D527" s="509" t="s">
        <v>4911</v>
      </c>
      <c r="E527" s="510" t="s">
        <v>4631</v>
      </c>
      <c r="F527" s="510">
        <v>1</v>
      </c>
      <c r="G527" s="510" t="s">
        <v>2840</v>
      </c>
      <c r="H527" s="510" t="s">
        <v>1339</v>
      </c>
      <c r="I527" s="510" t="s">
        <v>229</v>
      </c>
      <c r="J527" s="508">
        <v>43602</v>
      </c>
      <c r="K527" s="508"/>
      <c r="L527" s="508"/>
      <c r="M527" s="510" t="s">
        <v>2853</v>
      </c>
      <c r="N527" s="510" t="s">
        <v>2088</v>
      </c>
      <c r="O527" s="511">
        <v>43601</v>
      </c>
      <c r="P527" s="510" t="s">
        <v>3061</v>
      </c>
      <c r="Q527" s="510" t="s">
        <v>2829</v>
      </c>
      <c r="R527" s="512"/>
      <c r="S527" s="513" t="e">
        <f>Table137[[#This Row],[DATE  CLOSED]]-Table137[[#This Row],[INITIATION DATE]]</f>
        <v>#VALUE!</v>
      </c>
    </row>
    <row r="528" spans="1:19" ht="51" x14ac:dyDescent="0.2">
      <c r="A528" s="521" t="s">
        <v>4913</v>
      </c>
      <c r="B528" s="514">
        <v>43594</v>
      </c>
      <c r="C528" s="515" t="s">
        <v>4914</v>
      </c>
      <c r="D528" s="515" t="s">
        <v>4915</v>
      </c>
      <c r="E528" s="516" t="s">
        <v>3969</v>
      </c>
      <c r="F528" s="516">
        <v>1</v>
      </c>
      <c r="G528" s="516" t="s">
        <v>2828</v>
      </c>
      <c r="H528" s="516" t="s">
        <v>3423</v>
      </c>
      <c r="I528" s="516" t="s">
        <v>3926</v>
      </c>
      <c r="J528" s="514">
        <v>43616</v>
      </c>
      <c r="K528" s="514"/>
      <c r="L528" s="514"/>
      <c r="M528" s="516" t="s">
        <v>2853</v>
      </c>
      <c r="N528" s="516" t="s">
        <v>3022</v>
      </c>
      <c r="O528" s="517">
        <v>43637</v>
      </c>
      <c r="P528" s="516" t="s">
        <v>3022</v>
      </c>
      <c r="Q528" s="516" t="s">
        <v>2832</v>
      </c>
      <c r="R528" s="518"/>
      <c r="S528" s="519" t="e">
        <f>Table137[[#This Row],[DATE  CLOSED]]-Table137[[#This Row],[INITIATION DATE]]</f>
        <v>#VALUE!</v>
      </c>
    </row>
    <row r="529" spans="1:19" ht="51" x14ac:dyDescent="0.2">
      <c r="A529" s="338" t="s">
        <v>4916</v>
      </c>
      <c r="B529" s="508">
        <v>43598</v>
      </c>
      <c r="C529" s="343" t="s">
        <v>4917</v>
      </c>
      <c r="D529" s="343" t="s">
        <v>3426</v>
      </c>
      <c r="E529" s="344" t="s">
        <v>2971</v>
      </c>
      <c r="F529" s="510">
        <v>1</v>
      </c>
      <c r="G529" s="344" t="s">
        <v>2828</v>
      </c>
      <c r="H529" s="344" t="s">
        <v>3842</v>
      </c>
      <c r="I529" s="344" t="s">
        <v>3211</v>
      </c>
      <c r="J529" s="508">
        <v>43629</v>
      </c>
      <c r="K529" s="508"/>
      <c r="L529" s="508"/>
      <c r="M529" s="344" t="s">
        <v>2853</v>
      </c>
      <c r="N529" s="510" t="s">
        <v>2088</v>
      </c>
      <c r="O529" s="511">
        <v>43600</v>
      </c>
      <c r="P529" s="510" t="s">
        <v>3061</v>
      </c>
      <c r="Q529" s="510" t="s">
        <v>2829</v>
      </c>
      <c r="R529" s="512"/>
      <c r="S529" s="513" t="e">
        <f>Table137[[#This Row],[DATE  CLOSED]]-Table137[[#This Row],[INITIATION DATE]]</f>
        <v>#VALUE!</v>
      </c>
    </row>
    <row r="530" spans="1:19" ht="51" x14ac:dyDescent="0.2">
      <c r="A530" s="521" t="s">
        <v>4918</v>
      </c>
      <c r="B530" s="514">
        <v>43598</v>
      </c>
      <c r="C530" s="515" t="s">
        <v>4919</v>
      </c>
      <c r="D530" s="515" t="s">
        <v>4920</v>
      </c>
      <c r="E530" s="516" t="s">
        <v>4921</v>
      </c>
      <c r="F530" s="516">
        <v>1</v>
      </c>
      <c r="G530" s="516" t="s">
        <v>2828</v>
      </c>
      <c r="H530" s="516" t="s">
        <v>3423</v>
      </c>
      <c r="I530" s="516" t="s">
        <v>3926</v>
      </c>
      <c r="J530" s="514">
        <v>43629</v>
      </c>
      <c r="K530" s="514"/>
      <c r="L530" s="514"/>
      <c r="M530" s="516" t="s">
        <v>2853</v>
      </c>
      <c r="N530" s="516" t="s">
        <v>2088</v>
      </c>
      <c r="O530" s="517">
        <v>43642</v>
      </c>
      <c r="P530" s="516" t="s">
        <v>3061</v>
      </c>
      <c r="Q530" s="516" t="s">
        <v>2829</v>
      </c>
      <c r="R530" s="518"/>
      <c r="S530" s="519" t="e">
        <f>Table137[[#This Row],[DATE  CLOSED]]-Table137[[#This Row],[INITIATION DATE]]</f>
        <v>#VALUE!</v>
      </c>
    </row>
    <row r="531" spans="1:19" ht="114.75" x14ac:dyDescent="0.2">
      <c r="A531" s="520" t="s">
        <v>4922</v>
      </c>
      <c r="B531" s="508">
        <v>43598</v>
      </c>
      <c r="C531" s="509" t="s">
        <v>4923</v>
      </c>
      <c r="D531" s="343" t="s">
        <v>4924</v>
      </c>
      <c r="E531" s="510" t="s">
        <v>2971</v>
      </c>
      <c r="F531" s="510">
        <v>1</v>
      </c>
      <c r="G531" s="510" t="s">
        <v>2841</v>
      </c>
      <c r="H531" s="510" t="s">
        <v>3729</v>
      </c>
      <c r="I531" s="510" t="s">
        <v>229</v>
      </c>
      <c r="J531" s="508">
        <v>43616</v>
      </c>
      <c r="K531" s="508"/>
      <c r="L531" s="508"/>
      <c r="M531" s="510" t="s">
        <v>2853</v>
      </c>
      <c r="N531" s="510" t="s">
        <v>2088</v>
      </c>
      <c r="O531" s="511">
        <v>43616</v>
      </c>
      <c r="P531" s="510" t="s">
        <v>3061</v>
      </c>
      <c r="Q531" s="510" t="s">
        <v>2829</v>
      </c>
      <c r="R531" s="512"/>
      <c r="S531" s="513" t="e">
        <f>Table137[[#This Row],[DATE  CLOSED]]-Table137[[#This Row],[INITIATION DATE]]</f>
        <v>#VALUE!</v>
      </c>
    </row>
    <row r="532" spans="1:19" ht="25.5" x14ac:dyDescent="0.2">
      <c r="A532" s="521" t="s">
        <v>4926</v>
      </c>
      <c r="B532" s="514">
        <v>43608</v>
      </c>
      <c r="C532" s="515" t="s">
        <v>2605</v>
      </c>
      <c r="D532" s="515" t="s">
        <v>4927</v>
      </c>
      <c r="E532" s="516" t="s">
        <v>2971</v>
      </c>
      <c r="F532" s="516">
        <v>1</v>
      </c>
      <c r="G532" s="516" t="s">
        <v>2838</v>
      </c>
      <c r="H532" s="516" t="s">
        <v>685</v>
      </c>
      <c r="I532" s="516" t="s">
        <v>229</v>
      </c>
      <c r="J532" s="514">
        <v>43644</v>
      </c>
      <c r="K532" s="514"/>
      <c r="L532" s="514"/>
      <c r="M532" s="516" t="s">
        <v>2853</v>
      </c>
      <c r="N532" s="516" t="s">
        <v>2088</v>
      </c>
      <c r="O532" s="517">
        <v>43616</v>
      </c>
      <c r="P532" s="516" t="s">
        <v>3061</v>
      </c>
      <c r="Q532" s="516" t="s">
        <v>2829</v>
      </c>
      <c r="R532" s="518"/>
      <c r="S532" s="519" t="e">
        <f>Table137[[#This Row],[DATE  CLOSED]]-Table137[[#This Row],[INITIATION DATE]]</f>
        <v>#VALUE!</v>
      </c>
    </row>
    <row r="533" spans="1:19" ht="51" x14ac:dyDescent="0.2">
      <c r="A533" s="520" t="s">
        <v>4928</v>
      </c>
      <c r="B533" s="508">
        <v>43609</v>
      </c>
      <c r="C533" s="509" t="s">
        <v>4950</v>
      </c>
      <c r="D533" s="509" t="s">
        <v>4930</v>
      </c>
      <c r="E533" s="510" t="s">
        <v>2971</v>
      </c>
      <c r="F533" s="510">
        <v>1</v>
      </c>
      <c r="G533" s="510" t="s">
        <v>2841</v>
      </c>
      <c r="H533" s="510" t="s">
        <v>4021</v>
      </c>
      <c r="I533" s="510" t="s">
        <v>3211</v>
      </c>
      <c r="J533" s="508">
        <v>43646</v>
      </c>
      <c r="K533" s="508"/>
      <c r="L533" s="508"/>
      <c r="M533" s="510" t="s">
        <v>2853</v>
      </c>
      <c r="N533" s="510" t="s">
        <v>3022</v>
      </c>
      <c r="O533" s="511">
        <v>43656</v>
      </c>
      <c r="P533" s="510" t="s">
        <v>3022</v>
      </c>
      <c r="Q533" s="510" t="s">
        <v>2832</v>
      </c>
      <c r="R533" s="512"/>
      <c r="S533" s="513" t="e">
        <f>Table137[[#This Row],[DATE  CLOSED]]-Table137[[#This Row],[INITIATION DATE]]</f>
        <v>#VALUE!</v>
      </c>
    </row>
    <row r="534" spans="1:19" ht="51" x14ac:dyDescent="0.2">
      <c r="A534" s="521" t="s">
        <v>4929</v>
      </c>
      <c r="B534" s="514">
        <v>43609</v>
      </c>
      <c r="C534" s="515" t="s">
        <v>4951</v>
      </c>
      <c r="D534" s="515" t="s">
        <v>4930</v>
      </c>
      <c r="E534" s="516" t="s">
        <v>2971</v>
      </c>
      <c r="F534" s="516">
        <v>1</v>
      </c>
      <c r="G534" s="516" t="s">
        <v>2841</v>
      </c>
      <c r="H534" s="516" t="s">
        <v>4021</v>
      </c>
      <c r="I534" s="516" t="s">
        <v>3211</v>
      </c>
      <c r="J534" s="514">
        <v>43646</v>
      </c>
      <c r="K534" s="514"/>
      <c r="L534" s="514"/>
      <c r="M534" s="516" t="s">
        <v>2853</v>
      </c>
      <c r="N534" s="516" t="s">
        <v>3022</v>
      </c>
      <c r="O534" s="517">
        <v>43656</v>
      </c>
      <c r="P534" s="516" t="s">
        <v>3022</v>
      </c>
      <c r="Q534" s="516" t="s">
        <v>2832</v>
      </c>
      <c r="R534" s="518"/>
      <c r="S534" s="519" t="e">
        <f>Table137[[#This Row],[DATE  CLOSED]]-Table137[[#This Row],[INITIATION DATE]]</f>
        <v>#VALUE!</v>
      </c>
    </row>
    <row r="535" spans="1:19" ht="89.25" x14ac:dyDescent="0.2">
      <c r="A535" s="338" t="s">
        <v>4931</v>
      </c>
      <c r="B535" s="508">
        <v>43614</v>
      </c>
      <c r="C535" s="343" t="s">
        <v>4932</v>
      </c>
      <c r="D535" s="343" t="s">
        <v>4933</v>
      </c>
      <c r="E535" s="344" t="s">
        <v>4242</v>
      </c>
      <c r="F535" s="510">
        <v>1</v>
      </c>
      <c r="G535" s="344" t="s">
        <v>2828</v>
      </c>
      <c r="H535" s="344" t="s">
        <v>3423</v>
      </c>
      <c r="I535" s="344" t="s">
        <v>3211</v>
      </c>
      <c r="J535" s="508">
        <v>43646</v>
      </c>
      <c r="K535" s="508"/>
      <c r="L535" s="508"/>
      <c r="M535" s="344" t="s">
        <v>2853</v>
      </c>
      <c r="N535" s="510" t="s">
        <v>3022</v>
      </c>
      <c r="O535" s="511">
        <v>43644</v>
      </c>
      <c r="P535" s="510" t="s">
        <v>3061</v>
      </c>
      <c r="Q535" s="510" t="s">
        <v>2829</v>
      </c>
      <c r="R535" s="512"/>
      <c r="S535" s="513" t="e">
        <f>Table137[[#This Row],[DATE  CLOSED]]-Table137[[#This Row],[INITIATION DATE]]</f>
        <v>#VALUE!</v>
      </c>
    </row>
    <row r="536" spans="1:19" ht="114.75" x14ac:dyDescent="0.2">
      <c r="A536" s="340" t="s">
        <v>4934</v>
      </c>
      <c r="B536" s="514">
        <v>43616</v>
      </c>
      <c r="C536" s="515" t="s">
        <v>4935</v>
      </c>
      <c r="D536" s="515" t="s">
        <v>4936</v>
      </c>
      <c r="E536" s="516" t="s">
        <v>4675</v>
      </c>
      <c r="F536" s="516">
        <v>1</v>
      </c>
      <c r="G536" s="516" t="s">
        <v>2828</v>
      </c>
      <c r="H536" s="516" t="s">
        <v>3975</v>
      </c>
      <c r="I536" s="516" t="s">
        <v>3926</v>
      </c>
      <c r="J536" s="514">
        <v>43646</v>
      </c>
      <c r="K536" s="514"/>
      <c r="L536" s="514"/>
      <c r="M536" s="516" t="s">
        <v>2853</v>
      </c>
      <c r="N536" s="516" t="s">
        <v>2088</v>
      </c>
      <c r="O536" s="517">
        <v>43628</v>
      </c>
      <c r="P536" s="516" t="s">
        <v>3061</v>
      </c>
      <c r="Q536" s="516" t="s">
        <v>2829</v>
      </c>
      <c r="R536" s="518"/>
      <c r="S536" s="519" t="e">
        <f>Table137[[#This Row],[DATE  CLOSED]]-Table137[[#This Row],[INITIATION DATE]]</f>
        <v>#VALUE!</v>
      </c>
    </row>
    <row r="537" spans="1:19" ht="63.75" x14ac:dyDescent="0.2">
      <c r="A537" s="338" t="s">
        <v>4937</v>
      </c>
      <c r="B537" s="508">
        <v>43616</v>
      </c>
      <c r="C537" s="509" t="s">
        <v>4939</v>
      </c>
      <c r="D537" s="509" t="s">
        <v>4940</v>
      </c>
      <c r="E537" s="510" t="s">
        <v>2971</v>
      </c>
      <c r="F537" s="510">
        <v>1</v>
      </c>
      <c r="G537" s="510" t="s">
        <v>2838</v>
      </c>
      <c r="H537" s="510" t="s">
        <v>685</v>
      </c>
      <c r="I537" s="510" t="s">
        <v>229</v>
      </c>
      <c r="J537" s="508">
        <v>43616</v>
      </c>
      <c r="K537" s="508"/>
      <c r="L537" s="508"/>
      <c r="M537" s="510" t="s">
        <v>2853</v>
      </c>
      <c r="N537" s="510" t="s">
        <v>2088</v>
      </c>
      <c r="O537" s="511">
        <v>43616</v>
      </c>
      <c r="P537" s="510" t="s">
        <v>3061</v>
      </c>
      <c r="Q537" s="510" t="s">
        <v>2829</v>
      </c>
      <c r="R537" s="512"/>
      <c r="S537" s="513" t="e">
        <f>Table137[[#This Row],[DATE  CLOSED]]-Table137[[#This Row],[INITIATION DATE]]</f>
        <v>#VALUE!</v>
      </c>
    </row>
    <row r="538" spans="1:19" ht="127.5" x14ac:dyDescent="0.2">
      <c r="A538" s="340" t="s">
        <v>4938</v>
      </c>
      <c r="B538" s="514">
        <v>43616</v>
      </c>
      <c r="C538" s="515" t="s">
        <v>4941</v>
      </c>
      <c r="D538" s="515" t="s">
        <v>4942</v>
      </c>
      <c r="E538" s="516" t="s">
        <v>2971</v>
      </c>
      <c r="F538" s="516">
        <v>1</v>
      </c>
      <c r="G538" s="516" t="s">
        <v>2838</v>
      </c>
      <c r="H538" s="516" t="s">
        <v>685</v>
      </c>
      <c r="I538" s="516" t="s">
        <v>229</v>
      </c>
      <c r="J538" s="514">
        <v>43644</v>
      </c>
      <c r="K538" s="514"/>
      <c r="L538" s="514"/>
      <c r="M538" s="516" t="s">
        <v>2853</v>
      </c>
      <c r="N538" s="516" t="s">
        <v>3022</v>
      </c>
      <c r="O538" s="517">
        <v>43697</v>
      </c>
      <c r="P538" s="516" t="s">
        <v>3022</v>
      </c>
      <c r="Q538" s="516" t="s">
        <v>2832</v>
      </c>
      <c r="R538" s="518"/>
      <c r="S538" s="519" t="e">
        <f>Table137[[#This Row],[DATE  CLOSED]]-Table137[[#This Row],[INITIATION DATE]]</f>
        <v>#VALUE!</v>
      </c>
    </row>
    <row r="539" spans="1:19" ht="51" x14ac:dyDescent="0.2">
      <c r="A539" s="338" t="s">
        <v>4943</v>
      </c>
      <c r="B539" s="508">
        <v>43619</v>
      </c>
      <c r="C539" s="509" t="s">
        <v>4944</v>
      </c>
      <c r="D539" s="509" t="s">
        <v>3039</v>
      </c>
      <c r="E539" s="510" t="s">
        <v>2971</v>
      </c>
      <c r="F539" s="510">
        <v>1</v>
      </c>
      <c r="G539" s="510" t="s">
        <v>2841</v>
      </c>
      <c r="H539" s="510" t="s">
        <v>1339</v>
      </c>
      <c r="I539" s="510" t="s">
        <v>229</v>
      </c>
      <c r="J539" s="508">
        <v>43644</v>
      </c>
      <c r="K539" s="508"/>
      <c r="L539" s="508"/>
      <c r="M539" s="510" t="s">
        <v>2853</v>
      </c>
      <c r="N539" s="510" t="s">
        <v>2088</v>
      </c>
      <c r="O539" s="511">
        <v>43636</v>
      </c>
      <c r="P539" s="510" t="s">
        <v>3061</v>
      </c>
      <c r="Q539" s="510" t="s">
        <v>2829</v>
      </c>
      <c r="R539" s="512"/>
      <c r="S539" s="513" t="e">
        <f>Table137[[#This Row],[DATE  CLOSED]]-Table137[[#This Row],[INITIATION DATE]]</f>
        <v>#VALUE!</v>
      </c>
    </row>
    <row r="540" spans="1:19" ht="51" x14ac:dyDescent="0.2">
      <c r="A540" s="340" t="s">
        <v>4952</v>
      </c>
      <c r="B540" s="514">
        <v>43621</v>
      </c>
      <c r="C540" s="515" t="s">
        <v>4953</v>
      </c>
      <c r="D540" s="515" t="s">
        <v>4954</v>
      </c>
      <c r="E540" s="516" t="s">
        <v>3586</v>
      </c>
      <c r="F540" s="516">
        <v>1</v>
      </c>
      <c r="G540" s="516" t="s">
        <v>2828</v>
      </c>
      <c r="H540" s="516" t="s">
        <v>2106</v>
      </c>
      <c r="I540" s="516" t="s">
        <v>3211</v>
      </c>
      <c r="J540" s="514">
        <v>43646</v>
      </c>
      <c r="K540" s="514"/>
      <c r="L540" s="514"/>
      <c r="M540" s="516" t="s">
        <v>2853</v>
      </c>
      <c r="N540" s="516" t="s">
        <v>2088</v>
      </c>
      <c r="O540" s="517">
        <v>43627</v>
      </c>
      <c r="P540" s="516" t="s">
        <v>3061</v>
      </c>
      <c r="Q540" s="516" t="s">
        <v>2829</v>
      </c>
      <c r="R540" s="518"/>
      <c r="S540" s="519" t="e">
        <f>Table137[[#This Row],[DATE  CLOSED]]-Table137[[#This Row],[INITIATION DATE]]</f>
        <v>#VALUE!</v>
      </c>
    </row>
    <row r="541" spans="1:19" ht="89.25" x14ac:dyDescent="0.2">
      <c r="A541" s="338" t="s">
        <v>4955</v>
      </c>
      <c r="B541" s="508">
        <v>43621</v>
      </c>
      <c r="C541" s="509" t="s">
        <v>4956</v>
      </c>
      <c r="D541" s="509" t="s">
        <v>4957</v>
      </c>
      <c r="E541" s="510" t="s">
        <v>2971</v>
      </c>
      <c r="F541" s="510">
        <v>1</v>
      </c>
      <c r="G541" s="510" t="s">
        <v>2836</v>
      </c>
      <c r="H541" s="510" t="s">
        <v>3991</v>
      </c>
      <c r="I541" s="510" t="s">
        <v>229</v>
      </c>
      <c r="J541" s="508">
        <v>43677</v>
      </c>
      <c r="K541" s="508"/>
      <c r="L541" s="508"/>
      <c r="M541" s="510" t="s">
        <v>2853</v>
      </c>
      <c r="N541" s="510" t="s">
        <v>3061</v>
      </c>
      <c r="O541" s="511">
        <v>43658</v>
      </c>
      <c r="P541" s="510" t="s">
        <v>3061</v>
      </c>
      <c r="Q541" s="510" t="s">
        <v>2832</v>
      </c>
      <c r="R541" s="512"/>
      <c r="S541" s="513" t="e">
        <f>Table137[[#This Row],[DATE  CLOSED]]-Table137[[#This Row],[INITIATION DATE]]</f>
        <v>#VALUE!</v>
      </c>
    </row>
    <row r="542" spans="1:19" ht="38.25" x14ac:dyDescent="0.2">
      <c r="A542" s="521" t="s">
        <v>4960</v>
      </c>
      <c r="B542" s="514">
        <v>43622</v>
      </c>
      <c r="C542" s="515" t="s">
        <v>4958</v>
      </c>
      <c r="D542" s="515" t="s">
        <v>4959</v>
      </c>
      <c r="E542" s="516" t="s">
        <v>2971</v>
      </c>
      <c r="F542" s="516">
        <v>1</v>
      </c>
      <c r="G542" s="516" t="s">
        <v>2828</v>
      </c>
      <c r="H542" s="516" t="s">
        <v>4079</v>
      </c>
      <c r="I542" s="516" t="s">
        <v>3211</v>
      </c>
      <c r="J542" s="514">
        <v>43654</v>
      </c>
      <c r="K542" s="514"/>
      <c r="L542" s="514"/>
      <c r="M542" s="516" t="s">
        <v>2853</v>
      </c>
      <c r="N542" s="516" t="s">
        <v>2088</v>
      </c>
      <c r="O542" s="517">
        <v>43749</v>
      </c>
      <c r="P542" s="516" t="s">
        <v>3061</v>
      </c>
      <c r="Q542" s="516" t="s">
        <v>2835</v>
      </c>
      <c r="R542" s="518"/>
      <c r="S542" s="519" t="e">
        <f>Table137[[#This Row],[DATE  CLOSED]]-Table137[[#This Row],[INITIATION DATE]]</f>
        <v>#VALUE!</v>
      </c>
    </row>
    <row r="543" spans="1:19" ht="76.5" x14ac:dyDescent="0.2">
      <c r="A543" s="520" t="s">
        <v>4961</v>
      </c>
      <c r="B543" s="508">
        <v>43623</v>
      </c>
      <c r="C543" s="509" t="s">
        <v>4962</v>
      </c>
      <c r="D543" s="509" t="s">
        <v>4963</v>
      </c>
      <c r="E543" s="510" t="s">
        <v>2971</v>
      </c>
      <c r="F543" s="510">
        <v>1</v>
      </c>
      <c r="G543" s="510" t="s">
        <v>2836</v>
      </c>
      <c r="H543" s="510" t="s">
        <v>685</v>
      </c>
      <c r="I543" s="510" t="s">
        <v>229</v>
      </c>
      <c r="J543" s="508">
        <v>43644</v>
      </c>
      <c r="K543" s="508"/>
      <c r="L543" s="508"/>
      <c r="M543" s="510" t="s">
        <v>2853</v>
      </c>
      <c r="N543" s="510" t="s">
        <v>2088</v>
      </c>
      <c r="O543" s="511">
        <v>43629</v>
      </c>
      <c r="P543" s="510" t="s">
        <v>3061</v>
      </c>
      <c r="Q543" s="510" t="s">
        <v>2829</v>
      </c>
      <c r="R543" s="512"/>
      <c r="S543" s="513" t="e">
        <f>Table137[[#This Row],[DATE  CLOSED]]-Table137[[#This Row],[INITIATION DATE]]</f>
        <v>#VALUE!</v>
      </c>
    </row>
    <row r="544" spans="1:19" ht="63.75" x14ac:dyDescent="0.2">
      <c r="A544" s="521" t="s">
        <v>4964</v>
      </c>
      <c r="B544" s="514">
        <v>43623</v>
      </c>
      <c r="C544" s="341" t="s">
        <v>4965</v>
      </c>
      <c r="D544" s="341" t="s">
        <v>4966</v>
      </c>
      <c r="E544" s="342" t="s">
        <v>3969</v>
      </c>
      <c r="F544" s="516">
        <v>1</v>
      </c>
      <c r="G544" s="342" t="s">
        <v>2828</v>
      </c>
      <c r="H544" s="342" t="s">
        <v>3423</v>
      </c>
      <c r="I544" s="342" t="s">
        <v>3211</v>
      </c>
      <c r="J544" s="514">
        <v>43654</v>
      </c>
      <c r="K544" s="514"/>
      <c r="L544" s="514"/>
      <c r="M544" s="342" t="s">
        <v>2853</v>
      </c>
      <c r="N544" s="516" t="s">
        <v>2088</v>
      </c>
      <c r="O544" s="517">
        <v>43642</v>
      </c>
      <c r="P544" s="516" t="s">
        <v>3061</v>
      </c>
      <c r="Q544" s="516" t="s">
        <v>2829</v>
      </c>
      <c r="R544" s="518"/>
      <c r="S544" s="519" t="e">
        <f>Table137[[#This Row],[DATE  CLOSED]]-Table137[[#This Row],[INITIATION DATE]]</f>
        <v>#VALUE!</v>
      </c>
    </row>
    <row r="545" spans="1:19" ht="51" x14ac:dyDescent="0.2">
      <c r="A545" s="520" t="s">
        <v>4967</v>
      </c>
      <c r="B545" s="508">
        <v>43626</v>
      </c>
      <c r="C545" s="509" t="s">
        <v>4968</v>
      </c>
      <c r="D545" s="509" t="s">
        <v>4048</v>
      </c>
      <c r="E545" s="510" t="s">
        <v>2971</v>
      </c>
      <c r="F545" s="510">
        <v>1</v>
      </c>
      <c r="G545" s="510" t="s">
        <v>2841</v>
      </c>
      <c r="H545" s="510" t="s">
        <v>229</v>
      </c>
      <c r="I545" s="510" t="s">
        <v>229</v>
      </c>
      <c r="J545" s="508">
        <v>43644</v>
      </c>
      <c r="K545" s="508"/>
      <c r="L545" s="508"/>
      <c r="M545" s="510" t="s">
        <v>2853</v>
      </c>
      <c r="N545" s="510" t="s">
        <v>2088</v>
      </c>
      <c r="O545" s="511">
        <v>43648</v>
      </c>
      <c r="P545" s="510" t="s">
        <v>3061</v>
      </c>
      <c r="Q545" s="510" t="s">
        <v>2829</v>
      </c>
      <c r="R545" s="512"/>
      <c r="S545" s="513" t="e">
        <f>Table137[[#This Row],[DATE  CLOSED]]-Table137[[#This Row],[INITIATION DATE]]</f>
        <v>#VALUE!</v>
      </c>
    </row>
    <row r="546" spans="1:19" ht="51" x14ac:dyDescent="0.2">
      <c r="A546" s="521" t="s">
        <v>4969</v>
      </c>
      <c r="B546" s="514">
        <v>43627</v>
      </c>
      <c r="C546" s="515" t="s">
        <v>4970</v>
      </c>
      <c r="D546" s="515" t="s">
        <v>4456</v>
      </c>
      <c r="E546" s="516" t="s">
        <v>2971</v>
      </c>
      <c r="F546" s="516">
        <v>1</v>
      </c>
      <c r="G546" s="516" t="s">
        <v>2841</v>
      </c>
      <c r="H546" s="516" t="s">
        <v>3926</v>
      </c>
      <c r="I546" s="516" t="s">
        <v>229</v>
      </c>
      <c r="J546" s="514">
        <v>43646</v>
      </c>
      <c r="K546" s="514"/>
      <c r="L546" s="514"/>
      <c r="M546" s="516" t="s">
        <v>2853</v>
      </c>
      <c r="N546" s="516" t="s">
        <v>2088</v>
      </c>
      <c r="O546" s="517">
        <v>43658</v>
      </c>
      <c r="P546" s="516" t="s">
        <v>3061</v>
      </c>
      <c r="Q546" s="516" t="s">
        <v>2829</v>
      </c>
      <c r="R546" s="518"/>
      <c r="S546" s="519" t="e">
        <f>Table137[[#This Row],[DATE  CLOSED]]-Table137[[#This Row],[INITIATION DATE]]</f>
        <v>#VALUE!</v>
      </c>
    </row>
    <row r="547" spans="1:19" ht="51" x14ac:dyDescent="0.2">
      <c r="A547" s="520" t="s">
        <v>4974</v>
      </c>
      <c r="B547" s="508">
        <v>43629</v>
      </c>
      <c r="C547" s="509" t="s">
        <v>4975</v>
      </c>
      <c r="D547" s="509" t="s">
        <v>3225</v>
      </c>
      <c r="E547" s="510" t="s">
        <v>2971</v>
      </c>
      <c r="F547" s="510">
        <v>1</v>
      </c>
      <c r="G547" s="510" t="s">
        <v>2841</v>
      </c>
      <c r="H547" s="510" t="s">
        <v>486</v>
      </c>
      <c r="I547" s="510" t="s">
        <v>229</v>
      </c>
      <c r="J547" s="508">
        <v>43644</v>
      </c>
      <c r="K547" s="508"/>
      <c r="L547" s="508"/>
      <c r="M547" s="510" t="s">
        <v>2853</v>
      </c>
      <c r="N547" s="510" t="s">
        <v>2088</v>
      </c>
      <c r="O547" s="511">
        <v>43654</v>
      </c>
      <c r="P547" s="510" t="s">
        <v>3061</v>
      </c>
      <c r="Q547" s="510" t="s">
        <v>2829</v>
      </c>
      <c r="R547" s="512"/>
      <c r="S547" s="513" t="e">
        <f>Table137[[#This Row],[DATE  CLOSED]]-Table137[[#This Row],[INITIATION DATE]]</f>
        <v>#VALUE!</v>
      </c>
    </row>
    <row r="548" spans="1:19" ht="51" x14ac:dyDescent="0.2">
      <c r="A548" s="521" t="s">
        <v>4976</v>
      </c>
      <c r="B548" s="514">
        <v>43630</v>
      </c>
      <c r="C548" s="515" t="s">
        <v>4977</v>
      </c>
      <c r="D548" s="515" t="s">
        <v>3873</v>
      </c>
      <c r="E548" s="516" t="s">
        <v>2971</v>
      </c>
      <c r="F548" s="516">
        <v>1</v>
      </c>
      <c r="G548" s="516" t="s">
        <v>2841</v>
      </c>
      <c r="H548" s="516" t="s">
        <v>3991</v>
      </c>
      <c r="I548" s="516" t="s">
        <v>229</v>
      </c>
      <c r="J548" s="514">
        <v>43644</v>
      </c>
      <c r="K548" s="514"/>
      <c r="L548" s="514"/>
      <c r="M548" s="516" t="s">
        <v>2853</v>
      </c>
      <c r="N548" s="516" t="s">
        <v>2088</v>
      </c>
      <c r="O548" s="517">
        <v>43648</v>
      </c>
      <c r="P548" s="516" t="s">
        <v>3061</v>
      </c>
      <c r="Q548" s="516" t="s">
        <v>2829</v>
      </c>
      <c r="R548" s="518"/>
      <c r="S548" s="519" t="e">
        <f>Table137[[#This Row],[DATE  CLOSED]]-Table137[[#This Row],[INITIATION DATE]]</f>
        <v>#VALUE!</v>
      </c>
    </row>
    <row r="549" spans="1:19" ht="140.25" x14ac:dyDescent="0.2">
      <c r="A549" s="520" t="s">
        <v>4978</v>
      </c>
      <c r="B549" s="508">
        <v>43630</v>
      </c>
      <c r="C549" s="509" t="s">
        <v>4980</v>
      </c>
      <c r="D549" s="509" t="s">
        <v>4979</v>
      </c>
      <c r="E549" s="510" t="s">
        <v>2971</v>
      </c>
      <c r="F549" s="510">
        <v>1</v>
      </c>
      <c r="G549" s="510" t="s">
        <v>2834</v>
      </c>
      <c r="H549" s="510" t="s">
        <v>3645</v>
      </c>
      <c r="I549" s="510" t="s">
        <v>441</v>
      </c>
      <c r="J549" s="508">
        <v>43637</v>
      </c>
      <c r="K549" s="508"/>
      <c r="L549" s="508"/>
      <c r="M549" s="510" t="s">
        <v>2853</v>
      </c>
      <c r="N549" s="510" t="s">
        <v>1139</v>
      </c>
      <c r="O549" s="511">
        <v>43633</v>
      </c>
      <c r="P549" s="510" t="s">
        <v>3061</v>
      </c>
      <c r="Q549" s="510" t="s">
        <v>2829</v>
      </c>
      <c r="R549" s="512" t="s">
        <v>5016</v>
      </c>
      <c r="S549" s="513" t="e">
        <f>Table137[[#This Row],[DATE  CLOSED]]-Table137[[#This Row],[INITIATION DATE]]</f>
        <v>#VALUE!</v>
      </c>
    </row>
    <row r="550" spans="1:19" ht="89.25" x14ac:dyDescent="0.2">
      <c r="A550" s="521" t="s">
        <v>4984</v>
      </c>
      <c r="B550" s="514">
        <v>43634</v>
      </c>
      <c r="C550" s="341" t="s">
        <v>4986</v>
      </c>
      <c r="D550" s="341" t="s">
        <v>4985</v>
      </c>
      <c r="E550" s="342" t="s">
        <v>3777</v>
      </c>
      <c r="F550" s="516">
        <v>1</v>
      </c>
      <c r="G550" s="342" t="s">
        <v>2828</v>
      </c>
      <c r="H550" s="342" t="s">
        <v>4079</v>
      </c>
      <c r="I550" s="342" t="s">
        <v>3926</v>
      </c>
      <c r="J550" s="514">
        <v>43677</v>
      </c>
      <c r="K550" s="514"/>
      <c r="L550" s="514"/>
      <c r="M550" s="342" t="s">
        <v>2853</v>
      </c>
      <c r="N550" s="516" t="s">
        <v>2088</v>
      </c>
      <c r="O550" s="517">
        <v>43665</v>
      </c>
      <c r="P550" s="516" t="s">
        <v>3061</v>
      </c>
      <c r="Q550" s="516" t="s">
        <v>2829</v>
      </c>
      <c r="R550" s="518"/>
      <c r="S550" s="519" t="e">
        <f>Table137[[#This Row],[DATE  CLOSED]]-Table137[[#This Row],[INITIATION DATE]]</f>
        <v>#VALUE!</v>
      </c>
    </row>
    <row r="551" spans="1:19" ht="63.75" x14ac:dyDescent="0.2">
      <c r="A551" s="338" t="s">
        <v>4988</v>
      </c>
      <c r="B551" s="339">
        <v>43636</v>
      </c>
      <c r="C551" s="343" t="s">
        <v>4989</v>
      </c>
      <c r="D551" s="343" t="s">
        <v>4990</v>
      </c>
      <c r="E551" s="344" t="s">
        <v>3825</v>
      </c>
      <c r="F551" s="510">
        <v>1</v>
      </c>
      <c r="G551" s="344" t="s">
        <v>2828</v>
      </c>
      <c r="H551" s="344" t="s">
        <v>4232</v>
      </c>
      <c r="I551" s="344" t="s">
        <v>3211</v>
      </c>
      <c r="J551" s="508">
        <v>43668</v>
      </c>
      <c r="K551" s="508"/>
      <c r="L551" s="508"/>
      <c r="M551" s="344" t="s">
        <v>2853</v>
      </c>
      <c r="N551" s="510" t="s">
        <v>1139</v>
      </c>
      <c r="O551" s="511">
        <v>43642</v>
      </c>
      <c r="P551" s="510" t="s">
        <v>3061</v>
      </c>
      <c r="Q551" s="510" t="s">
        <v>2829</v>
      </c>
      <c r="R551" s="512"/>
      <c r="S551" s="513" t="e">
        <f>Table137[[#This Row],[DATE  CLOSED]]-Table137[[#This Row],[INITIATION DATE]]</f>
        <v>#VALUE!</v>
      </c>
    </row>
    <row r="552" spans="1:19" ht="102" x14ac:dyDescent="0.2">
      <c r="A552" s="340" t="s">
        <v>4991</v>
      </c>
      <c r="B552" s="514">
        <v>43640</v>
      </c>
      <c r="C552" s="341" t="s">
        <v>4992</v>
      </c>
      <c r="D552" s="341" t="s">
        <v>3873</v>
      </c>
      <c r="E552" s="342" t="s">
        <v>2971</v>
      </c>
      <c r="F552" s="516">
        <v>1</v>
      </c>
      <c r="G552" s="342" t="s">
        <v>2841</v>
      </c>
      <c r="H552" s="342" t="s">
        <v>727</v>
      </c>
      <c r="I552" s="342" t="s">
        <v>229</v>
      </c>
      <c r="J552" s="514">
        <v>43644</v>
      </c>
      <c r="K552" s="514"/>
      <c r="L552" s="514"/>
      <c r="M552" s="342" t="s">
        <v>2853</v>
      </c>
      <c r="N552" s="516" t="s">
        <v>2088</v>
      </c>
      <c r="O552" s="517">
        <v>43658</v>
      </c>
      <c r="P552" s="516" t="s">
        <v>3061</v>
      </c>
      <c r="Q552" s="516" t="s">
        <v>2829</v>
      </c>
      <c r="R552" s="518"/>
      <c r="S552" s="519" t="e">
        <f>Table137[[#This Row],[DATE  CLOSED]]-Table137[[#This Row],[INITIATION DATE]]</f>
        <v>#VALUE!</v>
      </c>
    </row>
    <row r="553" spans="1:19" ht="76.5" x14ac:dyDescent="0.2">
      <c r="A553" s="338" t="s">
        <v>4994</v>
      </c>
      <c r="B553" s="508">
        <v>43641</v>
      </c>
      <c r="C553" s="509" t="s">
        <v>4995</v>
      </c>
      <c r="D553" s="509" t="s">
        <v>3873</v>
      </c>
      <c r="E553" s="510" t="s">
        <v>2971</v>
      </c>
      <c r="F553" s="510">
        <v>1</v>
      </c>
      <c r="G553" s="510" t="s">
        <v>2841</v>
      </c>
      <c r="H553" s="510" t="s">
        <v>486</v>
      </c>
      <c r="I553" s="510" t="s">
        <v>229</v>
      </c>
      <c r="J553" s="508">
        <v>43644</v>
      </c>
      <c r="K553" s="508"/>
      <c r="L553" s="508"/>
      <c r="M553" s="510" t="s">
        <v>2853</v>
      </c>
      <c r="N553" s="510" t="s">
        <v>2088</v>
      </c>
      <c r="O553" s="511">
        <v>43656</v>
      </c>
      <c r="P553" s="510" t="s">
        <v>3061</v>
      </c>
      <c r="Q553" s="510" t="s">
        <v>2829</v>
      </c>
      <c r="R553" s="512"/>
      <c r="S553" s="513" t="e">
        <f>Table137[[#This Row],[DATE  CLOSED]]-Table137[[#This Row],[INITIATION DATE]]</f>
        <v>#VALUE!</v>
      </c>
    </row>
    <row r="554" spans="1:19" ht="127.5" x14ac:dyDescent="0.2">
      <c r="A554" s="340" t="s">
        <v>4996</v>
      </c>
      <c r="B554" s="514">
        <v>43641</v>
      </c>
      <c r="C554" s="515" t="s">
        <v>4997</v>
      </c>
      <c r="D554" s="515" t="s">
        <v>3873</v>
      </c>
      <c r="E554" s="516" t="s">
        <v>2971</v>
      </c>
      <c r="F554" s="516">
        <v>1</v>
      </c>
      <c r="G554" s="516" t="s">
        <v>2841</v>
      </c>
      <c r="H554" s="516" t="s">
        <v>481</v>
      </c>
      <c r="I554" s="516" t="s">
        <v>229</v>
      </c>
      <c r="J554" s="514">
        <v>43644</v>
      </c>
      <c r="K554" s="514"/>
      <c r="L554" s="514"/>
      <c r="M554" s="516" t="s">
        <v>2853</v>
      </c>
      <c r="N554" s="516" t="s">
        <v>2088</v>
      </c>
      <c r="O554" s="517">
        <v>43656</v>
      </c>
      <c r="P554" s="516" t="s">
        <v>3061</v>
      </c>
      <c r="Q554" s="516" t="s">
        <v>2829</v>
      </c>
      <c r="R554" s="518"/>
      <c r="S554" s="519" t="e">
        <f>Table137[[#This Row],[DATE  CLOSED]]-Table137[[#This Row],[INITIATION DATE]]</f>
        <v>#VALUE!</v>
      </c>
    </row>
    <row r="555" spans="1:19" ht="63.75" x14ac:dyDescent="0.2">
      <c r="A555" s="520" t="s">
        <v>4998</v>
      </c>
      <c r="B555" s="508">
        <v>43642</v>
      </c>
      <c r="C555" s="509" t="s">
        <v>4999</v>
      </c>
      <c r="D555" s="509" t="s">
        <v>5000</v>
      </c>
      <c r="E555" s="510" t="s">
        <v>3532</v>
      </c>
      <c r="F555" s="510">
        <v>1</v>
      </c>
      <c r="G555" s="510" t="s">
        <v>2836</v>
      </c>
      <c r="H555" s="510" t="s">
        <v>3423</v>
      </c>
      <c r="I555" s="510" t="s">
        <v>3211</v>
      </c>
      <c r="J555" s="508">
        <v>43679</v>
      </c>
      <c r="K555" s="508">
        <v>43799</v>
      </c>
      <c r="L555" s="508">
        <v>43861</v>
      </c>
      <c r="M555" s="510" t="s">
        <v>2853</v>
      </c>
      <c r="N555" s="510" t="s">
        <v>3061</v>
      </c>
      <c r="O555" s="511">
        <v>43861</v>
      </c>
      <c r="P555" s="510" t="s">
        <v>3061</v>
      </c>
      <c r="Q555" s="510" t="s">
        <v>2837</v>
      </c>
      <c r="R555" s="512"/>
      <c r="S555" s="513" t="e">
        <f>Table137[[#This Row],[DATE  CLOSED]]-Table137[[#This Row],[INITIATION DATE]]</f>
        <v>#VALUE!</v>
      </c>
    </row>
    <row r="556" spans="1:19" ht="51" x14ac:dyDescent="0.2">
      <c r="A556" s="521" t="s">
        <v>5001</v>
      </c>
      <c r="B556" s="514">
        <v>43643</v>
      </c>
      <c r="C556" s="515" t="s">
        <v>5002</v>
      </c>
      <c r="D556" s="515" t="s">
        <v>5003</v>
      </c>
      <c r="E556" s="516" t="s">
        <v>3473</v>
      </c>
      <c r="F556" s="516">
        <v>1</v>
      </c>
      <c r="G556" s="516" t="s">
        <v>2828</v>
      </c>
      <c r="H556" s="516" t="s">
        <v>4079</v>
      </c>
      <c r="I556" s="516" t="s">
        <v>3926</v>
      </c>
      <c r="J556" s="514">
        <v>43677</v>
      </c>
      <c r="K556" s="514"/>
      <c r="L556" s="514"/>
      <c r="M556" s="516" t="s">
        <v>2853</v>
      </c>
      <c r="N556" s="516" t="s">
        <v>2088</v>
      </c>
      <c r="O556" s="517">
        <v>43671</v>
      </c>
      <c r="P556" s="516" t="s">
        <v>3061</v>
      </c>
      <c r="Q556" s="516" t="s">
        <v>2829</v>
      </c>
      <c r="R556" s="518"/>
      <c r="S556" s="519" t="e">
        <f>Table137[[#This Row],[DATE  CLOSED]]-Table137[[#This Row],[INITIATION DATE]]</f>
        <v>#VALUE!</v>
      </c>
    </row>
    <row r="557" spans="1:19" ht="63.75" x14ac:dyDescent="0.2">
      <c r="A557" s="520" t="s">
        <v>5004</v>
      </c>
      <c r="B557" s="508">
        <v>43648</v>
      </c>
      <c r="C557" s="509" t="s">
        <v>5040</v>
      </c>
      <c r="D557" s="509" t="s">
        <v>5005</v>
      </c>
      <c r="E557" s="510" t="s">
        <v>2971</v>
      </c>
      <c r="F557" s="510">
        <v>1</v>
      </c>
      <c r="G557" s="510" t="s">
        <v>2838</v>
      </c>
      <c r="H557" s="510" t="s">
        <v>685</v>
      </c>
      <c r="I557" s="510" t="s">
        <v>229</v>
      </c>
      <c r="J557" s="508">
        <v>43707</v>
      </c>
      <c r="K557" s="508"/>
      <c r="L557" s="508"/>
      <c r="M557" s="510" t="s">
        <v>2853</v>
      </c>
      <c r="N557" s="510" t="s">
        <v>2088</v>
      </c>
      <c r="O557" s="511">
        <v>43654</v>
      </c>
      <c r="P557" s="510" t="s">
        <v>3061</v>
      </c>
      <c r="Q557" s="510" t="s">
        <v>2829</v>
      </c>
      <c r="R557" s="512"/>
      <c r="S557" s="513" t="e">
        <f>Table137[[#This Row],[DATE  CLOSED]]-Table137[[#This Row],[INITIATION DATE]]</f>
        <v>#VALUE!</v>
      </c>
    </row>
    <row r="558" spans="1:19" ht="38.25" x14ac:dyDescent="0.2">
      <c r="A558" s="521" t="s">
        <v>5006</v>
      </c>
      <c r="B558" s="514">
        <v>43648</v>
      </c>
      <c r="C558" s="515" t="s">
        <v>5007</v>
      </c>
      <c r="D558" s="515" t="s">
        <v>5008</v>
      </c>
      <c r="E558" s="516" t="s">
        <v>3519</v>
      </c>
      <c r="F558" s="516">
        <v>2</v>
      </c>
      <c r="G558" s="516" t="s">
        <v>2828</v>
      </c>
      <c r="H558" s="516" t="s">
        <v>4163</v>
      </c>
      <c r="I558" s="516" t="s">
        <v>3211</v>
      </c>
      <c r="J558" s="514">
        <v>43679</v>
      </c>
      <c r="K558" s="514">
        <v>43738</v>
      </c>
      <c r="L558" s="514"/>
      <c r="M558" s="516" t="s">
        <v>2853</v>
      </c>
      <c r="N558" s="516" t="s">
        <v>2088</v>
      </c>
      <c r="O558" s="517">
        <v>43669</v>
      </c>
      <c r="P558" s="516" t="s">
        <v>3061</v>
      </c>
      <c r="Q558" s="516" t="s">
        <v>2829</v>
      </c>
      <c r="R558" s="518" t="s">
        <v>5139</v>
      </c>
      <c r="S558" s="519" t="e">
        <f>Table137[[#This Row],[DATE  CLOSED]]-Table137[[#This Row],[INITIATION DATE]]</f>
        <v>#VALUE!</v>
      </c>
    </row>
    <row r="559" spans="1:19" ht="89.25" x14ac:dyDescent="0.2">
      <c r="A559" s="520" t="s">
        <v>5014</v>
      </c>
      <c r="B559" s="508">
        <v>43657</v>
      </c>
      <c r="C559" s="509" t="s">
        <v>5015</v>
      </c>
      <c r="D559" s="509" t="s">
        <v>3873</v>
      </c>
      <c r="E559" s="510" t="s">
        <v>2971</v>
      </c>
      <c r="F559" s="510">
        <v>1</v>
      </c>
      <c r="G559" s="510" t="s">
        <v>2841</v>
      </c>
      <c r="H559" s="510" t="s">
        <v>229</v>
      </c>
      <c r="I559" s="510" t="s">
        <v>3645</v>
      </c>
      <c r="J559" s="508">
        <v>43677</v>
      </c>
      <c r="K559" s="508"/>
      <c r="L559" s="508"/>
      <c r="M559" s="510" t="s">
        <v>2853</v>
      </c>
      <c r="N559" s="510" t="s">
        <v>2088</v>
      </c>
      <c r="O559" s="511">
        <v>43671</v>
      </c>
      <c r="P559" s="510" t="s">
        <v>3061</v>
      </c>
      <c r="Q559" s="510" t="s">
        <v>2829</v>
      </c>
      <c r="R559" s="512"/>
      <c r="S559" s="513" t="e">
        <f>Table137[[#This Row],[DATE  CLOSED]]-Table137[[#This Row],[INITIATION DATE]]</f>
        <v>#VALUE!</v>
      </c>
    </row>
    <row r="560" spans="1:19" ht="76.5" x14ac:dyDescent="0.2">
      <c r="A560" s="521" t="s">
        <v>5017</v>
      </c>
      <c r="B560" s="514">
        <v>43658</v>
      </c>
      <c r="C560" s="515" t="s">
        <v>5018</v>
      </c>
      <c r="D560" s="515" t="s">
        <v>5019</v>
      </c>
      <c r="E560" s="516" t="s">
        <v>3519</v>
      </c>
      <c r="F560" s="516">
        <v>2</v>
      </c>
      <c r="G560" s="516" t="s">
        <v>2828</v>
      </c>
      <c r="H560" s="516" t="s">
        <v>4163</v>
      </c>
      <c r="I560" s="516" t="s">
        <v>3211</v>
      </c>
      <c r="J560" s="514">
        <v>43720</v>
      </c>
      <c r="K560" s="514">
        <v>43756</v>
      </c>
      <c r="L560" s="514"/>
      <c r="M560" s="516" t="s">
        <v>2853</v>
      </c>
      <c r="N560" s="516" t="s">
        <v>3061</v>
      </c>
      <c r="O560" s="517">
        <v>43731</v>
      </c>
      <c r="P560" s="516" t="s">
        <v>3061</v>
      </c>
      <c r="Q560" s="516" t="s">
        <v>2832</v>
      </c>
      <c r="R560" s="518"/>
      <c r="S560" s="519" t="e">
        <f>Table137[[#This Row],[DATE  CLOSED]]-Table137[[#This Row],[INITIATION DATE]]</f>
        <v>#VALUE!</v>
      </c>
    </row>
    <row r="561" spans="1:19" ht="51" x14ac:dyDescent="0.2">
      <c r="A561" s="520" t="s">
        <v>5020</v>
      </c>
      <c r="B561" s="508">
        <v>43662</v>
      </c>
      <c r="C561" s="509" t="s">
        <v>5021</v>
      </c>
      <c r="D561" s="509" t="s">
        <v>3039</v>
      </c>
      <c r="E561" s="510" t="s">
        <v>2971</v>
      </c>
      <c r="F561" s="510">
        <v>1</v>
      </c>
      <c r="G561" s="510" t="s">
        <v>2841</v>
      </c>
      <c r="H561" s="510" t="s">
        <v>3747</v>
      </c>
      <c r="I561" s="510" t="s">
        <v>229</v>
      </c>
      <c r="J561" s="508">
        <v>43677</v>
      </c>
      <c r="K561" s="508"/>
      <c r="L561" s="508"/>
      <c r="M561" s="510" t="s">
        <v>2853</v>
      </c>
      <c r="N561" s="510" t="s">
        <v>2088</v>
      </c>
      <c r="O561" s="511">
        <v>43670</v>
      </c>
      <c r="P561" s="510" t="s">
        <v>3061</v>
      </c>
      <c r="Q561" s="510" t="s">
        <v>2829</v>
      </c>
      <c r="R561" s="512"/>
      <c r="S561" s="513" t="e">
        <f>Table137[[#This Row],[DATE  CLOSED]]-Table137[[#This Row],[INITIATION DATE]]</f>
        <v>#VALUE!</v>
      </c>
    </row>
    <row r="562" spans="1:19" ht="51" x14ac:dyDescent="0.2">
      <c r="A562" s="340" t="s">
        <v>5022</v>
      </c>
      <c r="B562" s="514">
        <v>43662</v>
      </c>
      <c r="C562" s="341" t="s">
        <v>5023</v>
      </c>
      <c r="D562" s="341" t="s">
        <v>5024</v>
      </c>
      <c r="E562" s="342" t="s">
        <v>3825</v>
      </c>
      <c r="F562" s="516">
        <v>1</v>
      </c>
      <c r="G562" s="342" t="s">
        <v>2828</v>
      </c>
      <c r="H562" s="342" t="s">
        <v>4232</v>
      </c>
      <c r="I562" s="342" t="s">
        <v>3211</v>
      </c>
      <c r="J562" s="514">
        <v>43693</v>
      </c>
      <c r="K562" s="514"/>
      <c r="L562" s="514"/>
      <c r="M562" s="342" t="s">
        <v>2853</v>
      </c>
      <c r="N562" s="516" t="s">
        <v>2088</v>
      </c>
      <c r="O562" s="517">
        <v>43662</v>
      </c>
      <c r="P562" s="342" t="s">
        <v>3061</v>
      </c>
      <c r="Q562" s="516" t="s">
        <v>2829</v>
      </c>
      <c r="R562" s="518"/>
      <c r="S562" s="519" t="e">
        <f>Table137[[#This Row],[DATE  CLOSED]]-Table137[[#This Row],[INITIATION DATE]]</f>
        <v>#VALUE!</v>
      </c>
    </row>
    <row r="563" spans="1:19" ht="25.5" x14ac:dyDescent="0.2">
      <c r="A563" s="338" t="s">
        <v>5030</v>
      </c>
      <c r="B563" s="508">
        <v>43663</v>
      </c>
      <c r="C563" s="343" t="s">
        <v>5031</v>
      </c>
      <c r="D563" s="343" t="s">
        <v>5032</v>
      </c>
      <c r="E563" s="344" t="s">
        <v>2971</v>
      </c>
      <c r="F563" s="510">
        <v>1</v>
      </c>
      <c r="G563" s="344" t="s">
        <v>2838</v>
      </c>
      <c r="H563" s="344" t="s">
        <v>4796</v>
      </c>
      <c r="I563" s="344" t="s">
        <v>229</v>
      </c>
      <c r="J563" s="508">
        <v>43769</v>
      </c>
      <c r="K563" s="508">
        <v>43982</v>
      </c>
      <c r="L563" s="508"/>
      <c r="M563" s="344" t="s">
        <v>2853</v>
      </c>
      <c r="N563" s="510" t="s">
        <v>3022</v>
      </c>
      <c r="O563" s="511">
        <v>44196</v>
      </c>
      <c r="P563" s="344" t="s">
        <v>3022</v>
      </c>
      <c r="Q563" s="510" t="s">
        <v>2839</v>
      </c>
      <c r="R563" s="512"/>
      <c r="S563" s="513" t="e">
        <f>Table137[[#This Row],[DATE  CLOSED]]-Table137[[#This Row],[INITIATION DATE]]</f>
        <v>#VALUE!</v>
      </c>
    </row>
    <row r="564" spans="1:19" ht="89.25" x14ac:dyDescent="0.2">
      <c r="A564" s="340" t="s">
        <v>5034</v>
      </c>
      <c r="B564" s="514">
        <v>43664</v>
      </c>
      <c r="C564" s="341" t="s">
        <v>5046</v>
      </c>
      <c r="D564" s="341" t="s">
        <v>5008</v>
      </c>
      <c r="E564" s="342" t="s">
        <v>4256</v>
      </c>
      <c r="F564" s="516">
        <v>1</v>
      </c>
      <c r="G564" s="342" t="s">
        <v>2828</v>
      </c>
      <c r="H564" s="342" t="s">
        <v>4232</v>
      </c>
      <c r="I564" s="342" t="s">
        <v>3211</v>
      </c>
      <c r="J564" s="514">
        <v>43696</v>
      </c>
      <c r="K564" s="514"/>
      <c r="L564" s="514"/>
      <c r="M564" s="342" t="s">
        <v>2853</v>
      </c>
      <c r="N564" s="516" t="s">
        <v>2088</v>
      </c>
      <c r="O564" s="517">
        <v>43675</v>
      </c>
      <c r="P564" s="342" t="s">
        <v>3061</v>
      </c>
      <c r="Q564" s="516" t="s">
        <v>2829</v>
      </c>
      <c r="R564" s="518"/>
      <c r="S564" s="519" t="e">
        <f>Table137[[#This Row],[DATE  CLOSED]]-Table137[[#This Row],[INITIATION DATE]]</f>
        <v>#VALUE!</v>
      </c>
    </row>
    <row r="565" spans="1:19" ht="63.75" x14ac:dyDescent="0.2">
      <c r="A565" s="338" t="s">
        <v>5035</v>
      </c>
      <c r="B565" s="508">
        <v>43665</v>
      </c>
      <c r="C565" s="343" t="s">
        <v>5036</v>
      </c>
      <c r="D565" s="343" t="s">
        <v>3606</v>
      </c>
      <c r="E565" s="344" t="s">
        <v>4675</v>
      </c>
      <c r="F565" s="510">
        <v>1</v>
      </c>
      <c r="G565" s="344" t="s">
        <v>2828</v>
      </c>
      <c r="H565" s="344" t="s">
        <v>3975</v>
      </c>
      <c r="I565" s="344" t="s">
        <v>3211</v>
      </c>
      <c r="J565" s="508">
        <v>43696</v>
      </c>
      <c r="K565" s="508"/>
      <c r="L565" s="508"/>
      <c r="M565" s="344" t="s">
        <v>2853</v>
      </c>
      <c r="N565" s="510" t="s">
        <v>2088</v>
      </c>
      <c r="O565" s="511">
        <v>43668</v>
      </c>
      <c r="P565" s="344" t="s">
        <v>3061</v>
      </c>
      <c r="Q565" s="510" t="s">
        <v>2829</v>
      </c>
      <c r="R565" s="512"/>
      <c r="S565" s="513" t="e">
        <f>Table137[[#This Row],[DATE  CLOSED]]-Table137[[#This Row],[INITIATION DATE]]</f>
        <v>#VALUE!</v>
      </c>
    </row>
    <row r="566" spans="1:19" ht="63.75" x14ac:dyDescent="0.2">
      <c r="A566" s="340" t="s">
        <v>5037</v>
      </c>
      <c r="B566" s="514">
        <v>43665</v>
      </c>
      <c r="C566" s="341" t="s">
        <v>5038</v>
      </c>
      <c r="D566" s="341" t="s">
        <v>5039</v>
      </c>
      <c r="E566" s="342" t="s">
        <v>2971</v>
      </c>
      <c r="F566" s="516">
        <v>1</v>
      </c>
      <c r="G566" s="342" t="s">
        <v>2838</v>
      </c>
      <c r="H566" s="342" t="s">
        <v>685</v>
      </c>
      <c r="I566" s="342" t="s">
        <v>229</v>
      </c>
      <c r="J566" s="514">
        <v>43677</v>
      </c>
      <c r="K566" s="514"/>
      <c r="L566" s="514"/>
      <c r="M566" s="342" t="s">
        <v>2853</v>
      </c>
      <c r="N566" s="516" t="s">
        <v>2088</v>
      </c>
      <c r="O566" s="517">
        <v>43740</v>
      </c>
      <c r="P566" s="342" t="s">
        <v>3022</v>
      </c>
      <c r="Q566" s="516" t="s">
        <v>2835</v>
      </c>
      <c r="R566" s="518" t="s">
        <v>5080</v>
      </c>
      <c r="S566" s="519" t="e">
        <f>Table137[[#This Row],[DATE  CLOSED]]-Table137[[#This Row],[INITIATION DATE]]</f>
        <v>#VALUE!</v>
      </c>
    </row>
    <row r="567" spans="1:19" ht="127.5" x14ac:dyDescent="0.2">
      <c r="A567" s="338" t="s">
        <v>5041</v>
      </c>
      <c r="B567" s="508">
        <v>43668</v>
      </c>
      <c r="C567" s="509" t="s">
        <v>5042</v>
      </c>
      <c r="D567" s="509" t="s">
        <v>3039</v>
      </c>
      <c r="E567" s="510" t="s">
        <v>2971</v>
      </c>
      <c r="F567" s="510">
        <v>1</v>
      </c>
      <c r="G567" s="510" t="s">
        <v>2841</v>
      </c>
      <c r="H567" s="510" t="s">
        <v>685</v>
      </c>
      <c r="I567" s="510" t="s">
        <v>229</v>
      </c>
      <c r="J567" s="508">
        <v>43677</v>
      </c>
      <c r="K567" s="508"/>
      <c r="L567" s="508"/>
      <c r="M567" s="510" t="s">
        <v>2853</v>
      </c>
      <c r="N567" s="510" t="s">
        <v>2088</v>
      </c>
      <c r="O567" s="511">
        <v>43670</v>
      </c>
      <c r="P567" s="510" t="s">
        <v>3061</v>
      </c>
      <c r="Q567" s="510" t="s">
        <v>2829</v>
      </c>
      <c r="R567" s="512"/>
      <c r="S567" s="513" t="e">
        <f>Table137[[#This Row],[DATE  CLOSED]]-Table137[[#This Row],[INITIATION DATE]]</f>
        <v>#VALUE!</v>
      </c>
    </row>
    <row r="568" spans="1:19" ht="51" x14ac:dyDescent="0.2">
      <c r="A568" s="340" t="s">
        <v>5043</v>
      </c>
      <c r="B568" s="514">
        <v>43672</v>
      </c>
      <c r="C568" s="515" t="s">
        <v>5044</v>
      </c>
      <c r="D568" s="515" t="s">
        <v>5045</v>
      </c>
      <c r="E568" s="516" t="s">
        <v>3473</v>
      </c>
      <c r="F568" s="516">
        <v>1</v>
      </c>
      <c r="G568" s="516" t="s">
        <v>2828</v>
      </c>
      <c r="H568" s="516" t="s">
        <v>4079</v>
      </c>
      <c r="I568" s="516" t="s">
        <v>3211</v>
      </c>
      <c r="J568" s="514">
        <v>43860</v>
      </c>
      <c r="K568" s="514"/>
      <c r="L568" s="514"/>
      <c r="M568" s="516" t="s">
        <v>2853</v>
      </c>
      <c r="N568" s="516" t="s">
        <v>2088</v>
      </c>
      <c r="O568" s="517">
        <v>43830</v>
      </c>
      <c r="P568" s="516" t="s">
        <v>3061</v>
      </c>
      <c r="Q568" s="516" t="s">
        <v>2835</v>
      </c>
      <c r="R568" s="518"/>
      <c r="S568" s="519" t="e">
        <f>Table137[[#This Row],[DATE  CLOSED]]-Table137[[#This Row],[INITIATION DATE]]</f>
        <v>#VALUE!</v>
      </c>
    </row>
    <row r="569" spans="1:19" ht="51" x14ac:dyDescent="0.2">
      <c r="A569" s="338" t="s">
        <v>5047</v>
      </c>
      <c r="B569" s="508">
        <v>43676</v>
      </c>
      <c r="C569" s="509" t="s">
        <v>5048</v>
      </c>
      <c r="D569" s="509" t="s">
        <v>5049</v>
      </c>
      <c r="E569" s="510" t="s">
        <v>2971</v>
      </c>
      <c r="F569" s="510">
        <v>1</v>
      </c>
      <c r="G569" s="510" t="s">
        <v>2836</v>
      </c>
      <c r="H569" s="510" t="s">
        <v>229</v>
      </c>
      <c r="I569" s="510" t="s">
        <v>755</v>
      </c>
      <c r="J569" s="508">
        <v>43707</v>
      </c>
      <c r="K569" s="508"/>
      <c r="L569" s="508"/>
      <c r="M569" s="510" t="s">
        <v>2853</v>
      </c>
      <c r="N569" s="510" t="s">
        <v>2088</v>
      </c>
      <c r="O569" s="511">
        <v>43682</v>
      </c>
      <c r="P569" s="510" t="s">
        <v>3061</v>
      </c>
      <c r="Q569" s="510" t="s">
        <v>2829</v>
      </c>
      <c r="R569" s="512"/>
      <c r="S569" s="513" t="e">
        <f>Table137[[#This Row],[DATE  CLOSED]]-Table137[[#This Row],[INITIATION DATE]]</f>
        <v>#VALUE!</v>
      </c>
    </row>
    <row r="570" spans="1:19" ht="38.25" x14ac:dyDescent="0.2">
      <c r="A570" s="340" t="s">
        <v>5050</v>
      </c>
      <c r="B570" s="514">
        <v>43676</v>
      </c>
      <c r="C570" s="515" t="s">
        <v>5051</v>
      </c>
      <c r="D570" s="515" t="s">
        <v>5052</v>
      </c>
      <c r="E570" s="516" t="s">
        <v>2971</v>
      </c>
      <c r="F570" s="516">
        <v>1</v>
      </c>
      <c r="G570" s="516" t="s">
        <v>2836</v>
      </c>
      <c r="H570" s="516" t="s">
        <v>685</v>
      </c>
      <c r="I570" s="516" t="s">
        <v>229</v>
      </c>
      <c r="J570" s="514">
        <v>43686</v>
      </c>
      <c r="K570" s="514"/>
      <c r="L570" s="514"/>
      <c r="M570" s="516" t="s">
        <v>2853</v>
      </c>
      <c r="N570" s="516" t="s">
        <v>2088</v>
      </c>
      <c r="O570" s="517">
        <v>43678</v>
      </c>
      <c r="P570" s="516" t="s">
        <v>3061</v>
      </c>
      <c r="Q570" s="516" t="s">
        <v>2829</v>
      </c>
      <c r="R570" s="518"/>
      <c r="S570" s="519" t="e">
        <f>Table137[[#This Row],[DATE  CLOSED]]-Table137[[#This Row],[INITIATION DATE]]</f>
        <v>#VALUE!</v>
      </c>
    </row>
    <row r="571" spans="1:19" ht="127.5" x14ac:dyDescent="0.2">
      <c r="A571" s="338" t="s">
        <v>5053</v>
      </c>
      <c r="B571" s="508">
        <v>43678</v>
      </c>
      <c r="C571" s="343" t="s">
        <v>5054</v>
      </c>
      <c r="D571" s="343" t="s">
        <v>5055</v>
      </c>
      <c r="E571" s="344" t="s">
        <v>2971</v>
      </c>
      <c r="F571" s="510">
        <v>1</v>
      </c>
      <c r="G571" s="510" t="s">
        <v>2834</v>
      </c>
      <c r="H571" s="344" t="s">
        <v>516</v>
      </c>
      <c r="I571" s="344" t="s">
        <v>3645</v>
      </c>
      <c r="J571" s="508">
        <v>43685</v>
      </c>
      <c r="K571" s="508"/>
      <c r="L571" s="508"/>
      <c r="M571" s="344" t="s">
        <v>2853</v>
      </c>
      <c r="N571" s="510" t="s">
        <v>2088</v>
      </c>
      <c r="O571" s="511">
        <v>43679</v>
      </c>
      <c r="P571" s="510" t="s">
        <v>4224</v>
      </c>
      <c r="Q571" s="510" t="s">
        <v>2829</v>
      </c>
      <c r="R571" s="512"/>
      <c r="S571" s="513" t="e">
        <f>Table137[[#This Row],[DATE  CLOSED]]-Table137[[#This Row],[INITIATION DATE]]</f>
        <v>#VALUE!</v>
      </c>
    </row>
    <row r="572" spans="1:19" ht="127.5" x14ac:dyDescent="0.2">
      <c r="A572" s="340" t="s">
        <v>5057</v>
      </c>
      <c r="B572" s="514">
        <v>43682</v>
      </c>
      <c r="C572" s="515" t="s">
        <v>5058</v>
      </c>
      <c r="D572" s="515" t="s">
        <v>5059</v>
      </c>
      <c r="E572" s="516" t="s">
        <v>3825</v>
      </c>
      <c r="F572" s="516">
        <v>1</v>
      </c>
      <c r="G572" s="516" t="s">
        <v>2828</v>
      </c>
      <c r="H572" s="516" t="s">
        <v>5060</v>
      </c>
      <c r="I572" s="516" t="s">
        <v>3926</v>
      </c>
      <c r="J572" s="514">
        <v>43713</v>
      </c>
      <c r="K572" s="514"/>
      <c r="L572" s="514"/>
      <c r="M572" s="516" t="s">
        <v>2853</v>
      </c>
      <c r="N572" s="516" t="s">
        <v>2088</v>
      </c>
      <c r="O572" s="517">
        <v>43716</v>
      </c>
      <c r="P572" s="516" t="s">
        <v>4224</v>
      </c>
      <c r="Q572" s="516" t="s">
        <v>2829</v>
      </c>
      <c r="R572" s="518" t="s">
        <v>4971</v>
      </c>
      <c r="S572" s="519" t="e">
        <f>Table137[[#This Row],[DATE  CLOSED]]-Table137[[#This Row],[INITIATION DATE]]</f>
        <v>#VALUE!</v>
      </c>
    </row>
    <row r="573" spans="1:19" ht="76.5" x14ac:dyDescent="0.2">
      <c r="A573" s="338" t="s">
        <v>5061</v>
      </c>
      <c r="B573" s="508">
        <v>43682</v>
      </c>
      <c r="C573" s="509" t="s">
        <v>5064</v>
      </c>
      <c r="D573" s="509" t="s">
        <v>5063</v>
      </c>
      <c r="E573" s="510" t="s">
        <v>2971</v>
      </c>
      <c r="F573" s="510">
        <v>1</v>
      </c>
      <c r="G573" s="510" t="s">
        <v>2836</v>
      </c>
      <c r="H573" s="510" t="s">
        <v>4079</v>
      </c>
      <c r="I573" s="510" t="s">
        <v>3926</v>
      </c>
      <c r="J573" s="508">
        <v>43713</v>
      </c>
      <c r="K573" s="508"/>
      <c r="L573" s="508"/>
      <c r="M573" s="510" t="s">
        <v>2853</v>
      </c>
      <c r="N573" s="510" t="s">
        <v>2088</v>
      </c>
      <c r="O573" s="511">
        <v>43692</v>
      </c>
      <c r="P573" s="510" t="s">
        <v>3061</v>
      </c>
      <c r="Q573" s="510" t="s">
        <v>2829</v>
      </c>
      <c r="R573" s="512"/>
      <c r="S573" s="513" t="e">
        <f>Table137[[#This Row],[DATE  CLOSED]]-Table137[[#This Row],[INITIATION DATE]]</f>
        <v>#VALUE!</v>
      </c>
    </row>
    <row r="574" spans="1:19" ht="63.75" x14ac:dyDescent="0.2">
      <c r="A574" s="340" t="s">
        <v>5062</v>
      </c>
      <c r="B574" s="514">
        <v>43683</v>
      </c>
      <c r="C574" s="515" t="s">
        <v>5065</v>
      </c>
      <c r="D574" s="515" t="s">
        <v>5066</v>
      </c>
      <c r="E574" s="516" t="s">
        <v>2971</v>
      </c>
      <c r="F574" s="516">
        <v>1</v>
      </c>
      <c r="G574" s="516" t="s">
        <v>2836</v>
      </c>
      <c r="H574" s="516" t="s">
        <v>4079</v>
      </c>
      <c r="I574" s="516" t="s">
        <v>3926</v>
      </c>
      <c r="J574" s="514">
        <v>43775</v>
      </c>
      <c r="K574" s="514"/>
      <c r="L574" s="514"/>
      <c r="M574" s="516" t="s">
        <v>2853</v>
      </c>
      <c r="N574" s="516" t="s">
        <v>2088</v>
      </c>
      <c r="O574" s="517">
        <v>43781</v>
      </c>
      <c r="P574" s="516" t="s">
        <v>3061</v>
      </c>
      <c r="Q574" s="516" t="s">
        <v>2832</v>
      </c>
      <c r="R574" s="518" t="s">
        <v>5217</v>
      </c>
      <c r="S574" s="519" t="e">
        <f>Table137[[#This Row],[DATE  CLOSED]]-Table137[[#This Row],[INITIATION DATE]]</f>
        <v>#VALUE!</v>
      </c>
    </row>
    <row r="575" spans="1:19" ht="153" x14ac:dyDescent="0.2">
      <c r="A575" s="338" t="s">
        <v>5242</v>
      </c>
      <c r="B575" s="508">
        <v>43684</v>
      </c>
      <c r="C575" s="509" t="s">
        <v>5090</v>
      </c>
      <c r="D575" s="509" t="s">
        <v>5067</v>
      </c>
      <c r="E575" s="510" t="s">
        <v>2971</v>
      </c>
      <c r="F575" s="510">
        <v>1</v>
      </c>
      <c r="G575" s="510" t="s">
        <v>2836</v>
      </c>
      <c r="H575" s="510" t="s">
        <v>481</v>
      </c>
      <c r="I575" s="510" t="s">
        <v>3926</v>
      </c>
      <c r="J575" s="508">
        <v>43689</v>
      </c>
      <c r="K575" s="508"/>
      <c r="L575" s="508"/>
      <c r="M575" s="510" t="s">
        <v>2853</v>
      </c>
      <c r="N575" s="510" t="s">
        <v>2088</v>
      </c>
      <c r="O575" s="511">
        <v>43689</v>
      </c>
      <c r="P575" s="510" t="s">
        <v>3061</v>
      </c>
      <c r="Q575" s="510" t="s">
        <v>2829</v>
      </c>
      <c r="R575" s="512"/>
      <c r="S575" s="513" t="e">
        <f>Table137[[#This Row],[DATE  CLOSED]]-Table137[[#This Row],[INITIATION DATE]]</f>
        <v>#VALUE!</v>
      </c>
    </row>
    <row r="576" spans="1:19" ht="38.25" x14ac:dyDescent="0.2">
      <c r="A576" s="340" t="s">
        <v>5069</v>
      </c>
      <c r="B576" s="514">
        <v>43689</v>
      </c>
      <c r="C576" s="341" t="s">
        <v>3102</v>
      </c>
      <c r="D576" s="341" t="s">
        <v>3103</v>
      </c>
      <c r="E576" s="342" t="s">
        <v>2971</v>
      </c>
      <c r="F576" s="342">
        <v>1</v>
      </c>
      <c r="G576" s="516" t="s">
        <v>2840</v>
      </c>
      <c r="H576" s="342" t="s">
        <v>441</v>
      </c>
      <c r="I576" s="342" t="s">
        <v>229</v>
      </c>
      <c r="J576" s="514">
        <v>43708</v>
      </c>
      <c r="K576" s="342"/>
      <c r="L576" s="342"/>
      <c r="M576" s="514" t="s">
        <v>2853</v>
      </c>
      <c r="N576" s="342" t="s">
        <v>2088</v>
      </c>
      <c r="O576" s="472">
        <v>43693</v>
      </c>
      <c r="P576" s="516" t="s">
        <v>3061</v>
      </c>
      <c r="Q576" s="516" t="s">
        <v>2829</v>
      </c>
      <c r="R576" s="516"/>
      <c r="S576" s="519" t="e">
        <f>Table137[[#This Row],[DATE  CLOSED]]-Table137[[#This Row],[INITIATION DATE]]</f>
        <v>#VALUE!</v>
      </c>
    </row>
    <row r="577" spans="1:19" ht="140.25" x14ac:dyDescent="0.2">
      <c r="A577" s="338" t="s">
        <v>5071</v>
      </c>
      <c r="B577" s="508">
        <v>43690</v>
      </c>
      <c r="C577" s="509" t="s">
        <v>5073</v>
      </c>
      <c r="D577" s="509" t="s">
        <v>5072</v>
      </c>
      <c r="E577" s="510" t="s">
        <v>4256</v>
      </c>
      <c r="F577" s="510">
        <v>2</v>
      </c>
      <c r="G577" s="510" t="s">
        <v>2828</v>
      </c>
      <c r="H577" s="510" t="s">
        <v>4232</v>
      </c>
      <c r="I577" s="510" t="s">
        <v>3211</v>
      </c>
      <c r="J577" s="508">
        <v>43721</v>
      </c>
      <c r="K577" s="508"/>
      <c r="L577" s="508"/>
      <c r="M577" s="510" t="s">
        <v>2853</v>
      </c>
      <c r="N577" s="510" t="s">
        <v>2088</v>
      </c>
      <c r="O577" s="511">
        <v>43704</v>
      </c>
      <c r="P577" s="510" t="s">
        <v>3061</v>
      </c>
      <c r="Q577" s="510" t="s">
        <v>2829</v>
      </c>
      <c r="R577" s="512"/>
      <c r="S577" s="513" t="e">
        <f>Table137[[#This Row],[DATE  CLOSED]]-Table137[[#This Row],[INITIATION DATE]]</f>
        <v>#VALUE!</v>
      </c>
    </row>
    <row r="578" spans="1:19" ht="127.5" x14ac:dyDescent="0.2">
      <c r="A578" s="340" t="s">
        <v>5074</v>
      </c>
      <c r="B578" s="514">
        <v>43691</v>
      </c>
      <c r="C578" s="515" t="s">
        <v>5075</v>
      </c>
      <c r="D578" s="515" t="s">
        <v>5076</v>
      </c>
      <c r="E578" s="516" t="s">
        <v>2971</v>
      </c>
      <c r="F578" s="516">
        <v>1</v>
      </c>
      <c r="G578" s="516" t="s">
        <v>2838</v>
      </c>
      <c r="H578" s="516" t="s">
        <v>685</v>
      </c>
      <c r="I578" s="516" t="s">
        <v>755</v>
      </c>
      <c r="J578" s="514">
        <v>43707</v>
      </c>
      <c r="K578" s="514"/>
      <c r="L578" s="514"/>
      <c r="M578" s="516" t="s">
        <v>2853</v>
      </c>
      <c r="N578" s="516" t="s">
        <v>2088</v>
      </c>
      <c r="O578" s="517">
        <v>43691</v>
      </c>
      <c r="P578" s="516" t="s">
        <v>3061</v>
      </c>
      <c r="Q578" s="516" t="s">
        <v>2829</v>
      </c>
      <c r="R578" s="518" t="s">
        <v>5080</v>
      </c>
      <c r="S578" s="519" t="e">
        <f>Table137[[#This Row],[DATE  CLOSED]]-Table137[[#This Row],[INITIATION DATE]]</f>
        <v>#VALUE!</v>
      </c>
    </row>
    <row r="579" spans="1:19" ht="51" x14ac:dyDescent="0.2">
      <c r="A579" s="338" t="s">
        <v>5077</v>
      </c>
      <c r="B579" s="508">
        <v>43691</v>
      </c>
      <c r="C579" s="509" t="s">
        <v>5078</v>
      </c>
      <c r="D579" s="509" t="s">
        <v>5079</v>
      </c>
      <c r="E579" s="510" t="s">
        <v>2971</v>
      </c>
      <c r="F579" s="510">
        <v>1</v>
      </c>
      <c r="G579" s="510" t="s">
        <v>2828</v>
      </c>
      <c r="H579" s="510" t="s">
        <v>3975</v>
      </c>
      <c r="I579" s="510" t="s">
        <v>3926</v>
      </c>
      <c r="J579" s="508">
        <v>43708</v>
      </c>
      <c r="K579" s="508">
        <v>43722</v>
      </c>
      <c r="L579" s="508"/>
      <c r="M579" s="510" t="s">
        <v>2853</v>
      </c>
      <c r="N579" s="510" t="s">
        <v>3061</v>
      </c>
      <c r="O579" s="511">
        <v>43718</v>
      </c>
      <c r="P579" s="510" t="s">
        <v>3061</v>
      </c>
      <c r="Q579" s="510" t="s">
        <v>2832</v>
      </c>
      <c r="R579" s="512"/>
      <c r="S579" s="513" t="e">
        <f>Table137[[#This Row],[DATE  CLOSED]]-Table137[[#This Row],[INITIATION DATE]]</f>
        <v>#VALUE!</v>
      </c>
    </row>
    <row r="580" spans="1:19" ht="63.75" x14ac:dyDescent="0.2">
      <c r="A580" s="340" t="s">
        <v>5081</v>
      </c>
      <c r="B580" s="514">
        <v>43693</v>
      </c>
      <c r="C580" s="515" t="s">
        <v>5083</v>
      </c>
      <c r="D580" s="515" t="s">
        <v>5082</v>
      </c>
      <c r="E580" s="516" t="s">
        <v>2971</v>
      </c>
      <c r="F580" s="516">
        <v>2</v>
      </c>
      <c r="G580" s="516" t="s">
        <v>2836</v>
      </c>
      <c r="H580" s="516" t="s">
        <v>3211</v>
      </c>
      <c r="I580" s="516" t="s">
        <v>3211</v>
      </c>
      <c r="J580" s="514">
        <v>44316</v>
      </c>
      <c r="K580" s="514"/>
      <c r="L580" s="514"/>
      <c r="M580" s="516" t="s">
        <v>2853</v>
      </c>
      <c r="N580" s="516" t="s">
        <v>2088</v>
      </c>
      <c r="O580" s="517">
        <v>44280</v>
      </c>
      <c r="P580" s="516" t="s">
        <v>3061</v>
      </c>
      <c r="Q580" s="516" t="s">
        <v>2839</v>
      </c>
      <c r="R580" s="518"/>
      <c r="S580" s="519" t="e">
        <f>Table137[[#This Row],[DATE  CLOSED]]-Table137[[#This Row],[INITIATION DATE]]</f>
        <v>#VALUE!</v>
      </c>
    </row>
    <row r="581" spans="1:19" ht="51" x14ac:dyDescent="0.2">
      <c r="A581" s="338" t="s">
        <v>5084</v>
      </c>
      <c r="B581" s="508">
        <v>43697</v>
      </c>
      <c r="C581" s="509" t="s">
        <v>5085</v>
      </c>
      <c r="D581" s="509" t="s">
        <v>5086</v>
      </c>
      <c r="E581" s="510" t="s">
        <v>3210</v>
      </c>
      <c r="F581" s="510">
        <v>1</v>
      </c>
      <c r="G581" s="510" t="s">
        <v>2828</v>
      </c>
      <c r="H581" s="510" t="s">
        <v>4021</v>
      </c>
      <c r="I581" s="510" t="s">
        <v>3211</v>
      </c>
      <c r="J581" s="508">
        <v>43728</v>
      </c>
      <c r="K581" s="508"/>
      <c r="L581" s="508"/>
      <c r="M581" s="510" t="s">
        <v>2853</v>
      </c>
      <c r="N581" s="510" t="s">
        <v>2088</v>
      </c>
      <c r="O581" s="511">
        <v>43697</v>
      </c>
      <c r="P581" s="510" t="s">
        <v>3061</v>
      </c>
      <c r="Q581" s="510" t="s">
        <v>2829</v>
      </c>
      <c r="R581" s="512"/>
      <c r="S581" s="513" t="e">
        <f>Table137[[#This Row],[DATE  CLOSED]]-Table137[[#This Row],[INITIATION DATE]]</f>
        <v>#VALUE!</v>
      </c>
    </row>
    <row r="582" spans="1:19" ht="51" x14ac:dyDescent="0.2">
      <c r="A582" s="340" t="s">
        <v>5087</v>
      </c>
      <c r="B582" s="514">
        <v>43697</v>
      </c>
      <c r="C582" s="515" t="s">
        <v>5088</v>
      </c>
      <c r="D582" s="515" t="s">
        <v>5089</v>
      </c>
      <c r="E582" s="516" t="s">
        <v>2971</v>
      </c>
      <c r="F582" s="516">
        <v>1</v>
      </c>
      <c r="G582" s="516" t="s">
        <v>2841</v>
      </c>
      <c r="H582" s="516" t="s">
        <v>4796</v>
      </c>
      <c r="I582" s="516" t="s">
        <v>229</v>
      </c>
      <c r="J582" s="514">
        <v>43738</v>
      </c>
      <c r="K582" s="514">
        <v>43769</v>
      </c>
      <c r="L582" s="514"/>
      <c r="M582" s="516" t="s">
        <v>2853</v>
      </c>
      <c r="N582" s="516" t="s">
        <v>3061</v>
      </c>
      <c r="O582" s="517">
        <v>43740</v>
      </c>
      <c r="P582" s="516" t="s">
        <v>3061</v>
      </c>
      <c r="Q582" s="516" t="s">
        <v>2832</v>
      </c>
      <c r="R582" s="518"/>
      <c r="S582" s="519" t="e">
        <f>Table137[[#This Row],[DATE  CLOSED]]-Table137[[#This Row],[INITIATION DATE]]</f>
        <v>#VALUE!</v>
      </c>
    </row>
    <row r="583" spans="1:19" ht="51" x14ac:dyDescent="0.2">
      <c r="A583" s="338" t="s">
        <v>5091</v>
      </c>
      <c r="B583" s="508">
        <v>43700</v>
      </c>
      <c r="C583" s="343" t="s">
        <v>5092</v>
      </c>
      <c r="D583" s="343" t="s">
        <v>5093</v>
      </c>
      <c r="E583" s="344" t="s">
        <v>2971</v>
      </c>
      <c r="F583" s="510">
        <v>1</v>
      </c>
      <c r="G583" s="344" t="s">
        <v>2841</v>
      </c>
      <c r="H583" s="344" t="s">
        <v>755</v>
      </c>
      <c r="I583" s="344" t="s">
        <v>229</v>
      </c>
      <c r="J583" s="508">
        <v>43738</v>
      </c>
      <c r="K583" s="508"/>
      <c r="L583" s="508"/>
      <c r="M583" s="344" t="s">
        <v>2853</v>
      </c>
      <c r="N583" s="510" t="s">
        <v>2088</v>
      </c>
      <c r="O583" s="511">
        <v>43717</v>
      </c>
      <c r="P583" s="510" t="s">
        <v>3061</v>
      </c>
      <c r="Q583" s="510" t="s">
        <v>2829</v>
      </c>
      <c r="R583" s="512"/>
      <c r="S583" s="513" t="e">
        <f>Table137[[#This Row],[DATE  CLOSED]]-Table137[[#This Row],[INITIATION DATE]]</f>
        <v>#VALUE!</v>
      </c>
    </row>
    <row r="584" spans="1:19" ht="38.25" x14ac:dyDescent="0.2">
      <c r="A584" s="340" t="s">
        <v>5094</v>
      </c>
      <c r="B584" s="514">
        <v>43703</v>
      </c>
      <c r="C584" s="515" t="s">
        <v>5095</v>
      </c>
      <c r="D584" s="515" t="s">
        <v>5096</v>
      </c>
      <c r="E584" s="516" t="s">
        <v>2971</v>
      </c>
      <c r="F584" s="516">
        <v>1</v>
      </c>
      <c r="G584" s="516" t="s">
        <v>2838</v>
      </c>
      <c r="H584" s="516" t="s">
        <v>516</v>
      </c>
      <c r="I584" s="516" t="s">
        <v>229</v>
      </c>
      <c r="J584" s="514">
        <v>43708</v>
      </c>
      <c r="K584" s="514"/>
      <c r="L584" s="514"/>
      <c r="M584" s="516" t="s">
        <v>2853</v>
      </c>
      <c r="N584" s="516" t="s">
        <v>2088</v>
      </c>
      <c r="O584" s="517">
        <v>43703</v>
      </c>
      <c r="P584" s="516" t="s">
        <v>3061</v>
      </c>
      <c r="Q584" s="516" t="s">
        <v>2829</v>
      </c>
      <c r="R584" s="518"/>
      <c r="S584" s="519" t="e">
        <f>Table137[[#This Row],[DATE  CLOSED]]-Table137[[#This Row],[INITIATION DATE]]</f>
        <v>#VALUE!</v>
      </c>
    </row>
    <row r="585" spans="1:19" ht="38.25" x14ac:dyDescent="0.2">
      <c r="A585" s="338" t="s">
        <v>5097</v>
      </c>
      <c r="B585" s="508">
        <v>43704</v>
      </c>
      <c r="C585" s="509" t="s">
        <v>5098</v>
      </c>
      <c r="D585" s="509" t="s">
        <v>5099</v>
      </c>
      <c r="E585" s="510" t="s">
        <v>2971</v>
      </c>
      <c r="F585" s="510">
        <v>1</v>
      </c>
      <c r="G585" s="510" t="s">
        <v>2841</v>
      </c>
      <c r="H585" s="510" t="s">
        <v>516</v>
      </c>
      <c r="I585" s="510" t="s">
        <v>229</v>
      </c>
      <c r="J585" s="508">
        <v>43738</v>
      </c>
      <c r="K585" s="508"/>
      <c r="L585" s="508"/>
      <c r="M585" s="510" t="s">
        <v>2853</v>
      </c>
      <c r="N585" s="510" t="s">
        <v>2088</v>
      </c>
      <c r="O585" s="511">
        <v>43719</v>
      </c>
      <c r="P585" s="510" t="s">
        <v>3061</v>
      </c>
      <c r="Q585" s="510" t="s">
        <v>2829</v>
      </c>
      <c r="R585" s="512"/>
      <c r="S585" s="513" t="e">
        <f>Table137[[#This Row],[DATE  CLOSED]]-Table137[[#This Row],[INITIATION DATE]]</f>
        <v>#VALUE!</v>
      </c>
    </row>
    <row r="586" spans="1:19" ht="63.75" x14ac:dyDescent="0.2">
      <c r="A586" s="340" t="s">
        <v>5100</v>
      </c>
      <c r="B586" s="514">
        <v>43705</v>
      </c>
      <c r="C586" s="341" t="s">
        <v>5101</v>
      </c>
      <c r="D586" s="341" t="s">
        <v>5102</v>
      </c>
      <c r="E586" s="342" t="s">
        <v>2971</v>
      </c>
      <c r="F586" s="516">
        <v>1</v>
      </c>
      <c r="G586" s="342" t="s">
        <v>2841</v>
      </c>
      <c r="H586" s="342" t="s">
        <v>229</v>
      </c>
      <c r="I586" s="342" t="s">
        <v>755</v>
      </c>
      <c r="J586" s="514">
        <v>43738</v>
      </c>
      <c r="K586" s="514"/>
      <c r="L586" s="514"/>
      <c r="M586" s="516" t="s">
        <v>2853</v>
      </c>
      <c r="N586" s="516" t="s">
        <v>2088</v>
      </c>
      <c r="O586" s="517">
        <v>43720</v>
      </c>
      <c r="P586" s="516" t="s">
        <v>3061</v>
      </c>
      <c r="Q586" s="516" t="s">
        <v>2829</v>
      </c>
      <c r="R586" s="518"/>
      <c r="S586" s="519" t="e">
        <f>Table137[[#This Row],[DATE  CLOSED]]-Table137[[#This Row],[INITIATION DATE]]</f>
        <v>#VALUE!</v>
      </c>
    </row>
    <row r="587" spans="1:19" ht="51" x14ac:dyDescent="0.2">
      <c r="A587" s="338" t="s">
        <v>5103</v>
      </c>
      <c r="B587" s="508">
        <v>43705</v>
      </c>
      <c r="C587" s="343" t="s">
        <v>5104</v>
      </c>
      <c r="D587" s="343" t="s">
        <v>5105</v>
      </c>
      <c r="E587" s="344" t="s">
        <v>2971</v>
      </c>
      <c r="F587" s="510">
        <v>1</v>
      </c>
      <c r="G587" s="344" t="s">
        <v>2838</v>
      </c>
      <c r="H587" s="344" t="s">
        <v>685</v>
      </c>
      <c r="I587" s="344" t="s">
        <v>229</v>
      </c>
      <c r="J587" s="508">
        <v>43708</v>
      </c>
      <c r="K587" s="508"/>
      <c r="L587" s="508"/>
      <c r="M587" s="510" t="s">
        <v>2853</v>
      </c>
      <c r="N587" s="510"/>
      <c r="O587" s="511">
        <v>43705</v>
      </c>
      <c r="P587" s="510" t="s">
        <v>3061</v>
      </c>
      <c r="Q587" s="510" t="s">
        <v>2829</v>
      </c>
      <c r="R587" s="512"/>
      <c r="S587" s="513" t="e">
        <f>Table137[[#This Row],[DATE  CLOSED]]-Table137[[#This Row],[INITIATION DATE]]</f>
        <v>#VALUE!</v>
      </c>
    </row>
    <row r="588" spans="1:19" ht="38.25" x14ac:dyDescent="0.2">
      <c r="A588" s="340" t="s">
        <v>5106</v>
      </c>
      <c r="B588" s="514">
        <v>43705</v>
      </c>
      <c r="C588" s="341" t="s">
        <v>5107</v>
      </c>
      <c r="D588" s="341" t="s">
        <v>5108</v>
      </c>
      <c r="E588" s="342" t="s">
        <v>2971</v>
      </c>
      <c r="F588" s="516">
        <v>1</v>
      </c>
      <c r="G588" s="342" t="s">
        <v>2841</v>
      </c>
      <c r="H588" s="342" t="s">
        <v>834</v>
      </c>
      <c r="I588" s="342" t="s">
        <v>229</v>
      </c>
      <c r="J588" s="514">
        <v>43738</v>
      </c>
      <c r="K588" s="514"/>
      <c r="L588" s="514"/>
      <c r="M588" s="516" t="s">
        <v>2853</v>
      </c>
      <c r="N588" s="516" t="s">
        <v>2088</v>
      </c>
      <c r="O588" s="517">
        <v>43720</v>
      </c>
      <c r="P588" s="516" t="s">
        <v>3061</v>
      </c>
      <c r="Q588" s="516" t="s">
        <v>2829</v>
      </c>
      <c r="R588" s="518"/>
      <c r="S588" s="519" t="e">
        <f>Table137[[#This Row],[DATE  CLOSED]]-Table137[[#This Row],[INITIATION DATE]]</f>
        <v>#VALUE!</v>
      </c>
    </row>
    <row r="589" spans="1:19" ht="51" x14ac:dyDescent="0.2">
      <c r="A589" s="520" t="s">
        <v>5109</v>
      </c>
      <c r="B589" s="508">
        <v>43712</v>
      </c>
      <c r="C589" s="509" t="s">
        <v>5110</v>
      </c>
      <c r="D589" s="509" t="s">
        <v>5111</v>
      </c>
      <c r="E589" s="510" t="s">
        <v>3519</v>
      </c>
      <c r="F589" s="510">
        <v>1</v>
      </c>
      <c r="G589" s="510" t="s">
        <v>2828</v>
      </c>
      <c r="H589" s="510" t="s">
        <v>4163</v>
      </c>
      <c r="I589" s="510" t="s">
        <v>3211</v>
      </c>
      <c r="J589" s="508">
        <v>43742</v>
      </c>
      <c r="K589" s="508"/>
      <c r="L589" s="508"/>
      <c r="M589" s="510" t="s">
        <v>2853</v>
      </c>
      <c r="N589" s="510" t="s">
        <v>2088</v>
      </c>
      <c r="O589" s="511">
        <v>43712</v>
      </c>
      <c r="P589" s="510" t="s">
        <v>3061</v>
      </c>
      <c r="Q589" s="510" t="s">
        <v>2829</v>
      </c>
      <c r="R589" s="512"/>
      <c r="S589" s="513" t="e">
        <f>Table137[[#This Row],[DATE  CLOSED]]-Table137[[#This Row],[INITIATION DATE]]</f>
        <v>#VALUE!</v>
      </c>
    </row>
    <row r="590" spans="1:19" ht="76.5" x14ac:dyDescent="0.2">
      <c r="A590" s="521" t="s">
        <v>5112</v>
      </c>
      <c r="B590" s="514">
        <v>43713</v>
      </c>
      <c r="C590" s="515" t="s">
        <v>5113</v>
      </c>
      <c r="D590" s="515" t="s">
        <v>5114</v>
      </c>
      <c r="E590" s="516" t="s">
        <v>4649</v>
      </c>
      <c r="F590" s="516">
        <v>1</v>
      </c>
      <c r="G590" s="516" t="s">
        <v>2828</v>
      </c>
      <c r="H590" s="516" t="s">
        <v>3423</v>
      </c>
      <c r="I590" s="516" t="s">
        <v>3211</v>
      </c>
      <c r="J590" s="514">
        <v>43721</v>
      </c>
      <c r="K590" s="514"/>
      <c r="L590" s="514"/>
      <c r="M590" s="516" t="s">
        <v>2853</v>
      </c>
      <c r="N590" s="516" t="s">
        <v>2088</v>
      </c>
      <c r="O590" s="517">
        <v>43714</v>
      </c>
      <c r="P590" s="516" t="s">
        <v>3061</v>
      </c>
      <c r="Q590" s="516" t="s">
        <v>2829</v>
      </c>
      <c r="R590" s="518"/>
      <c r="S590" s="519" t="e">
        <f>Table137[[#This Row],[DATE  CLOSED]]-Table137[[#This Row],[INITIATION DATE]]</f>
        <v>#VALUE!</v>
      </c>
    </row>
    <row r="591" spans="1:19" ht="76.5" x14ac:dyDescent="0.2">
      <c r="A591" s="520" t="s">
        <v>5115</v>
      </c>
      <c r="B591" s="508">
        <v>43713</v>
      </c>
      <c r="C591" s="509" t="s">
        <v>5116</v>
      </c>
      <c r="D591" s="509" t="s">
        <v>5117</v>
      </c>
      <c r="E591" s="510" t="s">
        <v>3519</v>
      </c>
      <c r="F591" s="510">
        <v>1</v>
      </c>
      <c r="G591" s="510" t="s">
        <v>2828</v>
      </c>
      <c r="H591" s="510" t="s">
        <v>4163</v>
      </c>
      <c r="I591" s="510" t="s">
        <v>3211</v>
      </c>
      <c r="J591" s="508">
        <v>43749</v>
      </c>
      <c r="K591" s="508"/>
      <c r="L591" s="508"/>
      <c r="M591" s="510" t="s">
        <v>2853</v>
      </c>
      <c r="N591" s="510" t="s">
        <v>2088</v>
      </c>
      <c r="O591" s="511">
        <v>43731</v>
      </c>
      <c r="P591" s="510" t="s">
        <v>3061</v>
      </c>
      <c r="Q591" s="510" t="s">
        <v>2829</v>
      </c>
      <c r="R591" s="512"/>
      <c r="S591" s="513" t="e">
        <f>Table137[[#This Row],[DATE  CLOSED]]-Table137[[#This Row],[INITIATION DATE]]</f>
        <v>#VALUE!</v>
      </c>
    </row>
    <row r="592" spans="1:19" ht="51" x14ac:dyDescent="0.2">
      <c r="A592" s="521" t="s">
        <v>5118</v>
      </c>
      <c r="B592" s="514">
        <v>43717</v>
      </c>
      <c r="C592" s="515" t="s">
        <v>5172</v>
      </c>
      <c r="D592" s="515" t="s">
        <v>5119</v>
      </c>
      <c r="E592" s="516" t="s">
        <v>3532</v>
      </c>
      <c r="F592" s="516">
        <v>1</v>
      </c>
      <c r="G592" s="516" t="s">
        <v>2828</v>
      </c>
      <c r="H592" s="516" t="s">
        <v>3975</v>
      </c>
      <c r="I592" s="516" t="s">
        <v>3211</v>
      </c>
      <c r="J592" s="514">
        <v>43777</v>
      </c>
      <c r="K592" s="514"/>
      <c r="L592" s="514"/>
      <c r="M592" s="516" t="s">
        <v>2853</v>
      </c>
      <c r="N592" s="516" t="s">
        <v>2088</v>
      </c>
      <c r="O592" s="517">
        <v>43767</v>
      </c>
      <c r="P592" s="516" t="s">
        <v>3061</v>
      </c>
      <c r="Q592" s="516" t="s">
        <v>2832</v>
      </c>
      <c r="R592" s="518"/>
      <c r="S592" s="519" t="e">
        <f>Table137[[#This Row],[DATE  CLOSED]]-Table137[[#This Row],[INITIATION DATE]]</f>
        <v>#VALUE!</v>
      </c>
    </row>
    <row r="593" spans="1:19" ht="51" x14ac:dyDescent="0.2">
      <c r="A593" s="520" t="s">
        <v>5120</v>
      </c>
      <c r="B593" s="508">
        <v>43717</v>
      </c>
      <c r="C593" s="509" t="s">
        <v>5121</v>
      </c>
      <c r="D593" s="509" t="s">
        <v>3426</v>
      </c>
      <c r="E593" s="510" t="s">
        <v>5122</v>
      </c>
      <c r="F593" s="510">
        <v>1</v>
      </c>
      <c r="G593" s="510" t="s">
        <v>2828</v>
      </c>
      <c r="H593" s="510" t="s">
        <v>4079</v>
      </c>
      <c r="I593" s="510" t="s">
        <v>3211</v>
      </c>
      <c r="J593" s="508">
        <v>43747</v>
      </c>
      <c r="K593" s="508"/>
      <c r="L593" s="508"/>
      <c r="M593" s="510" t="s">
        <v>2853</v>
      </c>
      <c r="N593" s="510" t="s">
        <v>2088</v>
      </c>
      <c r="O593" s="511">
        <v>43728</v>
      </c>
      <c r="P593" s="510" t="s">
        <v>3061</v>
      </c>
      <c r="Q593" s="510" t="s">
        <v>2829</v>
      </c>
      <c r="R593" s="512"/>
      <c r="S593" s="513" t="e">
        <f>Table137[[#This Row],[DATE  CLOSED]]-Table137[[#This Row],[INITIATION DATE]]</f>
        <v>#VALUE!</v>
      </c>
    </row>
    <row r="594" spans="1:19" ht="140.25" x14ac:dyDescent="0.2">
      <c r="A594" s="521" t="s">
        <v>5123</v>
      </c>
      <c r="B594" s="514">
        <v>43720</v>
      </c>
      <c r="C594" s="515" t="s">
        <v>5124</v>
      </c>
      <c r="D594" s="515" t="s">
        <v>5125</v>
      </c>
      <c r="E594" s="516" t="s">
        <v>5126</v>
      </c>
      <c r="F594" s="516">
        <v>1</v>
      </c>
      <c r="G594" s="516" t="s">
        <v>2828</v>
      </c>
      <c r="H594" s="516" t="s">
        <v>3423</v>
      </c>
      <c r="I594" s="516" t="s">
        <v>3926</v>
      </c>
      <c r="J594" s="514">
        <v>43750</v>
      </c>
      <c r="K594" s="514"/>
      <c r="L594" s="514"/>
      <c r="M594" s="516" t="s">
        <v>2853</v>
      </c>
      <c r="N594" s="516" t="s">
        <v>2088</v>
      </c>
      <c r="O594" s="517">
        <v>43726</v>
      </c>
      <c r="P594" s="516" t="s">
        <v>3061</v>
      </c>
      <c r="Q594" s="516" t="s">
        <v>2829</v>
      </c>
      <c r="R594" s="518" t="s">
        <v>5135</v>
      </c>
      <c r="S594" s="519" t="e">
        <f>Table137[[#This Row],[DATE  CLOSED]]-Table137[[#This Row],[INITIATION DATE]]</f>
        <v>#VALUE!</v>
      </c>
    </row>
    <row r="595" spans="1:19" ht="51" x14ac:dyDescent="0.2">
      <c r="A595" s="520" t="s">
        <v>5127</v>
      </c>
      <c r="B595" s="508">
        <v>43720</v>
      </c>
      <c r="C595" s="509" t="s">
        <v>5128</v>
      </c>
      <c r="D595" s="509" t="s">
        <v>5129</v>
      </c>
      <c r="E595" s="510" t="s">
        <v>3586</v>
      </c>
      <c r="F595" s="510">
        <v>1</v>
      </c>
      <c r="G595" s="510" t="s">
        <v>2828</v>
      </c>
      <c r="H595" s="510" t="s">
        <v>4079</v>
      </c>
      <c r="I595" s="510" t="s">
        <v>3926</v>
      </c>
      <c r="J595" s="508">
        <v>43769</v>
      </c>
      <c r="K595" s="508"/>
      <c r="L595" s="508"/>
      <c r="M595" s="510" t="s">
        <v>2853</v>
      </c>
      <c r="N595" s="510" t="s">
        <v>2088</v>
      </c>
      <c r="O595" s="511">
        <v>43753</v>
      </c>
      <c r="P595" s="510" t="s">
        <v>3061</v>
      </c>
      <c r="Q595" s="510" t="s">
        <v>2829</v>
      </c>
      <c r="R595" s="512"/>
      <c r="S595" s="513" t="e">
        <f>Table137[[#This Row],[DATE  CLOSED]]-Table137[[#This Row],[INITIATION DATE]]</f>
        <v>#VALUE!</v>
      </c>
    </row>
    <row r="596" spans="1:19" ht="51" x14ac:dyDescent="0.2">
      <c r="A596" s="521" t="s">
        <v>5130</v>
      </c>
      <c r="B596" s="514">
        <v>43724</v>
      </c>
      <c r="C596" s="515" t="s">
        <v>5131</v>
      </c>
      <c r="D596" s="515" t="s">
        <v>3873</v>
      </c>
      <c r="E596" s="516" t="s">
        <v>2971</v>
      </c>
      <c r="F596" s="516">
        <v>1</v>
      </c>
      <c r="G596" s="516" t="s">
        <v>2841</v>
      </c>
      <c r="H596" s="516" t="s">
        <v>229</v>
      </c>
      <c r="I596" s="516" t="s">
        <v>755</v>
      </c>
      <c r="J596" s="514">
        <v>43738</v>
      </c>
      <c r="K596" s="345"/>
      <c r="L596" s="345"/>
      <c r="M596" s="342" t="s">
        <v>2853</v>
      </c>
      <c r="N596" s="516" t="s">
        <v>2088</v>
      </c>
      <c r="O596" s="517">
        <v>43726</v>
      </c>
      <c r="P596" s="516" t="s">
        <v>3061</v>
      </c>
      <c r="Q596" s="516" t="s">
        <v>2829</v>
      </c>
      <c r="R596" s="518"/>
      <c r="S596" s="519" t="e">
        <f>Table137[[#This Row],[DATE  CLOSED]]-Table137[[#This Row],[INITIATION DATE]]</f>
        <v>#VALUE!</v>
      </c>
    </row>
    <row r="597" spans="1:19" ht="25.5" x14ac:dyDescent="0.2">
      <c r="A597" s="520" t="s">
        <v>5132</v>
      </c>
      <c r="B597" s="508">
        <v>43724</v>
      </c>
      <c r="C597" s="509" t="s">
        <v>5133</v>
      </c>
      <c r="D597" s="509" t="s">
        <v>5134</v>
      </c>
      <c r="E597" s="510" t="s">
        <v>2971</v>
      </c>
      <c r="F597" s="510">
        <v>1</v>
      </c>
      <c r="G597" s="510" t="s">
        <v>2841</v>
      </c>
      <c r="H597" s="510" t="s">
        <v>3859</v>
      </c>
      <c r="I597" s="510" t="s">
        <v>229</v>
      </c>
      <c r="J597" s="508">
        <v>43738</v>
      </c>
      <c r="K597" s="508"/>
      <c r="L597" s="508"/>
      <c r="M597" s="510" t="s">
        <v>2853</v>
      </c>
      <c r="N597" s="510" t="s">
        <v>2088</v>
      </c>
      <c r="O597" s="511">
        <v>43727</v>
      </c>
      <c r="P597" s="510" t="s">
        <v>3061</v>
      </c>
      <c r="Q597" s="510" t="s">
        <v>2829</v>
      </c>
      <c r="R597" s="512"/>
      <c r="S597" s="513" t="e">
        <f>Table137[[#This Row],[DATE  CLOSED]]-Table137[[#This Row],[INITIATION DATE]]</f>
        <v>#VALUE!</v>
      </c>
    </row>
    <row r="598" spans="1:19" ht="51" x14ac:dyDescent="0.2">
      <c r="A598" s="521" t="s">
        <v>5136</v>
      </c>
      <c r="B598" s="514">
        <v>43731</v>
      </c>
      <c r="C598" s="515" t="s">
        <v>5137</v>
      </c>
      <c r="D598" s="515" t="s">
        <v>5138</v>
      </c>
      <c r="E598" s="516" t="s">
        <v>2971</v>
      </c>
      <c r="F598" s="516">
        <v>1</v>
      </c>
      <c r="G598" s="516" t="s">
        <v>2841</v>
      </c>
      <c r="H598" s="516" t="s">
        <v>4079</v>
      </c>
      <c r="I598" s="516" t="s">
        <v>3926</v>
      </c>
      <c r="J598" s="514">
        <v>43769</v>
      </c>
      <c r="K598" s="514"/>
      <c r="L598" s="514"/>
      <c r="M598" s="516" t="s">
        <v>2853</v>
      </c>
      <c r="N598" s="516" t="s">
        <v>2088</v>
      </c>
      <c r="O598" s="517">
        <v>43760</v>
      </c>
      <c r="P598" s="516" t="s">
        <v>3061</v>
      </c>
      <c r="Q598" s="516" t="s">
        <v>2829</v>
      </c>
      <c r="R598" s="518"/>
      <c r="S598" s="519" t="e">
        <f>Table137[[#This Row],[DATE  CLOSED]]-Table137[[#This Row],[INITIATION DATE]]</f>
        <v>#VALUE!</v>
      </c>
    </row>
    <row r="599" spans="1:19" ht="51" x14ac:dyDescent="0.2">
      <c r="A599" s="520" t="s">
        <v>5140</v>
      </c>
      <c r="B599" s="508">
        <v>43738</v>
      </c>
      <c r="C599" s="509" t="s">
        <v>5141</v>
      </c>
      <c r="D599" s="509" t="s">
        <v>5142</v>
      </c>
      <c r="E599" s="510" t="s">
        <v>4675</v>
      </c>
      <c r="F599" s="510">
        <v>1</v>
      </c>
      <c r="G599" s="510" t="s">
        <v>2828</v>
      </c>
      <c r="H599" s="510" t="s">
        <v>5143</v>
      </c>
      <c r="I599" s="510" t="s">
        <v>3211</v>
      </c>
      <c r="J599" s="508">
        <v>43770</v>
      </c>
      <c r="K599" s="508"/>
      <c r="L599" s="508"/>
      <c r="M599" s="510" t="s">
        <v>2853</v>
      </c>
      <c r="N599" s="510" t="s">
        <v>2088</v>
      </c>
      <c r="O599" s="511">
        <v>43741</v>
      </c>
      <c r="P599" s="510" t="s">
        <v>3061</v>
      </c>
      <c r="Q599" s="510" t="s">
        <v>2829</v>
      </c>
      <c r="R599" s="512"/>
      <c r="S599" s="513" t="e">
        <f>Table137[[#This Row],[DATE  CLOSED]]-Table137[[#This Row],[INITIATION DATE]]</f>
        <v>#VALUE!</v>
      </c>
    </row>
    <row r="600" spans="1:19" ht="25.5" x14ac:dyDescent="0.2">
      <c r="A600" s="521" t="s">
        <v>5144</v>
      </c>
      <c r="B600" s="514">
        <v>43739</v>
      </c>
      <c r="C600" s="515" t="s">
        <v>5147</v>
      </c>
      <c r="D600" s="515" t="s">
        <v>5146</v>
      </c>
      <c r="E600" s="516" t="s">
        <v>2971</v>
      </c>
      <c r="F600" s="516">
        <v>1</v>
      </c>
      <c r="G600" s="516" t="s">
        <v>2836</v>
      </c>
      <c r="H600" s="516" t="s">
        <v>486</v>
      </c>
      <c r="I600" s="516" t="s">
        <v>229</v>
      </c>
      <c r="J600" s="514">
        <v>43742</v>
      </c>
      <c r="K600" s="514"/>
      <c r="L600" s="514"/>
      <c r="M600" s="516" t="s">
        <v>2853</v>
      </c>
      <c r="N600" s="516" t="s">
        <v>2088</v>
      </c>
      <c r="O600" s="517">
        <v>43746</v>
      </c>
      <c r="P600" s="516" t="s">
        <v>2088</v>
      </c>
      <c r="Q600" s="516" t="s">
        <v>2088</v>
      </c>
      <c r="R600" s="518"/>
      <c r="S600" s="519" t="e">
        <f>Table137[[#This Row],[DATE  CLOSED]]-Table137[[#This Row],[INITIATION DATE]]</f>
        <v>#VALUE!</v>
      </c>
    </row>
    <row r="601" spans="1:19" ht="51" x14ac:dyDescent="0.2">
      <c r="A601" s="520" t="s">
        <v>5145</v>
      </c>
      <c r="B601" s="508">
        <v>43739</v>
      </c>
      <c r="C601" s="509" t="s">
        <v>5148</v>
      </c>
      <c r="D601" s="509" t="s">
        <v>5149</v>
      </c>
      <c r="E601" s="510" t="s">
        <v>2971</v>
      </c>
      <c r="F601" s="510">
        <v>1</v>
      </c>
      <c r="G601" s="510" t="s">
        <v>2841</v>
      </c>
      <c r="H601" s="510" t="s">
        <v>4502</v>
      </c>
      <c r="I601" s="510" t="s">
        <v>229</v>
      </c>
      <c r="J601" s="508">
        <v>43769</v>
      </c>
      <c r="K601" s="508"/>
      <c r="L601" s="508"/>
      <c r="M601" s="510" t="s">
        <v>2853</v>
      </c>
      <c r="N601" s="510" t="s">
        <v>2088</v>
      </c>
      <c r="O601" s="511">
        <v>43759</v>
      </c>
      <c r="P601" s="510" t="s">
        <v>3061</v>
      </c>
      <c r="Q601" s="510" t="s">
        <v>2829</v>
      </c>
      <c r="R601" s="512"/>
      <c r="S601" s="513" t="e">
        <f>Table137[[#This Row],[DATE  CLOSED]]-Table137[[#This Row],[INITIATION DATE]]</f>
        <v>#VALUE!</v>
      </c>
    </row>
    <row r="602" spans="1:19" ht="51" x14ac:dyDescent="0.2">
      <c r="A602" s="521" t="s">
        <v>5150</v>
      </c>
      <c r="B602" s="514">
        <v>43742</v>
      </c>
      <c r="C602" s="515" t="s">
        <v>5151</v>
      </c>
      <c r="D602" s="515" t="s">
        <v>5152</v>
      </c>
      <c r="E602" s="516" t="s">
        <v>2971</v>
      </c>
      <c r="F602" s="516">
        <v>1</v>
      </c>
      <c r="G602" s="516" t="s">
        <v>2841</v>
      </c>
      <c r="H602" s="516" t="s">
        <v>4796</v>
      </c>
      <c r="I602" s="516" t="s">
        <v>229</v>
      </c>
      <c r="J602" s="514">
        <v>43769</v>
      </c>
      <c r="K602" s="514"/>
      <c r="L602" s="514"/>
      <c r="M602" s="516" t="s">
        <v>2853</v>
      </c>
      <c r="N602" s="516" t="s">
        <v>2088</v>
      </c>
      <c r="O602" s="517">
        <v>43760</v>
      </c>
      <c r="P602" s="516" t="s">
        <v>3061</v>
      </c>
      <c r="Q602" s="516" t="s">
        <v>2829</v>
      </c>
      <c r="R602" s="518" t="s">
        <v>5080</v>
      </c>
      <c r="S602" s="519" t="e">
        <f>Table137[[#This Row],[DATE  CLOSED]]-Table137[[#This Row],[INITIATION DATE]]</f>
        <v>#VALUE!</v>
      </c>
    </row>
    <row r="603" spans="1:19" ht="51" x14ac:dyDescent="0.2">
      <c r="A603" s="520" t="s">
        <v>5154</v>
      </c>
      <c r="B603" s="508">
        <v>43747</v>
      </c>
      <c r="C603" s="343" t="s">
        <v>5155</v>
      </c>
      <c r="D603" s="343" t="s">
        <v>3039</v>
      </c>
      <c r="E603" s="344" t="s">
        <v>2971</v>
      </c>
      <c r="F603" s="510">
        <v>1</v>
      </c>
      <c r="G603" s="510" t="s">
        <v>2841</v>
      </c>
      <c r="H603" s="344" t="s">
        <v>727</v>
      </c>
      <c r="I603" s="344" t="s">
        <v>229</v>
      </c>
      <c r="J603" s="508">
        <v>43777</v>
      </c>
      <c r="K603" s="508"/>
      <c r="L603" s="508"/>
      <c r="M603" s="510" t="s">
        <v>2853</v>
      </c>
      <c r="N603" s="510" t="s">
        <v>2088</v>
      </c>
      <c r="O603" s="511">
        <v>43752</v>
      </c>
      <c r="P603" s="510" t="s">
        <v>3061</v>
      </c>
      <c r="Q603" s="510" t="s">
        <v>2829</v>
      </c>
      <c r="R603" s="512"/>
      <c r="S603" s="513" t="e">
        <f>Table137[[#This Row],[DATE  CLOSED]]-Table137[[#This Row],[INITIATION DATE]]</f>
        <v>#VALUE!</v>
      </c>
    </row>
    <row r="604" spans="1:19" ht="51" x14ac:dyDescent="0.2">
      <c r="A604" s="521" t="s">
        <v>5156</v>
      </c>
      <c r="B604" s="514">
        <v>43752</v>
      </c>
      <c r="C604" s="515" t="s">
        <v>5157</v>
      </c>
      <c r="D604" s="515" t="s">
        <v>3873</v>
      </c>
      <c r="E604" s="516" t="s">
        <v>2971</v>
      </c>
      <c r="F604" s="516">
        <v>1</v>
      </c>
      <c r="G604" s="516" t="s">
        <v>2841</v>
      </c>
      <c r="H604" s="516" t="s">
        <v>229</v>
      </c>
      <c r="I604" s="516" t="s">
        <v>755</v>
      </c>
      <c r="J604" s="514">
        <v>43769</v>
      </c>
      <c r="K604" s="514"/>
      <c r="L604" s="514"/>
      <c r="M604" s="516" t="s">
        <v>2853</v>
      </c>
      <c r="N604" s="516" t="s">
        <v>2088</v>
      </c>
      <c r="O604" s="517">
        <v>43760</v>
      </c>
      <c r="P604" s="516" t="s">
        <v>3061</v>
      </c>
      <c r="Q604" s="516" t="s">
        <v>2829</v>
      </c>
      <c r="R604" s="518" t="s">
        <v>5080</v>
      </c>
      <c r="S604" s="519" t="e">
        <f>Table137[[#This Row],[DATE  CLOSED]]-Table137[[#This Row],[INITIATION DATE]]</f>
        <v>#VALUE!</v>
      </c>
    </row>
    <row r="605" spans="1:19" ht="25.5" x14ac:dyDescent="0.2">
      <c r="A605" s="520" t="s">
        <v>5158</v>
      </c>
      <c r="B605" s="508">
        <v>43752</v>
      </c>
      <c r="C605" s="343" t="s">
        <v>5159</v>
      </c>
      <c r="D605" s="343" t="s">
        <v>5160</v>
      </c>
      <c r="E605" s="344" t="s">
        <v>2971</v>
      </c>
      <c r="F605" s="510">
        <v>1</v>
      </c>
      <c r="G605" s="344" t="s">
        <v>2840</v>
      </c>
      <c r="H605" s="344" t="s">
        <v>229</v>
      </c>
      <c r="I605" s="344" t="s">
        <v>755</v>
      </c>
      <c r="J605" s="508">
        <v>43756</v>
      </c>
      <c r="K605" s="508"/>
      <c r="L605" s="508"/>
      <c r="M605" s="344" t="s">
        <v>2853</v>
      </c>
      <c r="N605" s="510" t="s">
        <v>2088</v>
      </c>
      <c r="O605" s="511">
        <v>43752</v>
      </c>
      <c r="P605" s="510" t="s">
        <v>3061</v>
      </c>
      <c r="Q605" s="510" t="s">
        <v>2829</v>
      </c>
      <c r="R605" s="512" t="s">
        <v>5080</v>
      </c>
      <c r="S605" s="513" t="e">
        <f>Table137[[#This Row],[DATE  CLOSED]]-Table137[[#This Row],[INITIATION DATE]]</f>
        <v>#VALUE!</v>
      </c>
    </row>
    <row r="606" spans="1:19" ht="51" x14ac:dyDescent="0.2">
      <c r="A606" s="521" t="s">
        <v>5161</v>
      </c>
      <c r="B606" s="514">
        <v>43755</v>
      </c>
      <c r="C606" s="515" t="s">
        <v>5164</v>
      </c>
      <c r="D606" s="515" t="s">
        <v>5165</v>
      </c>
      <c r="E606" s="516" t="s">
        <v>5162</v>
      </c>
      <c r="F606" s="516">
        <v>1</v>
      </c>
      <c r="G606" s="516" t="s">
        <v>2828</v>
      </c>
      <c r="H606" s="516" t="s">
        <v>5163</v>
      </c>
      <c r="I606" s="516" t="s">
        <v>3211</v>
      </c>
      <c r="J606" s="514">
        <v>43787</v>
      </c>
      <c r="K606" s="514"/>
      <c r="L606" s="514"/>
      <c r="M606" s="516" t="s">
        <v>2853</v>
      </c>
      <c r="N606" s="516" t="s">
        <v>2088</v>
      </c>
      <c r="O606" s="517">
        <v>43781</v>
      </c>
      <c r="P606" s="516" t="s">
        <v>3061</v>
      </c>
      <c r="Q606" s="516" t="s">
        <v>2829</v>
      </c>
      <c r="R606" s="518" t="s">
        <v>5080</v>
      </c>
      <c r="S606" s="519" t="e">
        <f>Table137[[#This Row],[DATE  CLOSED]]-Table137[[#This Row],[INITIATION DATE]]</f>
        <v>#VALUE!</v>
      </c>
    </row>
    <row r="607" spans="1:19" ht="76.5" x14ac:dyDescent="0.2">
      <c r="A607" s="520" t="s">
        <v>5167</v>
      </c>
      <c r="B607" s="508">
        <v>43761</v>
      </c>
      <c r="C607" s="509" t="s">
        <v>5064</v>
      </c>
      <c r="D607" s="343" t="s">
        <v>5168</v>
      </c>
      <c r="E607" s="344" t="s">
        <v>2971</v>
      </c>
      <c r="F607" s="510">
        <v>1</v>
      </c>
      <c r="G607" s="510" t="s">
        <v>2836</v>
      </c>
      <c r="H607" s="344" t="s">
        <v>4079</v>
      </c>
      <c r="I607" s="344" t="s">
        <v>3926</v>
      </c>
      <c r="J607" s="508">
        <v>43792</v>
      </c>
      <c r="K607" s="508"/>
      <c r="L607" s="508"/>
      <c r="M607" s="344" t="s">
        <v>2853</v>
      </c>
      <c r="N607" s="510" t="s">
        <v>2088</v>
      </c>
      <c r="O607" s="511">
        <v>43781</v>
      </c>
      <c r="P607" s="510" t="s">
        <v>3061</v>
      </c>
      <c r="Q607" s="510" t="s">
        <v>2829</v>
      </c>
      <c r="R607" s="512"/>
      <c r="S607" s="513" t="e">
        <f>Table137[[#This Row],[DATE  CLOSED]]-Table137[[#This Row],[INITIATION DATE]]</f>
        <v>#VALUE!</v>
      </c>
    </row>
    <row r="608" spans="1:19" ht="51" x14ac:dyDescent="0.2">
      <c r="A608" s="340" t="s">
        <v>5170</v>
      </c>
      <c r="B608" s="514">
        <v>43766</v>
      </c>
      <c r="C608" s="341" t="s">
        <v>5171</v>
      </c>
      <c r="D608" s="341" t="s">
        <v>5008</v>
      </c>
      <c r="E608" s="342" t="s">
        <v>3519</v>
      </c>
      <c r="F608" s="516">
        <v>1</v>
      </c>
      <c r="G608" s="342" t="s">
        <v>2828</v>
      </c>
      <c r="H608" s="342" t="s">
        <v>4163</v>
      </c>
      <c r="I608" s="342" t="s">
        <v>3211</v>
      </c>
      <c r="J608" s="514">
        <v>43830</v>
      </c>
      <c r="K608" s="514">
        <v>43951</v>
      </c>
      <c r="L608" s="514"/>
      <c r="M608" s="342" t="s">
        <v>2853</v>
      </c>
      <c r="N608" s="516" t="s">
        <v>3022</v>
      </c>
      <c r="O608" s="517">
        <v>44021</v>
      </c>
      <c r="P608" s="516" t="s">
        <v>3022</v>
      </c>
      <c r="Q608" s="516" t="s">
        <v>2837</v>
      </c>
      <c r="R608" s="518"/>
      <c r="S608" s="519" t="e">
        <f>Table137[[#This Row],[DATE  CLOSED]]-Table137[[#This Row],[INITIATION DATE]]</f>
        <v>#VALUE!</v>
      </c>
    </row>
    <row r="609" spans="1:19" ht="63.75" x14ac:dyDescent="0.2">
      <c r="A609" s="520" t="s">
        <v>5173</v>
      </c>
      <c r="B609" s="508">
        <v>43767</v>
      </c>
      <c r="C609" s="509" t="s">
        <v>5174</v>
      </c>
      <c r="D609" s="509" t="s">
        <v>5175</v>
      </c>
      <c r="E609" s="510" t="s">
        <v>2971</v>
      </c>
      <c r="F609" s="510">
        <v>1</v>
      </c>
      <c r="G609" s="510" t="s">
        <v>2838</v>
      </c>
      <c r="H609" s="510" t="s">
        <v>685</v>
      </c>
      <c r="I609" s="510" t="s">
        <v>755</v>
      </c>
      <c r="J609" s="508">
        <v>43804</v>
      </c>
      <c r="K609" s="508"/>
      <c r="L609" s="508"/>
      <c r="M609" s="510" t="s">
        <v>2853</v>
      </c>
      <c r="N609" s="510" t="s">
        <v>2088</v>
      </c>
      <c r="O609" s="511">
        <v>43803</v>
      </c>
      <c r="P609" s="510" t="s">
        <v>3061</v>
      </c>
      <c r="Q609" s="510" t="s">
        <v>2832</v>
      </c>
      <c r="R609" s="512" t="s">
        <v>5080</v>
      </c>
      <c r="S609" s="513" t="e">
        <f>Table137[[#This Row],[DATE  CLOSED]]-Table137[[#This Row],[INITIATION DATE]]</f>
        <v>#VALUE!</v>
      </c>
    </row>
    <row r="610" spans="1:19" ht="114.75" x14ac:dyDescent="0.2">
      <c r="A610" s="521" t="s">
        <v>5176</v>
      </c>
      <c r="B610" s="514">
        <v>43768</v>
      </c>
      <c r="C610" s="515" t="s">
        <v>5177</v>
      </c>
      <c r="D610" s="515" t="s">
        <v>3307</v>
      </c>
      <c r="E610" s="516" t="s">
        <v>2971</v>
      </c>
      <c r="F610" s="516">
        <v>1</v>
      </c>
      <c r="G610" s="516" t="s">
        <v>2841</v>
      </c>
      <c r="H610" s="516" t="s">
        <v>3991</v>
      </c>
      <c r="I610" s="516" t="s">
        <v>229</v>
      </c>
      <c r="J610" s="514">
        <v>43784</v>
      </c>
      <c r="K610" s="514"/>
      <c r="L610" s="514"/>
      <c r="M610" s="516" t="s">
        <v>2853</v>
      </c>
      <c r="N610" s="516" t="s">
        <v>2912</v>
      </c>
      <c r="O610" s="517">
        <v>43774</v>
      </c>
      <c r="P610" s="516" t="s">
        <v>3061</v>
      </c>
      <c r="Q610" s="516" t="s">
        <v>2829</v>
      </c>
      <c r="R610" s="518" t="s">
        <v>5080</v>
      </c>
      <c r="S610" s="519" t="e">
        <f>Table137[[#This Row],[DATE  CLOSED]]-Table137[[#This Row],[INITIATION DATE]]</f>
        <v>#VALUE!</v>
      </c>
    </row>
    <row r="611" spans="1:19" ht="51" x14ac:dyDescent="0.2">
      <c r="A611" s="520" t="s">
        <v>5178</v>
      </c>
      <c r="B611" s="508">
        <v>43766</v>
      </c>
      <c r="C611" s="509" t="s">
        <v>4788</v>
      </c>
      <c r="D611" s="509" t="s">
        <v>5179</v>
      </c>
      <c r="E611" s="510" t="s">
        <v>2971</v>
      </c>
      <c r="F611" s="510">
        <v>1</v>
      </c>
      <c r="G611" s="510" t="s">
        <v>2838</v>
      </c>
      <c r="H611" s="510" t="s">
        <v>685</v>
      </c>
      <c r="I611" s="510" t="s">
        <v>229</v>
      </c>
      <c r="J611" s="508">
        <v>43766</v>
      </c>
      <c r="K611" s="508"/>
      <c r="L611" s="508"/>
      <c r="M611" s="510" t="s">
        <v>2853</v>
      </c>
      <c r="N611" s="510" t="s">
        <v>2088</v>
      </c>
      <c r="O611" s="511">
        <v>43768</v>
      </c>
      <c r="P611" s="510" t="s">
        <v>2088</v>
      </c>
      <c r="Q611" s="510" t="s">
        <v>2829</v>
      </c>
      <c r="R611" s="512" t="s">
        <v>4797</v>
      </c>
      <c r="S611" s="513" t="e">
        <f>Table137[[#This Row],[DATE  CLOSED]]-Table137[[#This Row],[INITIATION DATE]]</f>
        <v>#VALUE!</v>
      </c>
    </row>
    <row r="612" spans="1:19" ht="38.25" x14ac:dyDescent="0.2">
      <c r="A612" s="521" t="s">
        <v>5180</v>
      </c>
      <c r="B612" s="514">
        <v>43768</v>
      </c>
      <c r="C612" s="515" t="s">
        <v>5181</v>
      </c>
      <c r="D612" s="515" t="s">
        <v>3426</v>
      </c>
      <c r="E612" s="516" t="s">
        <v>4256</v>
      </c>
      <c r="F612" s="516">
        <v>1</v>
      </c>
      <c r="G612" s="516" t="s">
        <v>2828</v>
      </c>
      <c r="H612" s="516" t="s">
        <v>4232</v>
      </c>
      <c r="I612" s="516" t="s">
        <v>3211</v>
      </c>
      <c r="J612" s="514">
        <v>43799</v>
      </c>
      <c r="K612" s="514"/>
      <c r="L612" s="514"/>
      <c r="M612" s="516" t="s">
        <v>2853</v>
      </c>
      <c r="N612" s="516" t="s">
        <v>2088</v>
      </c>
      <c r="O612" s="517">
        <v>43774</v>
      </c>
      <c r="P612" s="516" t="s">
        <v>3061</v>
      </c>
      <c r="Q612" s="516" t="s">
        <v>2829</v>
      </c>
      <c r="R612" s="518"/>
      <c r="S612" s="519" t="e">
        <f>Table137[[#This Row],[DATE  CLOSED]]-Table137[[#This Row],[INITIATION DATE]]</f>
        <v>#VALUE!</v>
      </c>
    </row>
    <row r="613" spans="1:19" ht="76.5" x14ac:dyDescent="0.2">
      <c r="A613" s="520" t="s">
        <v>5182</v>
      </c>
      <c r="B613" s="508">
        <v>43768</v>
      </c>
      <c r="C613" s="509" t="s">
        <v>5183</v>
      </c>
      <c r="D613" s="509" t="s">
        <v>5184</v>
      </c>
      <c r="E613" s="510" t="s">
        <v>2971</v>
      </c>
      <c r="F613" s="510">
        <v>1</v>
      </c>
      <c r="G613" s="510" t="s">
        <v>2836</v>
      </c>
      <c r="H613" s="510" t="s">
        <v>685</v>
      </c>
      <c r="I613" s="510" t="s">
        <v>229</v>
      </c>
      <c r="J613" s="508">
        <v>43861</v>
      </c>
      <c r="K613" s="508"/>
      <c r="L613" s="508"/>
      <c r="M613" s="510" t="s">
        <v>2853</v>
      </c>
      <c r="N613" s="510" t="s">
        <v>2088</v>
      </c>
      <c r="O613" s="511">
        <v>43768</v>
      </c>
      <c r="P613" s="510" t="s">
        <v>3061</v>
      </c>
      <c r="Q613" s="510" t="s">
        <v>4987</v>
      </c>
      <c r="R613" s="512" t="s">
        <v>5988</v>
      </c>
      <c r="S613" s="513" t="e">
        <f>Table137[[#This Row],[DATE  CLOSED]]-Table137[[#This Row],[INITIATION DATE]]</f>
        <v>#VALUE!</v>
      </c>
    </row>
    <row r="614" spans="1:19" ht="102" x14ac:dyDescent="0.2">
      <c r="A614" s="521" t="s">
        <v>5185</v>
      </c>
      <c r="B614" s="514">
        <v>43768</v>
      </c>
      <c r="C614" s="515" t="s">
        <v>5186</v>
      </c>
      <c r="D614" s="515" t="s">
        <v>5187</v>
      </c>
      <c r="E614" s="516" t="s">
        <v>2971</v>
      </c>
      <c r="F614" s="516">
        <v>1</v>
      </c>
      <c r="G614" s="516" t="s">
        <v>2836</v>
      </c>
      <c r="H614" s="516" t="s">
        <v>685</v>
      </c>
      <c r="I614" s="516" t="s">
        <v>229</v>
      </c>
      <c r="J614" s="514">
        <v>43921</v>
      </c>
      <c r="K614" s="514"/>
      <c r="L614" s="514"/>
      <c r="M614" s="516" t="s">
        <v>2853</v>
      </c>
      <c r="N614" s="516" t="s">
        <v>2088</v>
      </c>
      <c r="O614" s="517">
        <v>43769</v>
      </c>
      <c r="P614" s="516" t="s">
        <v>3061</v>
      </c>
      <c r="Q614" s="516" t="s">
        <v>4987</v>
      </c>
      <c r="R614" s="518" t="s">
        <v>5987</v>
      </c>
      <c r="S614" s="519" t="e">
        <f>Table137[[#This Row],[DATE  CLOSED]]-Table137[[#This Row],[INITIATION DATE]]</f>
        <v>#VALUE!</v>
      </c>
    </row>
    <row r="615" spans="1:19" ht="25.5" x14ac:dyDescent="0.2">
      <c r="A615" s="520" t="s">
        <v>5188</v>
      </c>
      <c r="B615" s="508">
        <v>43770</v>
      </c>
      <c r="C615" s="343" t="s">
        <v>5189</v>
      </c>
      <c r="D615" s="343" t="s">
        <v>5190</v>
      </c>
      <c r="E615" s="344" t="s">
        <v>2971</v>
      </c>
      <c r="F615" s="510">
        <v>1</v>
      </c>
      <c r="G615" s="344" t="s">
        <v>2841</v>
      </c>
      <c r="H615" s="344" t="s">
        <v>229</v>
      </c>
      <c r="I615" s="344" t="s">
        <v>755</v>
      </c>
      <c r="J615" s="508">
        <v>43799</v>
      </c>
      <c r="K615" s="508"/>
      <c r="L615" s="508"/>
      <c r="M615" s="344" t="s">
        <v>2853</v>
      </c>
      <c r="N615" s="510" t="s">
        <v>2088</v>
      </c>
      <c r="O615" s="511">
        <v>43795</v>
      </c>
      <c r="P615" s="510" t="s">
        <v>3061</v>
      </c>
      <c r="Q615" s="510" t="s">
        <v>2829</v>
      </c>
      <c r="R615" s="512"/>
      <c r="S615" s="513" t="e">
        <f>Table137[[#This Row],[DATE  CLOSED]]-Table137[[#This Row],[INITIATION DATE]]</f>
        <v>#VALUE!</v>
      </c>
    </row>
    <row r="616" spans="1:19" ht="38.25" x14ac:dyDescent="0.2">
      <c r="A616" s="521" t="s">
        <v>5191</v>
      </c>
      <c r="B616" s="514">
        <v>43773</v>
      </c>
      <c r="C616" s="341" t="s">
        <v>5193</v>
      </c>
      <c r="D616" s="341" t="s">
        <v>3039</v>
      </c>
      <c r="E616" s="342" t="s">
        <v>2971</v>
      </c>
      <c r="F616" s="516">
        <v>1</v>
      </c>
      <c r="G616" s="516" t="s">
        <v>2841</v>
      </c>
      <c r="H616" s="342" t="s">
        <v>3211</v>
      </c>
      <c r="I616" s="342" t="s">
        <v>5192</v>
      </c>
      <c r="J616" s="514">
        <v>43799</v>
      </c>
      <c r="K616" s="514"/>
      <c r="L616" s="514"/>
      <c r="M616" s="516" t="s">
        <v>2853</v>
      </c>
      <c r="N616" s="516" t="s">
        <v>2088</v>
      </c>
      <c r="O616" s="517">
        <v>43795</v>
      </c>
      <c r="P616" s="516" t="s">
        <v>3061</v>
      </c>
      <c r="Q616" s="516" t="s">
        <v>2829</v>
      </c>
      <c r="R616" s="518" t="s">
        <v>5080</v>
      </c>
      <c r="S616" s="519" t="e">
        <f>Table137[[#This Row],[DATE  CLOSED]]-Table137[[#This Row],[INITIATION DATE]]</f>
        <v>#VALUE!</v>
      </c>
    </row>
    <row r="617" spans="1:19" ht="38.25" x14ac:dyDescent="0.2">
      <c r="A617" s="520" t="s">
        <v>5194</v>
      </c>
      <c r="B617" s="508">
        <v>43773</v>
      </c>
      <c r="C617" s="509" t="s">
        <v>5195</v>
      </c>
      <c r="D617" s="509" t="s">
        <v>5196</v>
      </c>
      <c r="E617" s="510" t="s">
        <v>2971</v>
      </c>
      <c r="F617" s="510">
        <v>1</v>
      </c>
      <c r="G617" s="510" t="s">
        <v>2841</v>
      </c>
      <c r="H617" s="510" t="s">
        <v>3991</v>
      </c>
      <c r="I617" s="510" t="s">
        <v>229</v>
      </c>
      <c r="J617" s="508">
        <v>43799</v>
      </c>
      <c r="K617" s="508"/>
      <c r="L617" s="508"/>
      <c r="M617" s="510" t="s">
        <v>2853</v>
      </c>
      <c r="N617" s="510" t="s">
        <v>2088</v>
      </c>
      <c r="O617" s="511">
        <v>43795</v>
      </c>
      <c r="P617" s="510" t="s">
        <v>3061</v>
      </c>
      <c r="Q617" s="510" t="s">
        <v>2829</v>
      </c>
      <c r="R617" s="512"/>
      <c r="S617" s="513" t="e">
        <f>Table137[[#This Row],[DATE  CLOSED]]-Table137[[#This Row],[INITIATION DATE]]</f>
        <v>#VALUE!</v>
      </c>
    </row>
    <row r="618" spans="1:19" ht="51" x14ac:dyDescent="0.2">
      <c r="A618" s="521" t="s">
        <v>5197</v>
      </c>
      <c r="B618" s="514">
        <v>43773</v>
      </c>
      <c r="C618" s="341" t="s">
        <v>5198</v>
      </c>
      <c r="D618" s="341" t="s">
        <v>5199</v>
      </c>
      <c r="E618" s="342" t="s">
        <v>2971</v>
      </c>
      <c r="F618" s="516">
        <v>1</v>
      </c>
      <c r="G618" s="516" t="s">
        <v>2840</v>
      </c>
      <c r="H618" s="342" t="s">
        <v>229</v>
      </c>
      <c r="I618" s="342" t="s">
        <v>755</v>
      </c>
      <c r="J618" s="514">
        <v>43799</v>
      </c>
      <c r="K618" s="514"/>
      <c r="L618" s="514"/>
      <c r="M618" s="342" t="s">
        <v>2853</v>
      </c>
      <c r="N618" s="516" t="s">
        <v>2088</v>
      </c>
      <c r="O618" s="517">
        <v>43774</v>
      </c>
      <c r="P618" s="516" t="s">
        <v>3061</v>
      </c>
      <c r="Q618" s="516" t="s">
        <v>2829</v>
      </c>
      <c r="R618" s="518" t="s">
        <v>5080</v>
      </c>
      <c r="S618" s="519" t="e">
        <f>Table137[[#This Row],[DATE  CLOSED]]-Table137[[#This Row],[INITIATION DATE]]</f>
        <v>#VALUE!</v>
      </c>
    </row>
    <row r="619" spans="1:19" ht="38.25" x14ac:dyDescent="0.2">
      <c r="A619" s="520" t="s">
        <v>5200</v>
      </c>
      <c r="B619" s="508">
        <v>43773</v>
      </c>
      <c r="C619" s="343" t="s">
        <v>5201</v>
      </c>
      <c r="D619" s="343" t="s">
        <v>3039</v>
      </c>
      <c r="E619" s="344" t="s">
        <v>2971</v>
      </c>
      <c r="F619" s="510">
        <v>1</v>
      </c>
      <c r="G619" s="344" t="s">
        <v>2841</v>
      </c>
      <c r="H619" s="344" t="s">
        <v>229</v>
      </c>
      <c r="I619" s="344" t="s">
        <v>755</v>
      </c>
      <c r="J619" s="508">
        <v>43799</v>
      </c>
      <c r="K619" s="508"/>
      <c r="L619" s="508"/>
      <c r="M619" s="344" t="s">
        <v>2853</v>
      </c>
      <c r="N619" s="510" t="s">
        <v>2088</v>
      </c>
      <c r="O619" s="511">
        <v>43775</v>
      </c>
      <c r="P619" s="510" t="s">
        <v>3061</v>
      </c>
      <c r="Q619" s="510" t="s">
        <v>2829</v>
      </c>
      <c r="R619" s="440" t="s">
        <v>5080</v>
      </c>
      <c r="S619" s="513" t="e">
        <f>Table137[[#This Row],[DATE  CLOSED]]-Table137[[#This Row],[INITIATION DATE]]</f>
        <v>#VALUE!</v>
      </c>
    </row>
    <row r="620" spans="1:19" ht="38.25" x14ac:dyDescent="0.2">
      <c r="A620" s="521" t="s">
        <v>5202</v>
      </c>
      <c r="B620" s="514">
        <v>43773</v>
      </c>
      <c r="C620" s="341" t="s">
        <v>5203</v>
      </c>
      <c r="D620" s="341" t="s">
        <v>3039</v>
      </c>
      <c r="E620" s="342" t="s">
        <v>2971</v>
      </c>
      <c r="F620" s="516">
        <v>1</v>
      </c>
      <c r="G620" s="342" t="s">
        <v>2841</v>
      </c>
      <c r="H620" s="342" t="s">
        <v>229</v>
      </c>
      <c r="I620" s="342" t="s">
        <v>755</v>
      </c>
      <c r="J620" s="514">
        <v>43799</v>
      </c>
      <c r="K620" s="514"/>
      <c r="L620" s="514"/>
      <c r="M620" s="342" t="s">
        <v>2853</v>
      </c>
      <c r="N620" s="516" t="s">
        <v>2088</v>
      </c>
      <c r="O620" s="517">
        <v>43794</v>
      </c>
      <c r="P620" s="516" t="s">
        <v>3061</v>
      </c>
      <c r="Q620" s="516" t="s">
        <v>2829</v>
      </c>
      <c r="R620" s="439" t="s">
        <v>5080</v>
      </c>
      <c r="S620" s="519" t="e">
        <f>Table137[[#This Row],[DATE  CLOSED]]-Table137[[#This Row],[INITIATION DATE]]</f>
        <v>#VALUE!</v>
      </c>
    </row>
    <row r="621" spans="1:19" ht="38.25" x14ac:dyDescent="0.2">
      <c r="A621" s="520" t="s">
        <v>5204</v>
      </c>
      <c r="B621" s="508">
        <v>43773</v>
      </c>
      <c r="C621" s="509" t="s">
        <v>5205</v>
      </c>
      <c r="D621" s="509" t="s">
        <v>3306</v>
      </c>
      <c r="E621" s="510" t="s">
        <v>2971</v>
      </c>
      <c r="F621" s="510">
        <v>1</v>
      </c>
      <c r="G621" s="510" t="s">
        <v>2841</v>
      </c>
      <c r="H621" s="510" t="s">
        <v>229</v>
      </c>
      <c r="I621" s="510" t="s">
        <v>755</v>
      </c>
      <c r="J621" s="508">
        <v>43799</v>
      </c>
      <c r="K621" s="508"/>
      <c r="L621" s="508"/>
      <c r="M621" s="510" t="s">
        <v>2853</v>
      </c>
      <c r="N621" s="510" t="s">
        <v>2088</v>
      </c>
      <c r="O621" s="511">
        <v>43775</v>
      </c>
      <c r="P621" s="510" t="s">
        <v>3061</v>
      </c>
      <c r="Q621" s="510" t="s">
        <v>2829</v>
      </c>
      <c r="R621" s="440" t="s">
        <v>5080</v>
      </c>
      <c r="S621" s="513" t="e">
        <f>Table137[[#This Row],[DATE  CLOSED]]-Table137[[#This Row],[INITIATION DATE]]</f>
        <v>#VALUE!</v>
      </c>
    </row>
    <row r="622" spans="1:19" ht="89.25" x14ac:dyDescent="0.2">
      <c r="A622" s="521" t="s">
        <v>5206</v>
      </c>
      <c r="B622" s="514">
        <v>43774</v>
      </c>
      <c r="C622" s="515" t="s">
        <v>5207</v>
      </c>
      <c r="D622" s="515" t="s">
        <v>5208</v>
      </c>
      <c r="E622" s="516" t="s">
        <v>4174</v>
      </c>
      <c r="F622" s="516">
        <v>1</v>
      </c>
      <c r="G622" s="516" t="s">
        <v>2828</v>
      </c>
      <c r="H622" s="516" t="s">
        <v>615</v>
      </c>
      <c r="I622" s="516" t="s">
        <v>3926</v>
      </c>
      <c r="J622" s="514">
        <v>43830</v>
      </c>
      <c r="K622" s="514"/>
      <c r="L622" s="514"/>
      <c r="M622" s="516" t="s">
        <v>2853</v>
      </c>
      <c r="N622" s="516" t="s">
        <v>2088</v>
      </c>
      <c r="O622" s="517">
        <v>43817</v>
      </c>
      <c r="P622" s="516" t="s">
        <v>3061</v>
      </c>
      <c r="Q622" s="516" t="s">
        <v>2832</v>
      </c>
      <c r="R622" s="518" t="s">
        <v>5080</v>
      </c>
      <c r="S622" s="519" t="e">
        <f>Table137[[#This Row],[DATE  CLOSED]]-Table137[[#This Row],[INITIATION DATE]]</f>
        <v>#VALUE!</v>
      </c>
    </row>
    <row r="623" spans="1:19" ht="38.25" x14ac:dyDescent="0.2">
      <c r="A623" s="520" t="s">
        <v>5209</v>
      </c>
      <c r="B623" s="508">
        <v>43774</v>
      </c>
      <c r="C623" s="509" t="s">
        <v>5210</v>
      </c>
      <c r="D623" s="509" t="s">
        <v>3039</v>
      </c>
      <c r="E623" s="510" t="s">
        <v>2971</v>
      </c>
      <c r="F623" s="510">
        <v>1</v>
      </c>
      <c r="G623" s="510" t="s">
        <v>2841</v>
      </c>
      <c r="H623" s="510" t="s">
        <v>3211</v>
      </c>
      <c r="I623" s="510" t="s">
        <v>229</v>
      </c>
      <c r="J623" s="508">
        <v>43798</v>
      </c>
      <c r="K623" s="508"/>
      <c r="L623" s="508"/>
      <c r="M623" s="510" t="s">
        <v>2853</v>
      </c>
      <c r="N623" s="510" t="s">
        <v>2088</v>
      </c>
      <c r="O623" s="511">
        <v>43775</v>
      </c>
      <c r="P623" s="510" t="s">
        <v>3061</v>
      </c>
      <c r="Q623" s="510" t="s">
        <v>2829</v>
      </c>
      <c r="R623" s="440" t="s">
        <v>5080</v>
      </c>
      <c r="S623" s="513" t="e">
        <f>Table137[[#This Row],[DATE  CLOSED]]-Table137[[#This Row],[INITIATION DATE]]</f>
        <v>#VALUE!</v>
      </c>
    </row>
    <row r="624" spans="1:19" ht="51" x14ac:dyDescent="0.2">
      <c r="A624" s="521" t="s">
        <v>5211</v>
      </c>
      <c r="B624" s="514">
        <v>43777</v>
      </c>
      <c r="C624" s="515" t="s">
        <v>5212</v>
      </c>
      <c r="D624" s="515" t="s">
        <v>5213</v>
      </c>
      <c r="E624" s="516" t="s">
        <v>2971</v>
      </c>
      <c r="F624" s="516">
        <v>1</v>
      </c>
      <c r="G624" s="516" t="s">
        <v>2838</v>
      </c>
      <c r="H624" s="516" t="s">
        <v>685</v>
      </c>
      <c r="I624" s="516" t="s">
        <v>755</v>
      </c>
      <c r="J624" s="514">
        <v>43830</v>
      </c>
      <c r="K624" s="514">
        <v>44561</v>
      </c>
      <c r="L624" s="514"/>
      <c r="M624" s="516" t="s">
        <v>2847</v>
      </c>
      <c r="N624" s="516" t="s">
        <v>2912</v>
      </c>
      <c r="O624" s="517"/>
      <c r="P624" s="516"/>
      <c r="Q624" s="516"/>
      <c r="R624" s="518"/>
      <c r="S624" s="519" t="e">
        <f>Table137[[#This Row],[DATE  CLOSED]]-Table137[[#This Row],[INITIATION DATE]]</f>
        <v>#VALUE!</v>
      </c>
    </row>
    <row r="625" spans="1:19" ht="63.75" x14ac:dyDescent="0.2">
      <c r="A625" s="520" t="s">
        <v>5214</v>
      </c>
      <c r="B625" s="508">
        <v>43780</v>
      </c>
      <c r="C625" s="509" t="s">
        <v>5215</v>
      </c>
      <c r="D625" s="509" t="s">
        <v>5216</v>
      </c>
      <c r="E625" s="510" t="s">
        <v>5126</v>
      </c>
      <c r="F625" s="510">
        <v>1</v>
      </c>
      <c r="G625" s="510" t="s">
        <v>2828</v>
      </c>
      <c r="H625" s="510" t="s">
        <v>3975</v>
      </c>
      <c r="I625" s="510" t="s">
        <v>3211</v>
      </c>
      <c r="J625" s="508">
        <v>43830</v>
      </c>
      <c r="K625" s="508"/>
      <c r="L625" s="508"/>
      <c r="M625" s="510" t="s">
        <v>2853</v>
      </c>
      <c r="N625" s="510" t="s">
        <v>2088</v>
      </c>
      <c r="O625" s="511">
        <v>43790</v>
      </c>
      <c r="P625" s="510" t="s">
        <v>3061</v>
      </c>
      <c r="Q625" s="510" t="s">
        <v>2829</v>
      </c>
      <c r="R625" s="512"/>
      <c r="S625" s="513" t="e">
        <f>Table137[[#This Row],[DATE  CLOSED]]-Table137[[#This Row],[INITIATION DATE]]</f>
        <v>#VALUE!</v>
      </c>
    </row>
    <row r="626" spans="1:19" ht="38.25" x14ac:dyDescent="0.2">
      <c r="A626" s="521" t="s">
        <v>5218</v>
      </c>
      <c r="B626" s="514">
        <v>43781</v>
      </c>
      <c r="C626" s="515" t="s">
        <v>5219</v>
      </c>
      <c r="D626" s="515" t="s">
        <v>5220</v>
      </c>
      <c r="E626" s="516" t="s">
        <v>2971</v>
      </c>
      <c r="F626" s="516">
        <v>1</v>
      </c>
      <c r="G626" s="516" t="s">
        <v>2841</v>
      </c>
      <c r="H626" s="516" t="s">
        <v>1339</v>
      </c>
      <c r="I626" s="516" t="s">
        <v>229</v>
      </c>
      <c r="J626" s="514">
        <v>43799</v>
      </c>
      <c r="K626" s="514"/>
      <c r="L626" s="514"/>
      <c r="M626" s="516" t="s">
        <v>2853</v>
      </c>
      <c r="N626" s="516" t="s">
        <v>2088</v>
      </c>
      <c r="O626" s="517">
        <v>43795</v>
      </c>
      <c r="P626" s="516" t="s">
        <v>3061</v>
      </c>
      <c r="Q626" s="516" t="s">
        <v>2829</v>
      </c>
      <c r="R626" s="518"/>
      <c r="S626" s="519" t="e">
        <f>Table137[[#This Row],[DATE  CLOSED]]-Table137[[#This Row],[INITIATION DATE]]</f>
        <v>#VALUE!</v>
      </c>
    </row>
    <row r="627" spans="1:19" ht="102" x14ac:dyDescent="0.2">
      <c r="A627" s="520" t="s">
        <v>5222</v>
      </c>
      <c r="B627" s="508">
        <v>43784</v>
      </c>
      <c r="C627" s="509" t="s">
        <v>5223</v>
      </c>
      <c r="D627" s="509" t="s">
        <v>5224</v>
      </c>
      <c r="E627" s="510" t="s">
        <v>3532</v>
      </c>
      <c r="F627" s="510">
        <v>1</v>
      </c>
      <c r="G627" s="510" t="s">
        <v>2828</v>
      </c>
      <c r="H627" s="510" t="s">
        <v>3975</v>
      </c>
      <c r="I627" s="510" t="s">
        <v>3211</v>
      </c>
      <c r="J627" s="508">
        <v>43830</v>
      </c>
      <c r="K627" s="508"/>
      <c r="L627" s="508"/>
      <c r="M627" s="510" t="s">
        <v>2853</v>
      </c>
      <c r="N627" s="510" t="s">
        <v>2088</v>
      </c>
      <c r="O627" s="511">
        <v>43795</v>
      </c>
      <c r="P627" s="510" t="s">
        <v>3061</v>
      </c>
      <c r="Q627" s="510" t="s">
        <v>2829</v>
      </c>
      <c r="R627" s="512"/>
      <c r="S627" s="513" t="e">
        <f>Table137[[#This Row],[DATE  CLOSED]]-Table137[[#This Row],[INITIATION DATE]]</f>
        <v>#VALUE!</v>
      </c>
    </row>
    <row r="628" spans="1:19" ht="102" x14ac:dyDescent="0.2">
      <c r="A628" s="521" t="s">
        <v>5221</v>
      </c>
      <c r="B628" s="514">
        <v>43784</v>
      </c>
      <c r="C628" s="515" t="s">
        <v>5225</v>
      </c>
      <c r="D628" s="515" t="s">
        <v>5226</v>
      </c>
      <c r="E628" s="516" t="s">
        <v>2971</v>
      </c>
      <c r="F628" s="516">
        <v>1</v>
      </c>
      <c r="G628" s="516" t="s">
        <v>2831</v>
      </c>
      <c r="H628" s="516" t="s">
        <v>3645</v>
      </c>
      <c r="I628" s="516" t="s">
        <v>229</v>
      </c>
      <c r="J628" s="514">
        <v>43830</v>
      </c>
      <c r="K628" s="514"/>
      <c r="L628" s="514"/>
      <c r="M628" s="516" t="s">
        <v>2853</v>
      </c>
      <c r="N628" s="516" t="s">
        <v>2088</v>
      </c>
      <c r="O628" s="517">
        <v>43809</v>
      </c>
      <c r="P628" s="516" t="s">
        <v>3061</v>
      </c>
      <c r="Q628" s="516" t="s">
        <v>2829</v>
      </c>
      <c r="R628" s="518"/>
      <c r="S628" s="519" t="e">
        <f>Table137[[#This Row],[DATE  CLOSED]]-Table137[[#This Row],[INITIATION DATE]]</f>
        <v>#VALUE!</v>
      </c>
    </row>
    <row r="629" spans="1:19" ht="51" x14ac:dyDescent="0.2">
      <c r="A629" s="520" t="s">
        <v>5227</v>
      </c>
      <c r="B629" s="508">
        <v>43789</v>
      </c>
      <c r="C629" s="509" t="s">
        <v>5228</v>
      </c>
      <c r="D629" s="509" t="s">
        <v>5229</v>
      </c>
      <c r="E629" s="510" t="s">
        <v>3764</v>
      </c>
      <c r="F629" s="510">
        <v>1</v>
      </c>
      <c r="G629" s="510" t="s">
        <v>2828</v>
      </c>
      <c r="H629" s="510" t="s">
        <v>3842</v>
      </c>
      <c r="I629" s="510" t="s">
        <v>3211</v>
      </c>
      <c r="J629" s="508">
        <v>43830</v>
      </c>
      <c r="K629" s="508"/>
      <c r="L629" s="508"/>
      <c r="M629" s="510" t="s">
        <v>2853</v>
      </c>
      <c r="N629" s="344" t="s">
        <v>2088</v>
      </c>
      <c r="O629" s="511">
        <v>43830</v>
      </c>
      <c r="P629" s="510" t="s">
        <v>3061</v>
      </c>
      <c r="Q629" s="510" t="s">
        <v>2832</v>
      </c>
      <c r="R629" s="512"/>
      <c r="S629" s="513" t="e">
        <f>Table137[[#This Row],[DATE  CLOSED]]-Table137[[#This Row],[INITIATION DATE]]</f>
        <v>#VALUE!</v>
      </c>
    </row>
    <row r="630" spans="1:19" ht="38.25" x14ac:dyDescent="0.2">
      <c r="A630" s="521" t="s">
        <v>5230</v>
      </c>
      <c r="B630" s="514">
        <v>43789</v>
      </c>
      <c r="C630" s="515" t="s">
        <v>5231</v>
      </c>
      <c r="D630" s="515" t="s">
        <v>5232</v>
      </c>
      <c r="E630" s="516" t="s">
        <v>2971</v>
      </c>
      <c r="F630" s="516">
        <v>1</v>
      </c>
      <c r="G630" s="516" t="s">
        <v>2841</v>
      </c>
      <c r="H630" s="516" t="s">
        <v>229</v>
      </c>
      <c r="I630" s="516" t="s">
        <v>755</v>
      </c>
      <c r="J630" s="514">
        <v>43830</v>
      </c>
      <c r="K630" s="514"/>
      <c r="L630" s="514"/>
      <c r="M630" s="516" t="s">
        <v>2853</v>
      </c>
      <c r="N630" s="516" t="s">
        <v>2088</v>
      </c>
      <c r="O630" s="517">
        <v>43818</v>
      </c>
      <c r="P630" s="516" t="s">
        <v>3061</v>
      </c>
      <c r="Q630" s="516" t="s">
        <v>2829</v>
      </c>
      <c r="R630" s="518"/>
      <c r="S630" s="519" t="e">
        <f>Table137[[#This Row],[DATE  CLOSED]]-Table137[[#This Row],[INITIATION DATE]]</f>
        <v>#VALUE!</v>
      </c>
    </row>
    <row r="631" spans="1:19" ht="51" x14ac:dyDescent="0.2">
      <c r="A631" s="520" t="s">
        <v>5233</v>
      </c>
      <c r="B631" s="508">
        <v>43789</v>
      </c>
      <c r="C631" s="509" t="s">
        <v>5234</v>
      </c>
      <c r="D631" s="509" t="s">
        <v>5235</v>
      </c>
      <c r="E631" s="510" t="s">
        <v>3777</v>
      </c>
      <c r="F631" s="510">
        <v>1</v>
      </c>
      <c r="G631" s="510" t="s">
        <v>2828</v>
      </c>
      <c r="H631" s="510" t="s">
        <v>4163</v>
      </c>
      <c r="I631" s="510" t="s">
        <v>3211</v>
      </c>
      <c r="J631" s="508">
        <v>43921</v>
      </c>
      <c r="K631" s="508"/>
      <c r="L631" s="508"/>
      <c r="M631" s="510" t="s">
        <v>2853</v>
      </c>
      <c r="N631" s="510" t="s">
        <v>2088</v>
      </c>
      <c r="O631" s="511">
        <v>43878</v>
      </c>
      <c r="P631" s="510" t="s">
        <v>3061</v>
      </c>
      <c r="Q631" s="510" t="s">
        <v>2832</v>
      </c>
      <c r="R631" s="512" t="s">
        <v>5080</v>
      </c>
      <c r="S631" s="513" t="e">
        <f>Table137[[#This Row],[DATE  CLOSED]]-Table137[[#This Row],[INITIATION DATE]]</f>
        <v>#VALUE!</v>
      </c>
    </row>
    <row r="632" spans="1:19" ht="89.25" x14ac:dyDescent="0.2">
      <c r="A632" s="521" t="s">
        <v>5236</v>
      </c>
      <c r="B632" s="514">
        <v>43790</v>
      </c>
      <c r="C632" s="515" t="s">
        <v>5237</v>
      </c>
      <c r="D632" s="515" t="s">
        <v>3606</v>
      </c>
      <c r="E632" s="516" t="s">
        <v>4033</v>
      </c>
      <c r="F632" s="516">
        <v>1</v>
      </c>
      <c r="G632" s="516" t="s">
        <v>2828</v>
      </c>
      <c r="H632" s="516" t="s">
        <v>4232</v>
      </c>
      <c r="I632" s="516" t="s">
        <v>3211</v>
      </c>
      <c r="J632" s="514">
        <v>43830</v>
      </c>
      <c r="K632" s="514"/>
      <c r="L632" s="514"/>
      <c r="M632" s="516" t="s">
        <v>2853</v>
      </c>
      <c r="N632" s="516" t="s">
        <v>2088</v>
      </c>
      <c r="O632" s="517">
        <v>43803</v>
      </c>
      <c r="P632" s="516" t="s">
        <v>3061</v>
      </c>
      <c r="Q632" s="516" t="s">
        <v>2829</v>
      </c>
      <c r="R632" s="518" t="s">
        <v>5080</v>
      </c>
      <c r="S632" s="519" t="e">
        <f>Table137[[#This Row],[DATE  CLOSED]]-Table137[[#This Row],[INITIATION DATE]]</f>
        <v>#VALUE!</v>
      </c>
    </row>
    <row r="633" spans="1:19" ht="51" x14ac:dyDescent="0.2">
      <c r="A633" s="520" t="s">
        <v>5238</v>
      </c>
      <c r="B633" s="508">
        <v>43794</v>
      </c>
      <c r="C633" s="509" t="s">
        <v>5246</v>
      </c>
      <c r="D633" s="509" t="s">
        <v>4870</v>
      </c>
      <c r="E633" s="510" t="s">
        <v>3777</v>
      </c>
      <c r="F633" s="510">
        <v>1</v>
      </c>
      <c r="G633" s="510" t="s">
        <v>2828</v>
      </c>
      <c r="H633" s="510" t="s">
        <v>4163</v>
      </c>
      <c r="I633" s="510" t="s">
        <v>3211</v>
      </c>
      <c r="J633" s="508">
        <v>43830</v>
      </c>
      <c r="K633" s="508"/>
      <c r="L633" s="508"/>
      <c r="M633" s="510" t="s">
        <v>2853</v>
      </c>
      <c r="N633" s="510" t="s">
        <v>2088</v>
      </c>
      <c r="O633" s="511">
        <v>43794</v>
      </c>
      <c r="P633" s="510" t="s">
        <v>3061</v>
      </c>
      <c r="Q633" s="510" t="s">
        <v>2829</v>
      </c>
      <c r="R633" s="512" t="s">
        <v>5247</v>
      </c>
      <c r="S633" s="513" t="e">
        <f>Table137[[#This Row],[DATE  CLOSED]]-Table137[[#This Row],[INITIATION DATE]]</f>
        <v>#VALUE!</v>
      </c>
    </row>
    <row r="634" spans="1:19" ht="102" x14ac:dyDescent="0.2">
      <c r="A634" s="521" t="s">
        <v>5239</v>
      </c>
      <c r="B634" s="514">
        <v>43794</v>
      </c>
      <c r="C634" s="515" t="s">
        <v>5240</v>
      </c>
      <c r="D634" s="515" t="s">
        <v>5241</v>
      </c>
      <c r="E634" s="516" t="s">
        <v>2971</v>
      </c>
      <c r="F634" s="516">
        <v>1</v>
      </c>
      <c r="G634" s="516" t="s">
        <v>2838</v>
      </c>
      <c r="H634" s="516" t="s">
        <v>516</v>
      </c>
      <c r="I634" s="516" t="s">
        <v>229</v>
      </c>
      <c r="J634" s="514">
        <v>43830</v>
      </c>
      <c r="K634" s="514"/>
      <c r="L634" s="514"/>
      <c r="M634" s="516" t="s">
        <v>2853</v>
      </c>
      <c r="N634" s="516" t="s">
        <v>2088</v>
      </c>
      <c r="O634" s="517">
        <v>43804</v>
      </c>
      <c r="P634" s="516" t="s">
        <v>3061</v>
      </c>
      <c r="Q634" s="516" t="s">
        <v>2829</v>
      </c>
      <c r="R634" s="518"/>
      <c r="S634" s="519" t="e">
        <f>Table137[[#This Row],[DATE  CLOSED]]-Table137[[#This Row],[INITIATION DATE]]</f>
        <v>#VALUE!</v>
      </c>
    </row>
    <row r="635" spans="1:19" ht="89.25" x14ac:dyDescent="0.2">
      <c r="A635" s="520" t="s">
        <v>5243</v>
      </c>
      <c r="B635" s="508">
        <v>43801</v>
      </c>
      <c r="C635" s="509" t="s">
        <v>5244</v>
      </c>
      <c r="D635" s="509" t="s">
        <v>5245</v>
      </c>
      <c r="E635" s="510" t="s">
        <v>2971</v>
      </c>
      <c r="F635" s="510">
        <v>1</v>
      </c>
      <c r="G635" s="510" t="s">
        <v>2841</v>
      </c>
      <c r="H635" s="510" t="s">
        <v>229</v>
      </c>
      <c r="I635" s="510" t="s">
        <v>755</v>
      </c>
      <c r="J635" s="508">
        <v>43830</v>
      </c>
      <c r="K635" s="508"/>
      <c r="L635" s="508"/>
      <c r="M635" s="510" t="s">
        <v>2853</v>
      </c>
      <c r="N635" s="510" t="s">
        <v>2088</v>
      </c>
      <c r="O635" s="511">
        <v>43819</v>
      </c>
      <c r="P635" s="510" t="s">
        <v>3061</v>
      </c>
      <c r="Q635" s="510" t="s">
        <v>2829</v>
      </c>
      <c r="R635" s="512"/>
      <c r="S635" s="513" t="e">
        <f>Table137[[#This Row],[DATE  CLOSED]]-Table137[[#This Row],[INITIATION DATE]]</f>
        <v>#VALUE!</v>
      </c>
    </row>
    <row r="636" spans="1:19" ht="38.25" x14ac:dyDescent="0.2">
      <c r="A636" s="521" t="s">
        <v>5248</v>
      </c>
      <c r="B636" s="514">
        <v>43803</v>
      </c>
      <c r="C636" s="515" t="s">
        <v>5249</v>
      </c>
      <c r="D636" s="515" t="s">
        <v>5250</v>
      </c>
      <c r="E636" s="516" t="s">
        <v>2971</v>
      </c>
      <c r="F636" s="516">
        <v>1</v>
      </c>
      <c r="G636" s="516" t="s">
        <v>2841</v>
      </c>
      <c r="H636" s="516" t="s">
        <v>4142</v>
      </c>
      <c r="I636" s="516" t="s">
        <v>229</v>
      </c>
      <c r="J636" s="514">
        <v>43830</v>
      </c>
      <c r="K636" s="514"/>
      <c r="L636" s="514"/>
      <c r="M636" s="516" t="s">
        <v>2853</v>
      </c>
      <c r="N636" s="516" t="s">
        <v>2088</v>
      </c>
      <c r="O636" s="517">
        <v>43822</v>
      </c>
      <c r="P636" s="516" t="s">
        <v>3061</v>
      </c>
      <c r="Q636" s="516" t="s">
        <v>2829</v>
      </c>
      <c r="R636" s="518"/>
      <c r="S636" s="519" t="e">
        <f>Table137[[#This Row],[DATE  CLOSED]]-Table137[[#This Row],[INITIATION DATE]]</f>
        <v>#VALUE!</v>
      </c>
    </row>
    <row r="637" spans="1:19" ht="63.75" x14ac:dyDescent="0.2">
      <c r="A637" s="520" t="s">
        <v>5251</v>
      </c>
      <c r="B637" s="508">
        <v>43808</v>
      </c>
      <c r="C637" s="509" t="s">
        <v>5252</v>
      </c>
      <c r="D637" s="509" t="s">
        <v>5253</v>
      </c>
      <c r="E637" s="510" t="s">
        <v>3210</v>
      </c>
      <c r="F637" s="510">
        <v>1</v>
      </c>
      <c r="G637" s="510" t="s">
        <v>2828</v>
      </c>
      <c r="H637" s="510" t="s">
        <v>3227</v>
      </c>
      <c r="I637" s="510" t="s">
        <v>229</v>
      </c>
      <c r="J637" s="508">
        <v>43812</v>
      </c>
      <c r="K637" s="508"/>
      <c r="L637" s="508"/>
      <c r="M637" s="510" t="s">
        <v>2853</v>
      </c>
      <c r="N637" s="510" t="s">
        <v>2088</v>
      </c>
      <c r="O637" s="511">
        <v>43808</v>
      </c>
      <c r="P637" s="510" t="s">
        <v>3061</v>
      </c>
      <c r="Q637" s="510" t="s">
        <v>2829</v>
      </c>
      <c r="R637" s="512"/>
      <c r="S637" s="513" t="e">
        <f>Table137[[#This Row],[DATE  CLOSED]]-Table137[[#This Row],[INITIATION DATE]]</f>
        <v>#VALUE!</v>
      </c>
    </row>
    <row r="638" spans="1:19" ht="38.25" x14ac:dyDescent="0.2">
      <c r="A638" s="521" t="s">
        <v>5254</v>
      </c>
      <c r="B638" s="514">
        <v>43810</v>
      </c>
      <c r="C638" s="515" t="s">
        <v>5255</v>
      </c>
      <c r="D638" s="515" t="s">
        <v>3873</v>
      </c>
      <c r="E638" s="516" t="s">
        <v>2971</v>
      </c>
      <c r="F638" s="516">
        <v>1</v>
      </c>
      <c r="G638" s="516" t="s">
        <v>2841</v>
      </c>
      <c r="H638" s="516" t="s">
        <v>3842</v>
      </c>
      <c r="I638" s="516" t="s">
        <v>229</v>
      </c>
      <c r="J638" s="514">
        <v>43830</v>
      </c>
      <c r="K638" s="514"/>
      <c r="L638" s="514"/>
      <c r="M638" s="516" t="s">
        <v>2853</v>
      </c>
      <c r="N638" s="516" t="s">
        <v>2088</v>
      </c>
      <c r="O638" s="517">
        <v>43822</v>
      </c>
      <c r="P638" s="516" t="s">
        <v>3061</v>
      </c>
      <c r="Q638" s="516" t="s">
        <v>2829</v>
      </c>
      <c r="R638" s="518"/>
      <c r="S638" s="519" t="e">
        <f>Table137[[#This Row],[DATE  CLOSED]]-Table137[[#This Row],[INITIATION DATE]]</f>
        <v>#VALUE!</v>
      </c>
    </row>
    <row r="639" spans="1:19" ht="51" x14ac:dyDescent="0.2">
      <c r="A639" s="520" t="s">
        <v>5259</v>
      </c>
      <c r="B639" s="508">
        <v>43812</v>
      </c>
      <c r="C639" s="509" t="s">
        <v>5260</v>
      </c>
      <c r="D639" s="509" t="s">
        <v>5267</v>
      </c>
      <c r="E639" s="510" t="s">
        <v>2971</v>
      </c>
      <c r="F639" s="510">
        <v>1</v>
      </c>
      <c r="G639" s="510" t="s">
        <v>2836</v>
      </c>
      <c r="H639" s="510" t="s">
        <v>685</v>
      </c>
      <c r="I639" s="510" t="s">
        <v>229</v>
      </c>
      <c r="J639" s="508">
        <v>43830</v>
      </c>
      <c r="K639" s="508"/>
      <c r="L639" s="508"/>
      <c r="M639" s="510" t="s">
        <v>2853</v>
      </c>
      <c r="N639" s="510" t="s">
        <v>2088</v>
      </c>
      <c r="O639" s="511">
        <v>43822</v>
      </c>
      <c r="P639" s="510" t="s">
        <v>3061</v>
      </c>
      <c r="Q639" s="510" t="s">
        <v>4987</v>
      </c>
      <c r="R639" s="512"/>
      <c r="S639" s="513" t="e">
        <f>Table137[[#This Row],[DATE  CLOSED]]-Table137[[#This Row],[INITIATION DATE]]</f>
        <v>#VALUE!</v>
      </c>
    </row>
    <row r="640" spans="1:19" ht="38.25" x14ac:dyDescent="0.2">
      <c r="A640" s="521" t="s">
        <v>5261</v>
      </c>
      <c r="B640" s="514">
        <v>43815</v>
      </c>
      <c r="C640" s="515" t="s">
        <v>5262</v>
      </c>
      <c r="D640" s="515" t="s">
        <v>5265</v>
      </c>
      <c r="E640" s="516" t="s">
        <v>2971</v>
      </c>
      <c r="F640" s="516">
        <v>2</v>
      </c>
      <c r="G640" s="516" t="s">
        <v>2840</v>
      </c>
      <c r="H640" s="516" t="s">
        <v>229</v>
      </c>
      <c r="I640" s="516" t="s">
        <v>755</v>
      </c>
      <c r="J640" s="514">
        <v>43815</v>
      </c>
      <c r="K640" s="514"/>
      <c r="L640" s="514"/>
      <c r="M640" s="516" t="s">
        <v>2853</v>
      </c>
      <c r="N640" s="516" t="s">
        <v>2088</v>
      </c>
      <c r="O640" s="517">
        <v>43815</v>
      </c>
      <c r="P640" s="516" t="s">
        <v>2088</v>
      </c>
      <c r="Q640" s="516" t="s">
        <v>2088</v>
      </c>
      <c r="R640" s="518" t="s">
        <v>5080</v>
      </c>
      <c r="S640" s="519" t="e">
        <f>Table137[[#This Row],[DATE  CLOSED]]-Table137[[#This Row],[INITIATION DATE]]</f>
        <v>#VALUE!</v>
      </c>
    </row>
    <row r="641" spans="1:19" ht="63.75" x14ac:dyDescent="0.2">
      <c r="A641" s="520" t="s">
        <v>5263</v>
      </c>
      <c r="B641" s="508">
        <v>43816</v>
      </c>
      <c r="C641" s="509" t="s">
        <v>5264</v>
      </c>
      <c r="D641" s="509" t="s">
        <v>5266</v>
      </c>
      <c r="E641" s="510" t="s">
        <v>2971</v>
      </c>
      <c r="F641" s="510">
        <v>1</v>
      </c>
      <c r="G641" s="510" t="s">
        <v>2836</v>
      </c>
      <c r="H641" s="510" t="s">
        <v>229</v>
      </c>
      <c r="I641" s="510" t="s">
        <v>229</v>
      </c>
      <c r="J641" s="508">
        <v>43830</v>
      </c>
      <c r="K641" s="508"/>
      <c r="L641" s="508"/>
      <c r="M641" s="510" t="s">
        <v>2853</v>
      </c>
      <c r="N641" s="510" t="s">
        <v>2088</v>
      </c>
      <c r="O641" s="511">
        <v>43816</v>
      </c>
      <c r="P641" s="510" t="s">
        <v>3061</v>
      </c>
      <c r="Q641" s="510" t="s">
        <v>2829</v>
      </c>
      <c r="R641" s="512" t="s">
        <v>5080</v>
      </c>
      <c r="S641" s="513" t="e">
        <f>Table137[[#This Row],[DATE  CLOSED]]-Table137[[#This Row],[INITIATION DATE]]</f>
        <v>#VALUE!</v>
      </c>
    </row>
    <row r="642" spans="1:19" ht="51" x14ac:dyDescent="0.2">
      <c r="A642" s="521" t="s">
        <v>5268</v>
      </c>
      <c r="B642" s="514">
        <v>43817</v>
      </c>
      <c r="C642" s="515" t="s">
        <v>5269</v>
      </c>
      <c r="D642" s="515" t="s">
        <v>5270</v>
      </c>
      <c r="E642" s="516" t="s">
        <v>3532</v>
      </c>
      <c r="F642" s="516">
        <v>1</v>
      </c>
      <c r="G642" s="516" t="s">
        <v>2828</v>
      </c>
      <c r="H642" s="516" t="s">
        <v>3423</v>
      </c>
      <c r="I642" s="516" t="s">
        <v>3211</v>
      </c>
      <c r="J642" s="514">
        <v>43861</v>
      </c>
      <c r="K642" s="514"/>
      <c r="L642" s="514"/>
      <c r="M642" s="516" t="s">
        <v>2853</v>
      </c>
      <c r="N642" s="516" t="s">
        <v>2088</v>
      </c>
      <c r="O642" s="517">
        <v>43844</v>
      </c>
      <c r="P642" s="516" t="s">
        <v>3061</v>
      </c>
      <c r="Q642" s="516" t="s">
        <v>2829</v>
      </c>
      <c r="R642" s="518" t="s">
        <v>5080</v>
      </c>
      <c r="S642" s="519" t="e">
        <f>Table137[[#This Row],[DATE  CLOSED]]-Table137[[#This Row],[INITIATION DATE]]</f>
        <v>#VALUE!</v>
      </c>
    </row>
    <row r="643" spans="1:19" ht="38.25" x14ac:dyDescent="0.2">
      <c r="A643" s="338" t="s">
        <v>5277</v>
      </c>
      <c r="B643" s="508">
        <v>43817</v>
      </c>
      <c r="C643" s="509" t="s">
        <v>5271</v>
      </c>
      <c r="D643" s="509" t="s">
        <v>5250</v>
      </c>
      <c r="E643" s="510" t="s">
        <v>2971</v>
      </c>
      <c r="F643" s="510">
        <v>1</v>
      </c>
      <c r="G643" s="510" t="s">
        <v>2841</v>
      </c>
      <c r="H643" s="510" t="s">
        <v>3227</v>
      </c>
      <c r="I643" s="510" t="s">
        <v>3211</v>
      </c>
      <c r="J643" s="508">
        <v>43830</v>
      </c>
      <c r="K643" s="508"/>
      <c r="L643" s="508"/>
      <c r="M643" s="510" t="s">
        <v>2853</v>
      </c>
      <c r="N643" s="510" t="s">
        <v>3022</v>
      </c>
      <c r="O643" s="511">
        <v>43829</v>
      </c>
      <c r="P643" s="510" t="s">
        <v>3061</v>
      </c>
      <c r="Q643" s="510" t="s">
        <v>2829</v>
      </c>
      <c r="R643" s="512"/>
      <c r="S643" s="513" t="e">
        <f>Table137[[#This Row],[DATE  CLOSED]]-Table137[[#This Row],[INITIATION DATE]]</f>
        <v>#VALUE!</v>
      </c>
    </row>
    <row r="644" spans="1:19" ht="89.25" x14ac:dyDescent="0.2">
      <c r="A644" s="340" t="s">
        <v>5278</v>
      </c>
      <c r="B644" s="514">
        <v>43817</v>
      </c>
      <c r="C644" s="515" t="s">
        <v>5272</v>
      </c>
      <c r="D644" s="515" t="s">
        <v>5273</v>
      </c>
      <c r="E644" s="516" t="s">
        <v>4675</v>
      </c>
      <c r="F644" s="516">
        <v>1</v>
      </c>
      <c r="G644" s="516" t="s">
        <v>2828</v>
      </c>
      <c r="H644" s="516" t="s">
        <v>3423</v>
      </c>
      <c r="I644" s="516" t="s">
        <v>3211</v>
      </c>
      <c r="J644" s="514">
        <v>43496</v>
      </c>
      <c r="K644" s="514"/>
      <c r="L644" s="514"/>
      <c r="M644" s="516" t="s">
        <v>2853</v>
      </c>
      <c r="N644" s="516" t="s">
        <v>2088</v>
      </c>
      <c r="O644" s="517">
        <v>43836</v>
      </c>
      <c r="P644" s="516" t="s">
        <v>3061</v>
      </c>
      <c r="Q644" s="516" t="s">
        <v>2829</v>
      </c>
      <c r="R644" s="518"/>
      <c r="S644" s="519" t="e">
        <f>Table137[[#This Row],[DATE  CLOSED]]-Table137[[#This Row],[INITIATION DATE]]</f>
        <v>#VALUE!</v>
      </c>
    </row>
    <row r="645" spans="1:19" ht="51" x14ac:dyDescent="0.2">
      <c r="A645" s="338" t="s">
        <v>5279</v>
      </c>
      <c r="B645" s="508">
        <v>43819</v>
      </c>
      <c r="C645" s="343" t="s">
        <v>5274</v>
      </c>
      <c r="D645" s="343" t="s">
        <v>5275</v>
      </c>
      <c r="E645" s="344" t="s">
        <v>2971</v>
      </c>
      <c r="F645" s="510">
        <v>1</v>
      </c>
      <c r="G645" s="344" t="s">
        <v>2836</v>
      </c>
      <c r="H645" s="344" t="s">
        <v>685</v>
      </c>
      <c r="I645" s="344" t="s">
        <v>229</v>
      </c>
      <c r="J645" s="508">
        <v>43819</v>
      </c>
      <c r="K645" s="508"/>
      <c r="L645" s="508"/>
      <c r="M645" s="344" t="s">
        <v>2853</v>
      </c>
      <c r="N645" s="510" t="s">
        <v>2088</v>
      </c>
      <c r="O645" s="511">
        <v>43819</v>
      </c>
      <c r="P645" s="510" t="s">
        <v>3061</v>
      </c>
      <c r="Q645" s="510" t="s">
        <v>2829</v>
      </c>
      <c r="R645" s="512"/>
      <c r="S645" s="513" t="e">
        <f>Table137[[#This Row],[DATE  CLOSED]]-Table137[[#This Row],[INITIATION DATE]]</f>
        <v>#VALUE!</v>
      </c>
    </row>
    <row r="646" spans="1:19" ht="51" x14ac:dyDescent="0.2">
      <c r="A646" s="340" t="s">
        <v>5276</v>
      </c>
      <c r="B646" s="514">
        <v>43822</v>
      </c>
      <c r="C646" s="341" t="s">
        <v>5281</v>
      </c>
      <c r="D646" s="341" t="s">
        <v>5280</v>
      </c>
      <c r="E646" s="342" t="s">
        <v>2971</v>
      </c>
      <c r="F646" s="516">
        <v>1</v>
      </c>
      <c r="G646" s="342" t="s">
        <v>2836</v>
      </c>
      <c r="H646" s="342" t="s">
        <v>481</v>
      </c>
      <c r="I646" s="342" t="s">
        <v>229</v>
      </c>
      <c r="J646" s="514">
        <v>43524</v>
      </c>
      <c r="K646" s="514"/>
      <c r="L646" s="514"/>
      <c r="M646" s="342" t="s">
        <v>2847</v>
      </c>
      <c r="N646" s="516"/>
      <c r="O646" s="517"/>
      <c r="P646" s="516"/>
      <c r="Q646" s="516"/>
      <c r="R646" s="518"/>
      <c r="S646" s="519" t="e">
        <f>Table137[[#This Row],[DATE  CLOSED]]-Table137[[#This Row],[INITIATION DATE]]</f>
        <v>#VALUE!</v>
      </c>
    </row>
    <row r="647" spans="1:19" ht="63.75" x14ac:dyDescent="0.2">
      <c r="A647" s="520" t="s">
        <v>5282</v>
      </c>
      <c r="B647" s="508">
        <v>43825</v>
      </c>
      <c r="C647" s="509" t="s">
        <v>5283</v>
      </c>
      <c r="D647" s="509" t="s">
        <v>5284</v>
      </c>
      <c r="E647" s="510" t="s">
        <v>2971</v>
      </c>
      <c r="F647" s="510">
        <v>1</v>
      </c>
      <c r="G647" s="510" t="s">
        <v>2841</v>
      </c>
      <c r="H647" s="510" t="s">
        <v>755</v>
      </c>
      <c r="I647" s="510" t="s">
        <v>229</v>
      </c>
      <c r="J647" s="508">
        <v>43861</v>
      </c>
      <c r="K647" s="508"/>
      <c r="L647" s="508"/>
      <c r="M647" s="510" t="s">
        <v>2853</v>
      </c>
      <c r="N647" s="510" t="s">
        <v>2088</v>
      </c>
      <c r="O647" s="511">
        <v>43826</v>
      </c>
      <c r="P647" s="510" t="s">
        <v>3061</v>
      </c>
      <c r="Q647" s="510" t="s">
        <v>2829</v>
      </c>
      <c r="R647" s="512"/>
      <c r="S647" s="513" t="e">
        <f>Table137[[#This Row],[DATE  CLOSED]]-Table137[[#This Row],[INITIATION DATE]]</f>
        <v>#VALUE!</v>
      </c>
    </row>
    <row r="648" spans="1:19" x14ac:dyDescent="0.2">
      <c r="A648" s="340"/>
      <c r="B648" s="514"/>
      <c r="C648" s="341"/>
      <c r="D648" s="341"/>
      <c r="E648" s="342"/>
      <c r="F648" s="516"/>
      <c r="G648" s="342"/>
      <c r="H648" s="342"/>
      <c r="I648" s="342"/>
      <c r="J648" s="514"/>
      <c r="K648" s="514"/>
      <c r="L648" s="514"/>
      <c r="M648" s="342"/>
      <c r="N648" s="516"/>
      <c r="O648" s="517"/>
      <c r="P648" s="516"/>
      <c r="Q648" s="516"/>
      <c r="R648" s="518"/>
      <c r="S648" s="522" t="e">
        <f>Table137[[#This Row],[DATE  CLOSED]]-Table137[[#This Row],[INITIATION DATE]]</f>
        <v>#VALUE!</v>
      </c>
    </row>
    <row r="649" spans="1:19" x14ac:dyDescent="0.2">
      <c r="A649" s="520"/>
      <c r="B649" s="508"/>
      <c r="C649" s="509"/>
      <c r="D649" s="509"/>
      <c r="E649" s="510"/>
      <c r="F649" s="510"/>
      <c r="G649" s="510"/>
      <c r="H649" s="510"/>
      <c r="I649" s="510"/>
      <c r="J649" s="508"/>
      <c r="K649" s="508"/>
      <c r="L649" s="508"/>
      <c r="M649" s="510"/>
      <c r="N649" s="510"/>
      <c r="O649" s="511"/>
      <c r="P649" s="510"/>
      <c r="Q649" s="510"/>
      <c r="R649" s="512"/>
      <c r="S649" s="513"/>
    </row>
    <row r="650" spans="1:19" ht="38.25" x14ac:dyDescent="0.2">
      <c r="A650" s="338" t="s">
        <v>5285</v>
      </c>
      <c r="B650" s="508">
        <v>43833</v>
      </c>
      <c r="C650" s="509" t="s">
        <v>5286</v>
      </c>
      <c r="D650" s="343" t="s">
        <v>5287</v>
      </c>
      <c r="E650" s="510" t="s">
        <v>2971</v>
      </c>
      <c r="F650" s="510">
        <v>1</v>
      </c>
      <c r="G650" s="510" t="s">
        <v>2841</v>
      </c>
      <c r="H650" s="510" t="s">
        <v>834</v>
      </c>
      <c r="I650" s="510" t="s">
        <v>229</v>
      </c>
      <c r="J650" s="508">
        <v>43889</v>
      </c>
      <c r="K650" s="508"/>
      <c r="L650" s="508"/>
      <c r="M650" s="510" t="s">
        <v>2853</v>
      </c>
      <c r="N650" s="510" t="s">
        <v>2088</v>
      </c>
      <c r="O650" s="511">
        <v>43859</v>
      </c>
      <c r="P650" s="510" t="s">
        <v>3061</v>
      </c>
      <c r="Q650" s="510" t="s">
        <v>2829</v>
      </c>
      <c r="R650" s="512"/>
      <c r="S650" s="513" t="e">
        <f>Table1372[[#This Row],[DATE  CLOSED]]-Table1372[[#This Row],[INITIATION DATE]]</f>
        <v>#VALUE!</v>
      </c>
    </row>
    <row r="651" spans="1:19" ht="51" x14ac:dyDescent="0.2">
      <c r="A651" s="521" t="s">
        <v>5288</v>
      </c>
      <c r="B651" s="514">
        <v>43837</v>
      </c>
      <c r="C651" s="515" t="s">
        <v>5289</v>
      </c>
      <c r="D651" s="515" t="s">
        <v>5290</v>
      </c>
      <c r="E651" s="516" t="s">
        <v>3386</v>
      </c>
      <c r="F651" s="516">
        <v>1</v>
      </c>
      <c r="G651" s="516" t="s">
        <v>2828</v>
      </c>
      <c r="H651" s="516" t="s">
        <v>4079</v>
      </c>
      <c r="I651" s="516" t="s">
        <v>3211</v>
      </c>
      <c r="J651" s="514">
        <v>43861</v>
      </c>
      <c r="K651" s="514"/>
      <c r="L651" s="514"/>
      <c r="M651" s="342" t="s">
        <v>2853</v>
      </c>
      <c r="N651" s="342" t="s">
        <v>2088</v>
      </c>
      <c r="O651" s="517">
        <v>43843</v>
      </c>
      <c r="P651" s="342" t="s">
        <v>3061</v>
      </c>
      <c r="Q651" s="342" t="s">
        <v>2829</v>
      </c>
      <c r="R651" s="518"/>
      <c r="S651" s="519" t="e">
        <f>Table1372[[#This Row],[DATE  CLOSED]]-Table1372[[#This Row],[INITIATION DATE]]</f>
        <v>#VALUE!</v>
      </c>
    </row>
    <row r="652" spans="1:19" ht="25.5" x14ac:dyDescent="0.2">
      <c r="A652" s="520" t="s">
        <v>5291</v>
      </c>
      <c r="B652" s="508">
        <v>43840</v>
      </c>
      <c r="C652" s="509" t="s">
        <v>5292</v>
      </c>
      <c r="D652" s="509" t="s">
        <v>5293</v>
      </c>
      <c r="E652" s="510" t="s">
        <v>2971</v>
      </c>
      <c r="F652" s="510">
        <v>1</v>
      </c>
      <c r="G652" s="510" t="s">
        <v>2836</v>
      </c>
      <c r="H652" s="510" t="s">
        <v>481</v>
      </c>
      <c r="I652" s="510" t="s">
        <v>229</v>
      </c>
      <c r="J652" s="508">
        <v>43861</v>
      </c>
      <c r="K652" s="508"/>
      <c r="L652" s="508"/>
      <c r="M652" s="510" t="s">
        <v>2853</v>
      </c>
      <c r="N652" s="510" t="s">
        <v>2088</v>
      </c>
      <c r="O652" s="511">
        <v>43850</v>
      </c>
      <c r="P652" s="510" t="s">
        <v>3061</v>
      </c>
      <c r="Q652" s="510" t="s">
        <v>2829</v>
      </c>
      <c r="R652" s="512"/>
      <c r="S652" s="513" t="e">
        <f>Table1372[[#This Row],[DATE  CLOSED]]-Table1372[[#This Row],[INITIATION DATE]]</f>
        <v>#VALUE!</v>
      </c>
    </row>
    <row r="653" spans="1:19" ht="38.25" x14ac:dyDescent="0.2">
      <c r="A653" s="521" t="s">
        <v>5294</v>
      </c>
      <c r="B653" s="514">
        <v>43843</v>
      </c>
      <c r="C653" s="515" t="s">
        <v>5295</v>
      </c>
      <c r="D653" s="515" t="s">
        <v>5296</v>
      </c>
      <c r="E653" s="516" t="s">
        <v>4675</v>
      </c>
      <c r="F653" s="516">
        <v>1</v>
      </c>
      <c r="G653" s="516" t="s">
        <v>2828</v>
      </c>
      <c r="H653" s="516" t="s">
        <v>3423</v>
      </c>
      <c r="I653" s="516" t="s">
        <v>3211</v>
      </c>
      <c r="J653" s="514">
        <v>43861</v>
      </c>
      <c r="K653" s="514"/>
      <c r="L653" s="514"/>
      <c r="M653" s="516" t="s">
        <v>2853</v>
      </c>
      <c r="N653" s="516" t="s">
        <v>2088</v>
      </c>
      <c r="O653" s="517">
        <v>43843</v>
      </c>
      <c r="P653" s="516" t="s">
        <v>3061</v>
      </c>
      <c r="Q653" s="516" t="s">
        <v>2829</v>
      </c>
      <c r="R653" s="518"/>
      <c r="S653" s="519" t="e">
        <f>Table1372[[#This Row],[DATE  CLOSED]]-Table1372[[#This Row],[INITIATION DATE]]</f>
        <v>#VALUE!</v>
      </c>
    </row>
    <row r="654" spans="1:19" ht="38.25" x14ac:dyDescent="0.2">
      <c r="A654" s="338" t="s">
        <v>5297</v>
      </c>
      <c r="B654" s="508">
        <v>43845</v>
      </c>
      <c r="C654" s="343" t="s">
        <v>5298</v>
      </c>
      <c r="D654" s="343" t="s">
        <v>5299</v>
      </c>
      <c r="E654" s="344" t="s">
        <v>4675</v>
      </c>
      <c r="F654" s="510">
        <v>1</v>
      </c>
      <c r="G654" s="344" t="s">
        <v>2828</v>
      </c>
      <c r="H654" s="344" t="s">
        <v>3423</v>
      </c>
      <c r="I654" s="344" t="s">
        <v>3211</v>
      </c>
      <c r="J654" s="508">
        <v>43861</v>
      </c>
      <c r="K654" s="508"/>
      <c r="L654" s="508"/>
      <c r="M654" s="344" t="s">
        <v>2853</v>
      </c>
      <c r="N654" s="510" t="s">
        <v>2088</v>
      </c>
      <c r="O654" s="511">
        <v>43846</v>
      </c>
      <c r="P654" s="510" t="s">
        <v>3061</v>
      </c>
      <c r="Q654" s="510" t="s">
        <v>2829</v>
      </c>
      <c r="R654" s="512"/>
      <c r="S654" s="513" t="e">
        <f>Table1372[[#This Row],[DATE  CLOSED]]-Table1372[[#This Row],[INITIATION DATE]]</f>
        <v>#VALUE!</v>
      </c>
    </row>
    <row r="655" spans="1:19" ht="38.25" x14ac:dyDescent="0.2">
      <c r="A655" s="340" t="s">
        <v>5300</v>
      </c>
      <c r="B655" s="345">
        <v>43846</v>
      </c>
      <c r="C655" s="515" t="s">
        <v>5301</v>
      </c>
      <c r="D655" s="515" t="s">
        <v>5302</v>
      </c>
      <c r="E655" s="342" t="s">
        <v>2971</v>
      </c>
      <c r="F655" s="516">
        <v>1</v>
      </c>
      <c r="G655" s="342" t="s">
        <v>2841</v>
      </c>
      <c r="H655" s="342" t="s">
        <v>229</v>
      </c>
      <c r="I655" s="342" t="s">
        <v>755</v>
      </c>
      <c r="J655" s="514">
        <v>43861</v>
      </c>
      <c r="K655" s="514"/>
      <c r="L655" s="514"/>
      <c r="M655" s="342" t="s">
        <v>2853</v>
      </c>
      <c r="N655" s="342" t="s">
        <v>2088</v>
      </c>
      <c r="O655" s="517">
        <v>43859</v>
      </c>
      <c r="P655" s="342" t="s">
        <v>3061</v>
      </c>
      <c r="Q655" s="342" t="s">
        <v>2829</v>
      </c>
      <c r="R655" s="518"/>
      <c r="S655" s="519" t="e">
        <f>Table1372[[#This Row],[DATE  CLOSED]]-Table1372[[#This Row],[INITIATION DATE]]</f>
        <v>#VALUE!</v>
      </c>
    </row>
    <row r="656" spans="1:19" ht="89.25" x14ac:dyDescent="0.2">
      <c r="A656" s="338" t="s">
        <v>5303</v>
      </c>
      <c r="B656" s="508">
        <v>43846</v>
      </c>
      <c r="C656" s="509" t="s">
        <v>5304</v>
      </c>
      <c r="D656" s="343" t="s">
        <v>5305</v>
      </c>
      <c r="E656" s="344" t="s">
        <v>2971</v>
      </c>
      <c r="F656" s="510">
        <v>1</v>
      </c>
      <c r="G656" s="344" t="s">
        <v>2841</v>
      </c>
      <c r="H656" s="344" t="s">
        <v>229</v>
      </c>
      <c r="I656" s="344" t="s">
        <v>755</v>
      </c>
      <c r="J656" s="508">
        <v>43861</v>
      </c>
      <c r="K656" s="508"/>
      <c r="L656" s="508"/>
      <c r="M656" s="344" t="s">
        <v>2853</v>
      </c>
      <c r="N656" s="510" t="s">
        <v>2088</v>
      </c>
      <c r="O656" s="511">
        <v>43857</v>
      </c>
      <c r="P656" s="510" t="s">
        <v>3061</v>
      </c>
      <c r="Q656" s="510" t="s">
        <v>2829</v>
      </c>
      <c r="R656" s="512"/>
      <c r="S656" s="513" t="e">
        <f>Table1372[[#This Row],[DATE  CLOSED]]-Table1372[[#This Row],[INITIATION DATE]]</f>
        <v>#VALUE!</v>
      </c>
    </row>
    <row r="657" spans="1:19" ht="38.25" x14ac:dyDescent="0.2">
      <c r="A657" s="340" t="s">
        <v>5306</v>
      </c>
      <c r="B657" s="514">
        <v>43847</v>
      </c>
      <c r="C657" s="341" t="s">
        <v>5307</v>
      </c>
      <c r="D657" s="341" t="s">
        <v>5308</v>
      </c>
      <c r="E657" s="342" t="s">
        <v>2971</v>
      </c>
      <c r="F657" s="516">
        <v>1</v>
      </c>
      <c r="G657" s="342" t="s">
        <v>2841</v>
      </c>
      <c r="H657" s="342" t="s">
        <v>229</v>
      </c>
      <c r="I657" s="342" t="s">
        <v>755</v>
      </c>
      <c r="J657" s="514">
        <v>43861</v>
      </c>
      <c r="K657" s="514"/>
      <c r="L657" s="514"/>
      <c r="M657" s="342" t="s">
        <v>2853</v>
      </c>
      <c r="N657" s="516" t="s">
        <v>2088</v>
      </c>
      <c r="O657" s="517">
        <v>43850</v>
      </c>
      <c r="P657" s="516" t="s">
        <v>3061</v>
      </c>
      <c r="Q657" s="516" t="s">
        <v>2829</v>
      </c>
      <c r="R657" s="518"/>
      <c r="S657" s="519" t="e">
        <f>Table1372[[#This Row],[DATE  CLOSED]]-Table1372[[#This Row],[INITIATION DATE]]</f>
        <v>#VALUE!</v>
      </c>
    </row>
    <row r="658" spans="1:19" ht="38.25" x14ac:dyDescent="0.2">
      <c r="A658" s="338" t="s">
        <v>5309</v>
      </c>
      <c r="B658" s="508">
        <v>43851</v>
      </c>
      <c r="C658" s="509" t="s">
        <v>5310</v>
      </c>
      <c r="D658" s="509" t="s">
        <v>5311</v>
      </c>
      <c r="E658" s="510" t="s">
        <v>5312</v>
      </c>
      <c r="F658" s="510">
        <v>1</v>
      </c>
      <c r="G658" s="510" t="s">
        <v>2828</v>
      </c>
      <c r="H658" s="510" t="s">
        <v>4021</v>
      </c>
      <c r="I658" s="510" t="s">
        <v>3211</v>
      </c>
      <c r="J658" s="508">
        <v>43890</v>
      </c>
      <c r="K658" s="508"/>
      <c r="L658" s="508"/>
      <c r="M658" s="344" t="s">
        <v>2853</v>
      </c>
      <c r="N658" s="344" t="s">
        <v>2088</v>
      </c>
      <c r="O658" s="511">
        <v>43852</v>
      </c>
      <c r="P658" s="344" t="s">
        <v>3061</v>
      </c>
      <c r="Q658" s="344" t="s">
        <v>2829</v>
      </c>
      <c r="R658" s="512"/>
      <c r="S658" s="513" t="e">
        <f>Table1372[[#This Row],[DATE  CLOSED]]-Table1372[[#This Row],[INITIATION DATE]]</f>
        <v>#VALUE!</v>
      </c>
    </row>
    <row r="659" spans="1:19" ht="89.25" x14ac:dyDescent="0.2">
      <c r="A659" s="340" t="s">
        <v>5313</v>
      </c>
      <c r="B659" s="514">
        <v>43857</v>
      </c>
      <c r="C659" s="515" t="s">
        <v>5314</v>
      </c>
      <c r="D659" s="515" t="s">
        <v>5315</v>
      </c>
      <c r="E659" s="516" t="s">
        <v>2971</v>
      </c>
      <c r="F659" s="516">
        <v>1</v>
      </c>
      <c r="G659" s="516" t="s">
        <v>2836</v>
      </c>
      <c r="H659" s="516" t="s">
        <v>1123</v>
      </c>
      <c r="I659" s="516" t="s">
        <v>229</v>
      </c>
      <c r="J659" s="514">
        <v>43889</v>
      </c>
      <c r="K659" s="514"/>
      <c r="L659" s="514"/>
      <c r="M659" s="516" t="s">
        <v>2853</v>
      </c>
      <c r="N659" s="516" t="s">
        <v>2088</v>
      </c>
      <c r="O659" s="517">
        <v>43857</v>
      </c>
      <c r="P659" s="516" t="s">
        <v>3061</v>
      </c>
      <c r="Q659" s="516" t="s">
        <v>2829</v>
      </c>
      <c r="R659" s="518"/>
      <c r="S659" s="519" t="e">
        <f>Table1372[[#This Row],[DATE  CLOSED]]-Table1372[[#This Row],[INITIATION DATE]]</f>
        <v>#VALUE!</v>
      </c>
    </row>
    <row r="660" spans="1:19" ht="38.25" x14ac:dyDescent="0.2">
      <c r="A660" s="520" t="s">
        <v>5316</v>
      </c>
      <c r="B660" s="508">
        <v>43857</v>
      </c>
      <c r="C660" s="343" t="s">
        <v>5317</v>
      </c>
      <c r="D660" s="343" t="s">
        <v>5318</v>
      </c>
      <c r="E660" s="344" t="s">
        <v>3586</v>
      </c>
      <c r="F660" s="510">
        <v>1</v>
      </c>
      <c r="G660" s="344" t="s">
        <v>2828</v>
      </c>
      <c r="H660" s="344" t="s">
        <v>4079</v>
      </c>
      <c r="I660" s="344" t="s">
        <v>3211</v>
      </c>
      <c r="J660" s="508">
        <v>43859</v>
      </c>
      <c r="K660" s="508"/>
      <c r="L660" s="508"/>
      <c r="M660" s="344" t="s">
        <v>2853</v>
      </c>
      <c r="N660" s="510" t="s">
        <v>3022</v>
      </c>
      <c r="O660" s="511">
        <v>43893</v>
      </c>
      <c r="P660" s="510" t="s">
        <v>3022</v>
      </c>
      <c r="Q660" s="510" t="s">
        <v>2832</v>
      </c>
      <c r="R660" s="512"/>
      <c r="S660" s="513" t="e">
        <f>Table1372[[#This Row],[DATE  CLOSED]]-Table1372[[#This Row],[INITIATION DATE]]</f>
        <v>#VALUE!</v>
      </c>
    </row>
    <row r="661" spans="1:19" ht="89.25" x14ac:dyDescent="0.2">
      <c r="A661" s="521" t="s">
        <v>5319</v>
      </c>
      <c r="B661" s="514">
        <v>43857</v>
      </c>
      <c r="C661" s="341" t="s">
        <v>5320</v>
      </c>
      <c r="D661" s="341" t="s">
        <v>5321</v>
      </c>
      <c r="E661" s="342" t="s">
        <v>2971</v>
      </c>
      <c r="F661" s="516">
        <v>1</v>
      </c>
      <c r="G661" s="342" t="s">
        <v>2836</v>
      </c>
      <c r="H661" s="342" t="s">
        <v>3991</v>
      </c>
      <c r="I661" s="342" t="s">
        <v>229</v>
      </c>
      <c r="J661" s="514">
        <v>43889</v>
      </c>
      <c r="K661" s="514">
        <v>44012</v>
      </c>
      <c r="L661" s="514">
        <v>44196</v>
      </c>
      <c r="M661" s="342" t="s">
        <v>2853</v>
      </c>
      <c r="N661" s="516" t="s">
        <v>3061</v>
      </c>
      <c r="O661" s="517">
        <v>44172</v>
      </c>
      <c r="P661" s="516" t="s">
        <v>3022</v>
      </c>
      <c r="Q661" s="516" t="s">
        <v>2837</v>
      </c>
      <c r="R661" s="518"/>
      <c r="S661" s="519" t="e">
        <f>Table1372[[#This Row],[DATE  CLOSED]]-Table1372[[#This Row],[INITIATION DATE]]</f>
        <v>#VALUE!</v>
      </c>
    </row>
    <row r="662" spans="1:19" ht="102" x14ac:dyDescent="0.2">
      <c r="A662" s="338" t="s">
        <v>5322</v>
      </c>
      <c r="B662" s="508">
        <v>43858</v>
      </c>
      <c r="C662" s="343" t="s">
        <v>5324</v>
      </c>
      <c r="D662" s="343" t="s">
        <v>5323</v>
      </c>
      <c r="E662" s="344" t="s">
        <v>3825</v>
      </c>
      <c r="F662" s="510">
        <v>1</v>
      </c>
      <c r="G662" s="344" t="s">
        <v>2828</v>
      </c>
      <c r="H662" s="344" t="s">
        <v>4232</v>
      </c>
      <c r="I662" s="344" t="s">
        <v>3211</v>
      </c>
      <c r="J662" s="508">
        <v>43890</v>
      </c>
      <c r="K662" s="508"/>
      <c r="L662" s="508"/>
      <c r="M662" s="344" t="s">
        <v>2853</v>
      </c>
      <c r="N662" s="344" t="s">
        <v>2088</v>
      </c>
      <c r="O662" s="511">
        <v>43871</v>
      </c>
      <c r="P662" s="344" t="s">
        <v>3061</v>
      </c>
      <c r="Q662" s="344" t="s">
        <v>2829</v>
      </c>
      <c r="R662" s="512"/>
      <c r="S662" s="513" t="e">
        <f>Table1372[[#This Row],[DATE  CLOSED]]-Table1372[[#This Row],[INITIATION DATE]]</f>
        <v>#VALUE!</v>
      </c>
    </row>
    <row r="663" spans="1:19" ht="38.25" x14ac:dyDescent="0.2">
      <c r="A663" s="340" t="s">
        <v>5325</v>
      </c>
      <c r="B663" s="514">
        <v>43858</v>
      </c>
      <c r="C663" s="515" t="s">
        <v>5326</v>
      </c>
      <c r="D663" s="515" t="s">
        <v>5327</v>
      </c>
      <c r="E663" s="516" t="s">
        <v>2971</v>
      </c>
      <c r="F663" s="516">
        <v>1</v>
      </c>
      <c r="G663" s="516" t="s">
        <v>2841</v>
      </c>
      <c r="H663" s="516" t="s">
        <v>685</v>
      </c>
      <c r="I663" s="516" t="s">
        <v>755</v>
      </c>
      <c r="J663" s="514">
        <v>43890</v>
      </c>
      <c r="K663" s="514"/>
      <c r="L663" s="514"/>
      <c r="M663" s="342" t="s">
        <v>2853</v>
      </c>
      <c r="N663" s="342" t="s">
        <v>2088</v>
      </c>
      <c r="O663" s="517">
        <v>43881</v>
      </c>
      <c r="P663" s="342" t="s">
        <v>3061</v>
      </c>
      <c r="Q663" s="342" t="s">
        <v>2829</v>
      </c>
      <c r="R663" s="518"/>
      <c r="S663" s="519" t="e">
        <f>Table1372[[#This Row],[DATE  CLOSED]]-Table1372[[#This Row],[INITIATION DATE]]</f>
        <v>#VALUE!</v>
      </c>
    </row>
    <row r="664" spans="1:19" ht="38.25" x14ac:dyDescent="0.2">
      <c r="A664" s="338" t="s">
        <v>5328</v>
      </c>
      <c r="B664" s="508">
        <v>43859</v>
      </c>
      <c r="C664" s="509" t="s">
        <v>5329</v>
      </c>
      <c r="D664" s="343" t="s">
        <v>5330</v>
      </c>
      <c r="E664" s="344" t="s">
        <v>2971</v>
      </c>
      <c r="F664" s="510">
        <v>1</v>
      </c>
      <c r="G664" s="344" t="s">
        <v>2841</v>
      </c>
      <c r="H664" s="344" t="s">
        <v>481</v>
      </c>
      <c r="I664" s="344" t="s">
        <v>755</v>
      </c>
      <c r="J664" s="508">
        <v>43890</v>
      </c>
      <c r="K664" s="508"/>
      <c r="L664" s="508"/>
      <c r="M664" s="344" t="s">
        <v>2853</v>
      </c>
      <c r="N664" s="344" t="s">
        <v>2088</v>
      </c>
      <c r="O664" s="443">
        <v>43875</v>
      </c>
      <c r="P664" s="344" t="s">
        <v>3061</v>
      </c>
      <c r="Q664" s="344" t="s">
        <v>2829</v>
      </c>
      <c r="R664" s="512"/>
      <c r="S664" s="513" t="e">
        <f>Table1372[[#This Row],[DATE  CLOSED]]-Table1372[[#This Row],[INITIATION DATE]]</f>
        <v>#VALUE!</v>
      </c>
    </row>
    <row r="665" spans="1:19" ht="38.25" x14ac:dyDescent="0.2">
      <c r="A665" s="340" t="s">
        <v>5331</v>
      </c>
      <c r="B665" s="514">
        <v>43859</v>
      </c>
      <c r="C665" s="515" t="s">
        <v>5332</v>
      </c>
      <c r="D665" s="515" t="s">
        <v>5333</v>
      </c>
      <c r="E665" s="516" t="s">
        <v>2971</v>
      </c>
      <c r="F665" s="516">
        <v>1</v>
      </c>
      <c r="G665" s="516" t="s">
        <v>2841</v>
      </c>
      <c r="H665" s="516" t="s">
        <v>3842</v>
      </c>
      <c r="I665" s="516" t="s">
        <v>229</v>
      </c>
      <c r="J665" s="514">
        <v>43890</v>
      </c>
      <c r="K665" s="514"/>
      <c r="L665" s="514"/>
      <c r="M665" s="342" t="s">
        <v>2853</v>
      </c>
      <c r="N665" s="342" t="s">
        <v>3022</v>
      </c>
      <c r="O665" s="517">
        <v>43908</v>
      </c>
      <c r="P665" s="342" t="s">
        <v>3022</v>
      </c>
      <c r="Q665" s="342" t="s">
        <v>2832</v>
      </c>
      <c r="R665" s="518"/>
      <c r="S665" s="519" t="e">
        <f>Table1372[[#This Row],[DATE  CLOSED]]-Table1372[[#This Row],[INITIATION DATE]]</f>
        <v>#VALUE!</v>
      </c>
    </row>
    <row r="666" spans="1:19" ht="38.25" x14ac:dyDescent="0.2">
      <c r="A666" s="520" t="s">
        <v>5334</v>
      </c>
      <c r="B666" s="508">
        <v>43861</v>
      </c>
      <c r="C666" s="509" t="s">
        <v>5335</v>
      </c>
      <c r="D666" s="343" t="s">
        <v>5336</v>
      </c>
      <c r="E666" s="344" t="s">
        <v>2971</v>
      </c>
      <c r="F666" s="510">
        <v>1</v>
      </c>
      <c r="G666" s="344" t="s">
        <v>2841</v>
      </c>
      <c r="H666" s="344" t="s">
        <v>685</v>
      </c>
      <c r="I666" s="344" t="s">
        <v>755</v>
      </c>
      <c r="J666" s="508">
        <v>43890</v>
      </c>
      <c r="K666" s="508"/>
      <c r="L666" s="508"/>
      <c r="M666" s="344" t="s">
        <v>2853</v>
      </c>
      <c r="N666" s="344" t="s">
        <v>2088</v>
      </c>
      <c r="O666" s="511">
        <v>43875</v>
      </c>
      <c r="P666" s="344" t="s">
        <v>3061</v>
      </c>
      <c r="Q666" s="344" t="s">
        <v>2829</v>
      </c>
      <c r="R666" s="512"/>
      <c r="S666" s="513" t="e">
        <f>Table1372[[#This Row],[DATE  CLOSED]]-Table1372[[#This Row],[INITIATION DATE]]</f>
        <v>#VALUE!</v>
      </c>
    </row>
    <row r="667" spans="1:19" ht="38.25" x14ac:dyDescent="0.2">
      <c r="A667" s="521" t="s">
        <v>5337</v>
      </c>
      <c r="B667" s="514">
        <v>43861</v>
      </c>
      <c r="C667" s="341" t="s">
        <v>5338</v>
      </c>
      <c r="D667" s="341" t="s">
        <v>5339</v>
      </c>
      <c r="E667" s="342" t="s">
        <v>2971</v>
      </c>
      <c r="F667" s="516">
        <v>1</v>
      </c>
      <c r="G667" s="342" t="s">
        <v>2841</v>
      </c>
      <c r="H667" s="342" t="s">
        <v>229</v>
      </c>
      <c r="I667" s="342" t="s">
        <v>755</v>
      </c>
      <c r="J667" s="514">
        <v>43890</v>
      </c>
      <c r="K667" s="514"/>
      <c r="L667" s="514"/>
      <c r="M667" s="516" t="s">
        <v>2853</v>
      </c>
      <c r="N667" s="516"/>
      <c r="O667" s="517">
        <v>43885</v>
      </c>
      <c r="P667" s="516" t="s">
        <v>3061</v>
      </c>
      <c r="Q667" s="516" t="s">
        <v>2829</v>
      </c>
      <c r="R667" s="518"/>
      <c r="S667" s="519" t="e">
        <f>Table1372[[#This Row],[DATE  CLOSED]]-Table1372[[#This Row],[INITIATION DATE]]</f>
        <v>#VALUE!</v>
      </c>
    </row>
    <row r="668" spans="1:19" ht="51" x14ac:dyDescent="0.2">
      <c r="A668" s="520" t="s">
        <v>5340</v>
      </c>
      <c r="B668" s="508">
        <v>43861</v>
      </c>
      <c r="C668" s="509" t="s">
        <v>5341</v>
      </c>
      <c r="D668" s="509" t="s">
        <v>5342</v>
      </c>
      <c r="E668" s="510" t="s">
        <v>2971</v>
      </c>
      <c r="F668" s="510">
        <v>1</v>
      </c>
      <c r="G668" s="510" t="s">
        <v>2841</v>
      </c>
      <c r="H668" s="510" t="s">
        <v>229</v>
      </c>
      <c r="I668" s="510" t="s">
        <v>755</v>
      </c>
      <c r="J668" s="508">
        <v>43890</v>
      </c>
      <c r="K668" s="508"/>
      <c r="L668" s="508"/>
      <c r="M668" s="510" t="s">
        <v>2853</v>
      </c>
      <c r="N668" s="510"/>
      <c r="O668" s="511">
        <v>43885</v>
      </c>
      <c r="P668" s="510" t="s">
        <v>3061</v>
      </c>
      <c r="Q668" s="510" t="s">
        <v>2829</v>
      </c>
      <c r="R668" s="512"/>
      <c r="S668" s="513" t="e">
        <f>Table1372[[#This Row],[DATE  CLOSED]]-Table1372[[#This Row],[INITIATION DATE]]</f>
        <v>#VALUE!</v>
      </c>
    </row>
    <row r="669" spans="1:19" ht="38.25" x14ac:dyDescent="0.2">
      <c r="A669" s="340" t="s">
        <v>5921</v>
      </c>
      <c r="B669" s="514">
        <v>43864</v>
      </c>
      <c r="C669" s="341" t="s">
        <v>5343</v>
      </c>
      <c r="D669" s="341" t="s">
        <v>5344</v>
      </c>
      <c r="E669" s="342" t="s">
        <v>5345</v>
      </c>
      <c r="F669" s="516">
        <v>1</v>
      </c>
      <c r="G669" s="342" t="s">
        <v>2828</v>
      </c>
      <c r="H669" s="342" t="s">
        <v>4232</v>
      </c>
      <c r="I669" s="342" t="s">
        <v>3211</v>
      </c>
      <c r="J669" s="514">
        <v>43921</v>
      </c>
      <c r="K669" s="514"/>
      <c r="L669" s="514"/>
      <c r="M669" s="342" t="s">
        <v>2853</v>
      </c>
      <c r="N669" s="516" t="s">
        <v>2088</v>
      </c>
      <c r="O669" s="517">
        <v>43889</v>
      </c>
      <c r="P669" s="516" t="s">
        <v>3061</v>
      </c>
      <c r="Q669" s="516" t="s">
        <v>2829</v>
      </c>
      <c r="R669" s="518"/>
      <c r="S669" s="519" t="e">
        <f>Table1372[[#This Row],[DATE  CLOSED]]-Table1372[[#This Row],[INITIATION DATE]]</f>
        <v>#VALUE!</v>
      </c>
    </row>
    <row r="670" spans="1:19" ht="38.25" x14ac:dyDescent="0.2">
      <c r="A670" s="338" t="s">
        <v>5922</v>
      </c>
      <c r="B670" s="508">
        <v>43865</v>
      </c>
      <c r="C670" s="509" t="s">
        <v>5346</v>
      </c>
      <c r="D670" s="509" t="s">
        <v>5347</v>
      </c>
      <c r="E670" s="344" t="s">
        <v>2971</v>
      </c>
      <c r="F670" s="510">
        <v>1</v>
      </c>
      <c r="G670" s="344" t="s">
        <v>2841</v>
      </c>
      <c r="H670" s="344" t="s">
        <v>3211</v>
      </c>
      <c r="I670" s="344" t="s">
        <v>229</v>
      </c>
      <c r="J670" s="508">
        <v>43890</v>
      </c>
      <c r="K670" s="508"/>
      <c r="L670" s="508"/>
      <c r="M670" s="344" t="s">
        <v>2853</v>
      </c>
      <c r="N670" s="510"/>
      <c r="O670" s="511">
        <v>43888</v>
      </c>
      <c r="P670" s="510" t="s">
        <v>3061</v>
      </c>
      <c r="Q670" s="510" t="s">
        <v>2829</v>
      </c>
      <c r="R670" s="512"/>
      <c r="S670" s="513" t="e">
        <f>Table1372[[#This Row],[DATE  CLOSED]]-Table1372[[#This Row],[INITIATION DATE]]</f>
        <v>#VALUE!</v>
      </c>
    </row>
    <row r="671" spans="1:19" ht="38.25" x14ac:dyDescent="0.2">
      <c r="A671" s="340" t="s">
        <v>5923</v>
      </c>
      <c r="B671" s="514">
        <v>43867</v>
      </c>
      <c r="C671" s="515" t="s">
        <v>5348</v>
      </c>
      <c r="D671" s="515" t="s">
        <v>5349</v>
      </c>
      <c r="E671" s="516" t="s">
        <v>2971</v>
      </c>
      <c r="F671" s="516">
        <v>1</v>
      </c>
      <c r="G671" s="516" t="s">
        <v>2841</v>
      </c>
      <c r="H671" s="516" t="s">
        <v>4079</v>
      </c>
      <c r="I671" s="516" t="s">
        <v>3926</v>
      </c>
      <c r="J671" s="514">
        <v>43921</v>
      </c>
      <c r="K671" s="514"/>
      <c r="L671" s="514"/>
      <c r="M671" s="516" t="s">
        <v>2853</v>
      </c>
      <c r="N671" s="516" t="s">
        <v>2088</v>
      </c>
      <c r="O671" s="517">
        <v>43910</v>
      </c>
      <c r="P671" s="516" t="s">
        <v>3061</v>
      </c>
      <c r="Q671" s="516" t="s">
        <v>2832</v>
      </c>
      <c r="R671" s="518"/>
      <c r="S671" s="519" t="e">
        <f>Table1372[[#This Row],[DATE  CLOSED]]-Table1372[[#This Row],[INITIATION DATE]]</f>
        <v>#VALUE!</v>
      </c>
    </row>
    <row r="672" spans="1:19" ht="140.25" x14ac:dyDescent="0.2">
      <c r="A672" s="338" t="s">
        <v>5350</v>
      </c>
      <c r="B672" s="508">
        <v>43868</v>
      </c>
      <c r="C672" s="509" t="s">
        <v>5399</v>
      </c>
      <c r="D672" s="509" t="s">
        <v>5351</v>
      </c>
      <c r="E672" s="344" t="s">
        <v>2971</v>
      </c>
      <c r="F672" s="510">
        <v>1</v>
      </c>
      <c r="G672" s="344" t="s">
        <v>2836</v>
      </c>
      <c r="H672" s="344" t="s">
        <v>3991</v>
      </c>
      <c r="I672" s="344" t="s">
        <v>229</v>
      </c>
      <c r="J672" s="508">
        <v>43921</v>
      </c>
      <c r="K672" s="508"/>
      <c r="L672" s="508"/>
      <c r="M672" s="344" t="s">
        <v>2853</v>
      </c>
      <c r="N672" s="510" t="s">
        <v>2088</v>
      </c>
      <c r="O672" s="511">
        <v>43920</v>
      </c>
      <c r="P672" s="510" t="s">
        <v>3061</v>
      </c>
      <c r="Q672" s="510" t="s">
        <v>2832</v>
      </c>
      <c r="R672" s="512"/>
      <c r="S672" s="513" t="e">
        <f>Table1372[[#This Row],[DATE  CLOSED]]-Table1372[[#This Row],[INITIATION DATE]]</f>
        <v>#VALUE!</v>
      </c>
    </row>
    <row r="673" spans="1:19" ht="38.25" x14ac:dyDescent="0.2">
      <c r="A673" s="340" t="s">
        <v>5352</v>
      </c>
      <c r="B673" s="514">
        <v>43897</v>
      </c>
      <c r="C673" s="341" t="s">
        <v>5357</v>
      </c>
      <c r="D673" s="341" t="s">
        <v>5356</v>
      </c>
      <c r="E673" s="342" t="s">
        <v>2971</v>
      </c>
      <c r="F673" s="516">
        <v>1</v>
      </c>
      <c r="G673" s="342" t="s">
        <v>2841</v>
      </c>
      <c r="H673" s="342" t="s">
        <v>4644</v>
      </c>
      <c r="I673" s="342" t="s">
        <v>229</v>
      </c>
      <c r="J673" s="514">
        <v>43890</v>
      </c>
      <c r="K673" s="514"/>
      <c r="L673" s="514"/>
      <c r="M673" s="342" t="s">
        <v>2853</v>
      </c>
      <c r="N673" s="516" t="s">
        <v>2088</v>
      </c>
      <c r="O673" s="517">
        <v>43886</v>
      </c>
      <c r="P673" s="516" t="s">
        <v>3061</v>
      </c>
      <c r="Q673" s="516" t="s">
        <v>2829</v>
      </c>
      <c r="R673" s="518"/>
      <c r="S673" s="519" t="e">
        <f>Table1372[[#This Row],[DATE  CLOSED]]-Table1372[[#This Row],[INITIATION DATE]]</f>
        <v>#VALUE!</v>
      </c>
    </row>
    <row r="674" spans="1:19" ht="89.25" x14ac:dyDescent="0.2">
      <c r="A674" s="338" t="s">
        <v>5353</v>
      </c>
      <c r="B674" s="508">
        <v>43871</v>
      </c>
      <c r="C674" s="343" t="s">
        <v>5381</v>
      </c>
      <c r="D674" s="343" t="s">
        <v>5354</v>
      </c>
      <c r="E674" s="344" t="s">
        <v>2971</v>
      </c>
      <c r="F674" s="510">
        <v>1</v>
      </c>
      <c r="G674" s="344" t="s">
        <v>2841</v>
      </c>
      <c r="H674" s="344" t="s">
        <v>5355</v>
      </c>
      <c r="I674" s="344" t="s">
        <v>229</v>
      </c>
      <c r="J674" s="508">
        <v>43890</v>
      </c>
      <c r="K674" s="508"/>
      <c r="L674" s="508"/>
      <c r="M674" s="344" t="s">
        <v>2853</v>
      </c>
      <c r="N674" s="510" t="s">
        <v>2088</v>
      </c>
      <c r="O674" s="511">
        <v>43882</v>
      </c>
      <c r="P674" s="510" t="s">
        <v>3061</v>
      </c>
      <c r="Q674" s="510" t="s">
        <v>2829</v>
      </c>
      <c r="R674" s="512"/>
      <c r="S674" s="513" t="e">
        <f>Table1372[[#This Row],[DATE  CLOSED]]-Table1372[[#This Row],[INITIATION DATE]]</f>
        <v>#VALUE!</v>
      </c>
    </row>
    <row r="675" spans="1:19" ht="140.25" x14ac:dyDescent="0.2">
      <c r="A675" s="340" t="s">
        <v>5358</v>
      </c>
      <c r="B675" s="514">
        <v>43872</v>
      </c>
      <c r="C675" s="341" t="s">
        <v>5359</v>
      </c>
      <c r="D675" s="341" t="s">
        <v>5323</v>
      </c>
      <c r="E675" s="342" t="s">
        <v>3825</v>
      </c>
      <c r="F675" s="516">
        <v>1</v>
      </c>
      <c r="G675" s="342" t="s">
        <v>2828</v>
      </c>
      <c r="H675" s="342" t="s">
        <v>4232</v>
      </c>
      <c r="I675" s="342" t="s">
        <v>3211</v>
      </c>
      <c r="J675" s="514">
        <v>43921</v>
      </c>
      <c r="K675" s="514"/>
      <c r="L675" s="514"/>
      <c r="M675" s="342" t="s">
        <v>2853</v>
      </c>
      <c r="N675" s="342" t="s">
        <v>2088</v>
      </c>
      <c r="O675" s="517">
        <v>43882</v>
      </c>
      <c r="P675" s="342" t="s">
        <v>3061</v>
      </c>
      <c r="Q675" s="342" t="s">
        <v>2829</v>
      </c>
      <c r="R675" s="518"/>
      <c r="S675" s="519" t="e">
        <f>Table1372[[#This Row],[DATE  CLOSED]]-Table1372[[#This Row],[INITIATION DATE]]</f>
        <v>#VALUE!</v>
      </c>
    </row>
    <row r="676" spans="1:19" ht="153" x14ac:dyDescent="0.2">
      <c r="A676" s="338" t="s">
        <v>5360</v>
      </c>
      <c r="B676" s="508">
        <v>43873</v>
      </c>
      <c r="C676" s="343" t="s">
        <v>5362</v>
      </c>
      <c r="D676" s="343" t="s">
        <v>5361</v>
      </c>
      <c r="E676" s="344" t="s">
        <v>4675</v>
      </c>
      <c r="F676" s="510">
        <v>1</v>
      </c>
      <c r="G676" s="344" t="s">
        <v>2828</v>
      </c>
      <c r="H676" s="344" t="s">
        <v>3975</v>
      </c>
      <c r="I676" s="344" t="s">
        <v>3926</v>
      </c>
      <c r="J676" s="508">
        <v>43921</v>
      </c>
      <c r="K676" s="508"/>
      <c r="L676" s="508"/>
      <c r="M676" s="344" t="s">
        <v>2853</v>
      </c>
      <c r="N676" s="344" t="s">
        <v>2088</v>
      </c>
      <c r="O676" s="511">
        <v>43889</v>
      </c>
      <c r="P676" s="344" t="s">
        <v>3061</v>
      </c>
      <c r="Q676" s="344" t="s">
        <v>2829</v>
      </c>
      <c r="R676" s="512"/>
      <c r="S676" s="513" t="e">
        <f>Table1372[[#This Row],[DATE  CLOSED]]-Table1372[[#This Row],[INITIATION DATE]]</f>
        <v>#VALUE!</v>
      </c>
    </row>
    <row r="677" spans="1:19" ht="38.25" x14ac:dyDescent="0.2">
      <c r="A677" s="521" t="s">
        <v>5363</v>
      </c>
      <c r="B677" s="514">
        <v>43874</v>
      </c>
      <c r="C677" s="515" t="s">
        <v>5364</v>
      </c>
      <c r="D677" s="515" t="s">
        <v>5365</v>
      </c>
      <c r="E677" s="516" t="s">
        <v>4174</v>
      </c>
      <c r="F677" s="516">
        <v>1</v>
      </c>
      <c r="G677" s="516" t="s">
        <v>2828</v>
      </c>
      <c r="H677" s="516" t="s">
        <v>615</v>
      </c>
      <c r="I677" s="516" t="s">
        <v>3211</v>
      </c>
      <c r="J677" s="514">
        <v>43921</v>
      </c>
      <c r="K677" s="514"/>
      <c r="L677" s="514"/>
      <c r="M677" s="516" t="s">
        <v>2853</v>
      </c>
      <c r="N677" s="516" t="s">
        <v>2088</v>
      </c>
      <c r="O677" s="517">
        <v>43915</v>
      </c>
      <c r="P677" s="516" t="s">
        <v>3061</v>
      </c>
      <c r="Q677" s="516" t="s">
        <v>2832</v>
      </c>
      <c r="R677" s="518"/>
      <c r="S677" s="519" t="e">
        <f>Table1372[[#This Row],[DATE  CLOSED]]-Table1372[[#This Row],[INITIATION DATE]]</f>
        <v>#VALUE!</v>
      </c>
    </row>
    <row r="678" spans="1:19" ht="38.25" x14ac:dyDescent="0.2">
      <c r="A678" s="520" t="s">
        <v>5366</v>
      </c>
      <c r="B678" s="508">
        <v>43880</v>
      </c>
      <c r="C678" s="509" t="s">
        <v>5367</v>
      </c>
      <c r="D678" s="509" t="s">
        <v>3426</v>
      </c>
      <c r="E678" s="510" t="s">
        <v>4675</v>
      </c>
      <c r="F678" s="510">
        <v>1</v>
      </c>
      <c r="G678" s="510" t="s">
        <v>2828</v>
      </c>
      <c r="H678" s="510" t="s">
        <v>3975</v>
      </c>
      <c r="I678" s="510" t="s">
        <v>3211</v>
      </c>
      <c r="J678" s="508">
        <v>43921</v>
      </c>
      <c r="K678" s="508"/>
      <c r="L678" s="508"/>
      <c r="M678" s="344" t="s">
        <v>2853</v>
      </c>
      <c r="N678" s="344" t="s">
        <v>2088</v>
      </c>
      <c r="O678" s="511">
        <v>43894</v>
      </c>
      <c r="P678" s="344" t="s">
        <v>3061</v>
      </c>
      <c r="Q678" s="344" t="s">
        <v>2829</v>
      </c>
      <c r="R678" s="512"/>
      <c r="S678" s="513" t="e">
        <f>Table1372[[#This Row],[DATE  CLOSED]]-Table1372[[#This Row],[INITIATION DATE]]</f>
        <v>#VALUE!</v>
      </c>
    </row>
    <row r="679" spans="1:19" ht="38.25" x14ac:dyDescent="0.2">
      <c r="A679" s="521" t="s">
        <v>5368</v>
      </c>
      <c r="B679" s="514">
        <v>43880</v>
      </c>
      <c r="C679" s="515" t="s">
        <v>5369</v>
      </c>
      <c r="D679" s="515" t="s">
        <v>3426</v>
      </c>
      <c r="E679" s="516" t="s">
        <v>2971</v>
      </c>
      <c r="F679" s="516">
        <v>1</v>
      </c>
      <c r="G679" s="516" t="s">
        <v>2828</v>
      </c>
      <c r="H679" s="516" t="s">
        <v>3842</v>
      </c>
      <c r="I679" s="516" t="s">
        <v>3211</v>
      </c>
      <c r="J679" s="514">
        <v>43921</v>
      </c>
      <c r="K679" s="514"/>
      <c r="L679" s="514"/>
      <c r="M679" s="342" t="s">
        <v>2853</v>
      </c>
      <c r="N679" s="342" t="s">
        <v>2088</v>
      </c>
      <c r="O679" s="517">
        <v>43882</v>
      </c>
      <c r="P679" s="342" t="s">
        <v>3061</v>
      </c>
      <c r="Q679" s="342" t="s">
        <v>2829</v>
      </c>
      <c r="R679" s="518"/>
      <c r="S679" s="519" t="e">
        <f>Table1372[[#This Row],[DATE  CLOSED]]-Table1372[[#This Row],[INITIATION DATE]]</f>
        <v>#VALUE!</v>
      </c>
    </row>
    <row r="680" spans="1:19" ht="38.25" x14ac:dyDescent="0.2">
      <c r="A680" s="520" t="s">
        <v>5370</v>
      </c>
      <c r="B680" s="508">
        <v>43880</v>
      </c>
      <c r="C680" s="509" t="s">
        <v>5371</v>
      </c>
      <c r="D680" s="509" t="s">
        <v>5372</v>
      </c>
      <c r="E680" s="510" t="s">
        <v>4033</v>
      </c>
      <c r="F680" s="510">
        <v>1</v>
      </c>
      <c r="G680" s="510" t="s">
        <v>2828</v>
      </c>
      <c r="H680" s="510" t="s">
        <v>4079</v>
      </c>
      <c r="I680" s="510" t="s">
        <v>3926</v>
      </c>
      <c r="J680" s="508">
        <v>43921</v>
      </c>
      <c r="K680" s="508"/>
      <c r="L680" s="508"/>
      <c r="M680" s="510" t="s">
        <v>2853</v>
      </c>
      <c r="N680" s="510" t="s">
        <v>2088</v>
      </c>
      <c r="O680" s="511">
        <v>43893</v>
      </c>
      <c r="P680" s="510" t="s">
        <v>3061</v>
      </c>
      <c r="Q680" s="510" t="s">
        <v>2829</v>
      </c>
      <c r="R680" s="512"/>
      <c r="S680" s="513" t="e">
        <f>Table1372[[#This Row],[DATE  CLOSED]]-Table1372[[#This Row],[INITIATION DATE]]</f>
        <v>#VALUE!</v>
      </c>
    </row>
    <row r="681" spans="1:19" ht="38.25" x14ac:dyDescent="0.2">
      <c r="A681" s="521" t="s">
        <v>5373</v>
      </c>
      <c r="B681" s="514">
        <v>43881</v>
      </c>
      <c r="C681" s="515" t="s">
        <v>5374</v>
      </c>
      <c r="D681" s="515" t="s">
        <v>5375</v>
      </c>
      <c r="E681" s="516" t="s">
        <v>3764</v>
      </c>
      <c r="F681" s="516">
        <v>1</v>
      </c>
      <c r="G681" s="516" t="s">
        <v>2828</v>
      </c>
      <c r="H681" s="516" t="s">
        <v>4079</v>
      </c>
      <c r="I681" s="516" t="s">
        <v>3926</v>
      </c>
      <c r="J681" s="514">
        <v>43901</v>
      </c>
      <c r="K681" s="514"/>
      <c r="L681" s="514"/>
      <c r="M681" s="516" t="s">
        <v>2853</v>
      </c>
      <c r="N681" s="516" t="s">
        <v>2088</v>
      </c>
      <c r="O681" s="517">
        <v>43882</v>
      </c>
      <c r="P681" s="516" t="s">
        <v>3061</v>
      </c>
      <c r="Q681" s="516" t="s">
        <v>2829</v>
      </c>
      <c r="R681" s="518"/>
      <c r="S681" s="519" t="e">
        <f>Table1372[[#This Row],[DATE  CLOSED]]-Table1372[[#This Row],[INITIATION DATE]]</f>
        <v>#VALUE!</v>
      </c>
    </row>
    <row r="682" spans="1:19" ht="165.75" x14ac:dyDescent="0.2">
      <c r="A682" s="520" t="s">
        <v>5376</v>
      </c>
      <c r="B682" s="508">
        <v>43881</v>
      </c>
      <c r="C682" s="509" t="s">
        <v>5377</v>
      </c>
      <c r="D682" s="509" t="s">
        <v>5378</v>
      </c>
      <c r="E682" s="510" t="s">
        <v>3825</v>
      </c>
      <c r="F682" s="510">
        <v>1</v>
      </c>
      <c r="G682" s="510" t="s">
        <v>2828</v>
      </c>
      <c r="H682" s="510" t="s">
        <v>4232</v>
      </c>
      <c r="I682" s="510" t="s">
        <v>3211</v>
      </c>
      <c r="J682" s="508">
        <v>43921</v>
      </c>
      <c r="K682" s="508"/>
      <c r="L682" s="508"/>
      <c r="M682" s="510" t="s">
        <v>2853</v>
      </c>
      <c r="N682" s="510" t="s">
        <v>2088</v>
      </c>
      <c r="O682" s="511">
        <v>43895</v>
      </c>
      <c r="P682" s="510" t="s">
        <v>3061</v>
      </c>
      <c r="Q682" s="510" t="s">
        <v>2829</v>
      </c>
      <c r="R682" s="512"/>
      <c r="S682" s="513" t="e">
        <f>Table1372[[#This Row],[DATE  CLOSED]]-Table1372[[#This Row],[INITIATION DATE]]</f>
        <v>#VALUE!</v>
      </c>
    </row>
    <row r="683" spans="1:19" ht="76.5" x14ac:dyDescent="0.2">
      <c r="A683" s="521" t="s">
        <v>5379</v>
      </c>
      <c r="B683" s="514">
        <v>43882</v>
      </c>
      <c r="C683" s="515" t="s">
        <v>5380</v>
      </c>
      <c r="D683" s="515" t="s">
        <v>5354</v>
      </c>
      <c r="E683" s="516" t="s">
        <v>2971</v>
      </c>
      <c r="F683" s="516">
        <v>1</v>
      </c>
      <c r="G683" s="516" t="s">
        <v>2841</v>
      </c>
      <c r="H683" s="516" t="s">
        <v>486</v>
      </c>
      <c r="I683" s="516" t="s">
        <v>229</v>
      </c>
      <c r="J683" s="514">
        <v>43921</v>
      </c>
      <c r="K683" s="514"/>
      <c r="L683" s="514"/>
      <c r="M683" s="516" t="s">
        <v>2853</v>
      </c>
      <c r="N683" s="516" t="s">
        <v>2088</v>
      </c>
      <c r="O683" s="517">
        <v>43907</v>
      </c>
      <c r="P683" s="516" t="s">
        <v>3061</v>
      </c>
      <c r="Q683" s="516" t="s">
        <v>2829</v>
      </c>
      <c r="R683" s="518"/>
      <c r="S683" s="519" t="e">
        <f>Table1372[[#This Row],[DATE  CLOSED]]-Table1372[[#This Row],[INITIATION DATE]]</f>
        <v>#VALUE!</v>
      </c>
    </row>
    <row r="684" spans="1:19" ht="38.25" x14ac:dyDescent="0.2">
      <c r="A684" s="520" t="s">
        <v>5382</v>
      </c>
      <c r="B684" s="508">
        <v>43888</v>
      </c>
      <c r="C684" s="509" t="s">
        <v>5383</v>
      </c>
      <c r="D684" s="509" t="s">
        <v>5384</v>
      </c>
      <c r="E684" s="510" t="s">
        <v>3335</v>
      </c>
      <c r="F684" s="510">
        <v>1</v>
      </c>
      <c r="G684" s="510" t="s">
        <v>2828</v>
      </c>
      <c r="H684" s="510" t="s">
        <v>4079</v>
      </c>
      <c r="I684" s="510" t="s">
        <v>3926</v>
      </c>
      <c r="J684" s="508">
        <v>43921</v>
      </c>
      <c r="K684" s="508"/>
      <c r="L684" s="508"/>
      <c r="M684" s="344" t="s">
        <v>2853</v>
      </c>
      <c r="N684" s="344" t="s">
        <v>2088</v>
      </c>
      <c r="O684" s="511">
        <v>43920</v>
      </c>
      <c r="P684" s="344" t="s">
        <v>3061</v>
      </c>
      <c r="Q684" s="344" t="s">
        <v>2829</v>
      </c>
      <c r="R684" s="512"/>
      <c r="S684" s="513" t="e">
        <f>Table1372[[#This Row],[DATE  CLOSED]]-Table1372[[#This Row],[INITIATION DATE]]</f>
        <v>#VALUE!</v>
      </c>
    </row>
    <row r="685" spans="1:19" ht="38.25" x14ac:dyDescent="0.2">
      <c r="A685" s="521" t="s">
        <v>5385</v>
      </c>
      <c r="B685" s="514">
        <v>43892</v>
      </c>
      <c r="C685" s="341" t="s">
        <v>5386</v>
      </c>
      <c r="D685" s="341" t="s">
        <v>5387</v>
      </c>
      <c r="E685" s="342" t="s">
        <v>2971</v>
      </c>
      <c r="F685" s="516">
        <v>1</v>
      </c>
      <c r="G685" s="342" t="s">
        <v>2841</v>
      </c>
      <c r="H685" s="342" t="s">
        <v>727</v>
      </c>
      <c r="I685" s="342" t="s">
        <v>229</v>
      </c>
      <c r="J685" s="514">
        <v>43921</v>
      </c>
      <c r="K685" s="514"/>
      <c r="L685" s="514"/>
      <c r="M685" s="342" t="s">
        <v>2853</v>
      </c>
      <c r="N685" s="516" t="s">
        <v>2088</v>
      </c>
      <c r="O685" s="517">
        <v>43920</v>
      </c>
      <c r="P685" s="516" t="s">
        <v>3061</v>
      </c>
      <c r="Q685" s="516" t="s">
        <v>2829</v>
      </c>
      <c r="R685" s="518"/>
      <c r="S685" s="519" t="e">
        <f>Table1372[[#This Row],[DATE  CLOSED]]-Table1372[[#This Row],[INITIATION DATE]]</f>
        <v>#VALUE!</v>
      </c>
    </row>
    <row r="686" spans="1:19" ht="38.25" x14ac:dyDescent="0.2">
      <c r="A686" s="520" t="s">
        <v>5388</v>
      </c>
      <c r="B686" s="508">
        <v>43894</v>
      </c>
      <c r="C686" s="509" t="s">
        <v>5389</v>
      </c>
      <c r="D686" s="509" t="s">
        <v>5375</v>
      </c>
      <c r="E686" s="510" t="s">
        <v>3969</v>
      </c>
      <c r="F686" s="510">
        <v>1</v>
      </c>
      <c r="G686" s="510" t="s">
        <v>2828</v>
      </c>
      <c r="H686" s="510" t="s">
        <v>3423</v>
      </c>
      <c r="I686" s="510" t="s">
        <v>3926</v>
      </c>
      <c r="J686" s="508">
        <v>43951</v>
      </c>
      <c r="K686" s="508"/>
      <c r="L686" s="508"/>
      <c r="M686" s="510" t="s">
        <v>1056</v>
      </c>
      <c r="N686" s="510" t="s">
        <v>2088</v>
      </c>
      <c r="O686" s="511" t="s">
        <v>2088</v>
      </c>
      <c r="P686" s="510" t="s">
        <v>2088</v>
      </c>
      <c r="Q686" s="510" t="s">
        <v>2088</v>
      </c>
      <c r="R686" s="512" t="s">
        <v>2088</v>
      </c>
      <c r="S686" s="513" t="e">
        <f>Table1372[[#This Row],[DATE  CLOSED]]-Table1372[[#This Row],[INITIATION DATE]]</f>
        <v>#VALUE!</v>
      </c>
    </row>
    <row r="687" spans="1:19" ht="25.5" x14ac:dyDescent="0.2">
      <c r="A687" s="521" t="s">
        <v>5390</v>
      </c>
      <c r="B687" s="514">
        <v>43899</v>
      </c>
      <c r="C687" s="515" t="s">
        <v>5391</v>
      </c>
      <c r="D687" s="515" t="s">
        <v>5392</v>
      </c>
      <c r="E687" s="516" t="s">
        <v>2971</v>
      </c>
      <c r="F687" s="516">
        <v>1</v>
      </c>
      <c r="G687" s="516" t="s">
        <v>2836</v>
      </c>
      <c r="H687" s="516" t="s">
        <v>4079</v>
      </c>
      <c r="I687" s="516" t="s">
        <v>3926</v>
      </c>
      <c r="J687" s="514">
        <v>43982</v>
      </c>
      <c r="K687" s="345"/>
      <c r="L687" s="345"/>
      <c r="M687" s="516" t="s">
        <v>2853</v>
      </c>
      <c r="N687" s="342" t="s">
        <v>2088</v>
      </c>
      <c r="O687" s="517">
        <v>43977</v>
      </c>
      <c r="P687" s="342" t="s">
        <v>3061</v>
      </c>
      <c r="Q687" s="516" t="s">
        <v>2832</v>
      </c>
      <c r="R687" s="439" t="s">
        <v>2088</v>
      </c>
      <c r="S687" s="519" t="e">
        <f>Table1372[[#This Row],[DATE  CLOSED]]-Table1372[[#This Row],[INITIATION DATE]]</f>
        <v>#VALUE!</v>
      </c>
    </row>
    <row r="688" spans="1:19" ht="51" x14ac:dyDescent="0.2">
      <c r="A688" s="520" t="s">
        <v>5393</v>
      </c>
      <c r="B688" s="508">
        <v>43899</v>
      </c>
      <c r="C688" s="509" t="s">
        <v>5394</v>
      </c>
      <c r="D688" s="509" t="s">
        <v>5395</v>
      </c>
      <c r="E688" s="344" t="s">
        <v>2971</v>
      </c>
      <c r="F688" s="510">
        <v>1</v>
      </c>
      <c r="G688" s="344" t="s">
        <v>2838</v>
      </c>
      <c r="H688" s="344" t="s">
        <v>685</v>
      </c>
      <c r="I688" s="344" t="s">
        <v>229</v>
      </c>
      <c r="J688" s="508">
        <v>43903</v>
      </c>
      <c r="K688" s="508"/>
      <c r="L688" s="508"/>
      <c r="M688" s="344" t="s">
        <v>2853</v>
      </c>
      <c r="N688" s="510" t="s">
        <v>2088</v>
      </c>
      <c r="O688" s="511">
        <v>43899</v>
      </c>
      <c r="P688" s="510" t="s">
        <v>3061</v>
      </c>
      <c r="Q688" s="510" t="s">
        <v>2829</v>
      </c>
      <c r="R688" s="512" t="s">
        <v>2088</v>
      </c>
      <c r="S688" s="513" t="e">
        <f>Table1372[[#This Row],[DATE  CLOSED]]-Table1372[[#This Row],[INITIATION DATE]]</f>
        <v>#VALUE!</v>
      </c>
    </row>
    <row r="689" spans="1:19" ht="51" x14ac:dyDescent="0.2">
      <c r="A689" s="521" t="s">
        <v>5396</v>
      </c>
      <c r="B689" s="514">
        <v>43902</v>
      </c>
      <c r="C689" s="515" t="s">
        <v>5397</v>
      </c>
      <c r="D689" s="515" t="s">
        <v>5398</v>
      </c>
      <c r="E689" s="516" t="s">
        <v>4675</v>
      </c>
      <c r="F689" s="516">
        <v>1</v>
      </c>
      <c r="G689" s="516" t="s">
        <v>2828</v>
      </c>
      <c r="H689" s="516" t="s">
        <v>3423</v>
      </c>
      <c r="I689" s="516" t="s">
        <v>3211</v>
      </c>
      <c r="J689" s="514">
        <v>43951</v>
      </c>
      <c r="K689" s="514"/>
      <c r="L689" s="514"/>
      <c r="M689" s="516" t="s">
        <v>2853</v>
      </c>
      <c r="N689" s="516" t="s">
        <v>2088</v>
      </c>
      <c r="O689" s="517">
        <v>43909</v>
      </c>
      <c r="P689" s="516" t="s">
        <v>3061</v>
      </c>
      <c r="Q689" s="516" t="s">
        <v>2829</v>
      </c>
      <c r="R689" s="439" t="s">
        <v>2088</v>
      </c>
      <c r="S689" s="519" t="e">
        <f>Table1372[[#This Row],[DATE  CLOSED]]-Table1372[[#This Row],[INITIATION DATE]]</f>
        <v>#VALUE!</v>
      </c>
    </row>
    <row r="690" spans="1:19" ht="25.5" x14ac:dyDescent="0.2">
      <c r="A690" s="520" t="s">
        <v>5400</v>
      </c>
      <c r="B690" s="508">
        <v>43906</v>
      </c>
      <c r="C690" s="509" t="s">
        <v>5402</v>
      </c>
      <c r="D690" s="509" t="s">
        <v>5403</v>
      </c>
      <c r="E690" s="510" t="s">
        <v>5401</v>
      </c>
      <c r="F690" s="510">
        <v>1</v>
      </c>
      <c r="G690" s="510" t="s">
        <v>2840</v>
      </c>
      <c r="H690" s="510" t="s">
        <v>229</v>
      </c>
      <c r="I690" s="510" t="s">
        <v>229</v>
      </c>
      <c r="J690" s="508">
        <v>43921</v>
      </c>
      <c r="K690" s="508"/>
      <c r="L690" s="508"/>
      <c r="M690" s="510" t="s">
        <v>2853</v>
      </c>
      <c r="N690" s="510" t="s">
        <v>2088</v>
      </c>
      <c r="O690" s="511">
        <v>43907</v>
      </c>
      <c r="P690" s="510" t="s">
        <v>3061</v>
      </c>
      <c r="Q690" s="510" t="s">
        <v>2829</v>
      </c>
      <c r="R690" s="512" t="s">
        <v>2088</v>
      </c>
      <c r="S690" s="513" t="e">
        <f>Table1372[[#This Row],[DATE  CLOSED]]-Table1372[[#This Row],[INITIATION DATE]]</f>
        <v>#VALUE!</v>
      </c>
    </row>
    <row r="691" spans="1:19" ht="38.25" x14ac:dyDescent="0.2">
      <c r="A691" s="521" t="s">
        <v>5404</v>
      </c>
      <c r="B691" s="514">
        <v>43908</v>
      </c>
      <c r="C691" s="515" t="s">
        <v>5406</v>
      </c>
      <c r="D691" s="515" t="s">
        <v>5405</v>
      </c>
      <c r="E691" s="516" t="s">
        <v>2971</v>
      </c>
      <c r="F691" s="516">
        <v>1</v>
      </c>
      <c r="G691" s="516" t="s">
        <v>2838</v>
      </c>
      <c r="H691" s="516" t="s">
        <v>4796</v>
      </c>
      <c r="I691" s="516" t="s">
        <v>755</v>
      </c>
      <c r="J691" s="514">
        <v>43917</v>
      </c>
      <c r="K691" s="514"/>
      <c r="L691" s="514"/>
      <c r="M691" s="516" t="s">
        <v>2853</v>
      </c>
      <c r="N691" s="516" t="s">
        <v>2088</v>
      </c>
      <c r="O691" s="517">
        <v>43940</v>
      </c>
      <c r="P691" s="516" t="s">
        <v>3022</v>
      </c>
      <c r="Q691" s="516" t="s">
        <v>2832</v>
      </c>
      <c r="R691" s="518" t="s">
        <v>2088</v>
      </c>
      <c r="S691" s="519" t="e">
        <f>Table1372[[#This Row],[DATE  CLOSED]]-Table1372[[#This Row],[INITIATION DATE]]</f>
        <v>#VALUE!</v>
      </c>
    </row>
    <row r="692" spans="1:19" ht="51" x14ac:dyDescent="0.2">
      <c r="A692" s="520" t="s">
        <v>5407</v>
      </c>
      <c r="B692" s="508">
        <v>43908</v>
      </c>
      <c r="C692" s="509" t="s">
        <v>5408</v>
      </c>
      <c r="D692" s="509" t="s">
        <v>5409</v>
      </c>
      <c r="E692" s="510" t="s">
        <v>2971</v>
      </c>
      <c r="F692" s="510">
        <v>1</v>
      </c>
      <c r="G692" s="510" t="s">
        <v>2841</v>
      </c>
      <c r="H692" s="510" t="s">
        <v>229</v>
      </c>
      <c r="I692" s="510" t="s">
        <v>755</v>
      </c>
      <c r="J692" s="508">
        <v>43921</v>
      </c>
      <c r="K692" s="508"/>
      <c r="L692" s="508"/>
      <c r="M692" s="510" t="s">
        <v>2853</v>
      </c>
      <c r="N692" s="510" t="s">
        <v>2088</v>
      </c>
      <c r="O692" s="511">
        <v>43921</v>
      </c>
      <c r="P692" s="510" t="s">
        <v>3061</v>
      </c>
      <c r="Q692" s="510" t="s">
        <v>2829</v>
      </c>
      <c r="R692" s="512" t="s">
        <v>2088</v>
      </c>
      <c r="S692" s="513" t="e">
        <f>Table1372[[#This Row],[DATE  CLOSED]]-Table1372[[#This Row],[INITIATION DATE]]</f>
        <v>#VALUE!</v>
      </c>
    </row>
    <row r="693" spans="1:19" ht="89.25" x14ac:dyDescent="0.2">
      <c r="A693" s="521" t="s">
        <v>5410</v>
      </c>
      <c r="B693" s="514">
        <v>43909</v>
      </c>
      <c r="C693" s="515" t="s">
        <v>5411</v>
      </c>
      <c r="D693" s="515" t="s">
        <v>5412</v>
      </c>
      <c r="E693" s="516" t="s">
        <v>2971</v>
      </c>
      <c r="F693" s="516">
        <v>1</v>
      </c>
      <c r="G693" s="516" t="s">
        <v>2841</v>
      </c>
      <c r="H693" s="516" t="s">
        <v>3211</v>
      </c>
      <c r="I693" s="516" t="s">
        <v>229</v>
      </c>
      <c r="J693" s="514">
        <v>43951</v>
      </c>
      <c r="K693" s="514"/>
      <c r="L693" s="514"/>
      <c r="M693" s="516" t="s">
        <v>2853</v>
      </c>
      <c r="N693" s="516" t="s">
        <v>2088</v>
      </c>
      <c r="O693" s="517">
        <v>43929</v>
      </c>
      <c r="P693" s="516" t="s">
        <v>3061</v>
      </c>
      <c r="Q693" s="516" t="s">
        <v>2829</v>
      </c>
      <c r="R693" s="518"/>
      <c r="S693" s="519" t="e">
        <f>Table1372[[#This Row],[DATE  CLOSED]]-Table1372[[#This Row],[INITIATION DATE]]</f>
        <v>#VALUE!</v>
      </c>
    </row>
    <row r="694" spans="1:19" ht="102" x14ac:dyDescent="0.2">
      <c r="A694" s="520" t="s">
        <v>5413</v>
      </c>
      <c r="B694" s="508">
        <v>43909</v>
      </c>
      <c r="C694" s="509" t="s">
        <v>5414</v>
      </c>
      <c r="D694" s="343" t="s">
        <v>5415</v>
      </c>
      <c r="E694" s="344" t="s">
        <v>2971</v>
      </c>
      <c r="F694" s="510">
        <v>1</v>
      </c>
      <c r="G694" s="510" t="s">
        <v>2841</v>
      </c>
      <c r="H694" s="344" t="s">
        <v>3211</v>
      </c>
      <c r="I694" s="344" t="s">
        <v>229</v>
      </c>
      <c r="J694" s="508">
        <v>43951</v>
      </c>
      <c r="K694" s="508"/>
      <c r="L694" s="508"/>
      <c r="M694" s="344" t="s">
        <v>2853</v>
      </c>
      <c r="N694" s="510" t="s">
        <v>2088</v>
      </c>
      <c r="O694" s="511">
        <v>43929</v>
      </c>
      <c r="P694" s="510" t="s">
        <v>3061</v>
      </c>
      <c r="Q694" s="510" t="s">
        <v>2829</v>
      </c>
      <c r="R694" s="512"/>
      <c r="S694" s="513" t="e">
        <f>Table1372[[#This Row],[DATE  CLOSED]]-Table1372[[#This Row],[INITIATION DATE]]</f>
        <v>#VALUE!</v>
      </c>
    </row>
    <row r="695" spans="1:19" ht="76.5" x14ac:dyDescent="0.2">
      <c r="A695" s="340" t="s">
        <v>5416</v>
      </c>
      <c r="B695" s="514">
        <v>43915</v>
      </c>
      <c r="C695" s="515" t="s">
        <v>5417</v>
      </c>
      <c r="D695" s="515" t="s">
        <v>5418</v>
      </c>
      <c r="E695" s="516" t="s">
        <v>2971</v>
      </c>
      <c r="F695" s="516">
        <v>2</v>
      </c>
      <c r="G695" s="516" t="s">
        <v>2828</v>
      </c>
      <c r="H695" s="516" t="s">
        <v>1865</v>
      </c>
      <c r="I695" s="516" t="s">
        <v>3211</v>
      </c>
      <c r="J695" s="514">
        <v>43951</v>
      </c>
      <c r="K695" s="345"/>
      <c r="L695" s="345"/>
      <c r="M695" s="516" t="s">
        <v>2853</v>
      </c>
      <c r="N695" s="516" t="s">
        <v>2088</v>
      </c>
      <c r="O695" s="517">
        <v>43920</v>
      </c>
      <c r="P695" s="342" t="s">
        <v>3061</v>
      </c>
      <c r="Q695" s="342" t="s">
        <v>2829</v>
      </c>
      <c r="R695" s="439" t="s">
        <v>2088</v>
      </c>
      <c r="S695" s="519" t="e">
        <f>Table1372[[#This Row],[DATE  CLOSED]]-Table1372[[#This Row],[INITIATION DATE]]</f>
        <v>#VALUE!</v>
      </c>
    </row>
    <row r="696" spans="1:19" ht="38.25" x14ac:dyDescent="0.2">
      <c r="A696" s="338" t="s">
        <v>5419</v>
      </c>
      <c r="B696" s="508">
        <v>43915</v>
      </c>
      <c r="C696" s="343" t="s">
        <v>5420</v>
      </c>
      <c r="D696" s="343" t="s">
        <v>3039</v>
      </c>
      <c r="E696" s="344" t="s">
        <v>2971</v>
      </c>
      <c r="F696" s="510">
        <v>1</v>
      </c>
      <c r="G696" s="344" t="s">
        <v>2841</v>
      </c>
      <c r="H696" s="344" t="s">
        <v>685</v>
      </c>
      <c r="I696" s="344" t="s">
        <v>229</v>
      </c>
      <c r="J696" s="508">
        <v>43951</v>
      </c>
      <c r="K696" s="508"/>
      <c r="L696" s="508"/>
      <c r="M696" s="344" t="s">
        <v>2853</v>
      </c>
      <c r="N696" s="510" t="s">
        <v>2088</v>
      </c>
      <c r="O696" s="511">
        <v>43934</v>
      </c>
      <c r="P696" s="510" t="s">
        <v>3061</v>
      </c>
      <c r="Q696" s="510" t="s">
        <v>2829</v>
      </c>
      <c r="R696" s="512"/>
      <c r="S696" s="513" t="e">
        <f>Table1372[[#This Row],[DATE  CLOSED]]-Table1372[[#This Row],[INITIATION DATE]]</f>
        <v>#VALUE!</v>
      </c>
    </row>
    <row r="697" spans="1:19" ht="38.25" x14ac:dyDescent="0.2">
      <c r="A697" s="340" t="s">
        <v>5421</v>
      </c>
      <c r="B697" s="514">
        <v>43916</v>
      </c>
      <c r="C697" s="341" t="s">
        <v>5422</v>
      </c>
      <c r="D697" s="341" t="s">
        <v>5423</v>
      </c>
      <c r="E697" s="342" t="s">
        <v>2971</v>
      </c>
      <c r="F697" s="516">
        <v>1</v>
      </c>
      <c r="G697" s="342" t="s">
        <v>2836</v>
      </c>
      <c r="H697" s="342" t="s">
        <v>685</v>
      </c>
      <c r="I697" s="342" t="s">
        <v>229</v>
      </c>
      <c r="J697" s="514">
        <v>43951</v>
      </c>
      <c r="K697" s="514"/>
      <c r="L697" s="514"/>
      <c r="M697" s="342" t="s">
        <v>2853</v>
      </c>
      <c r="N697" s="516" t="s">
        <v>2088</v>
      </c>
      <c r="O697" s="517">
        <v>43922</v>
      </c>
      <c r="P697" s="516" t="s">
        <v>3061</v>
      </c>
      <c r="Q697" s="516" t="s">
        <v>2829</v>
      </c>
      <c r="R697" s="518"/>
      <c r="S697" s="519" t="e">
        <f>Table1372[[#This Row],[DATE  CLOSED]]-Table1372[[#This Row],[INITIATION DATE]]</f>
        <v>#VALUE!</v>
      </c>
    </row>
    <row r="698" spans="1:19" ht="63.75" x14ac:dyDescent="0.2">
      <c r="A698" s="338" t="s">
        <v>5424</v>
      </c>
      <c r="B698" s="508">
        <v>43920</v>
      </c>
      <c r="C698" s="509" t="s">
        <v>5425</v>
      </c>
      <c r="D698" s="509" t="s">
        <v>3873</v>
      </c>
      <c r="E698" s="510" t="s">
        <v>2971</v>
      </c>
      <c r="F698" s="510">
        <v>1</v>
      </c>
      <c r="G698" s="510" t="s">
        <v>2841</v>
      </c>
      <c r="H698" s="510" t="s">
        <v>2106</v>
      </c>
      <c r="I698" s="510" t="s">
        <v>229</v>
      </c>
      <c r="J698" s="508">
        <v>43921</v>
      </c>
      <c r="K698" s="508"/>
      <c r="L698" s="508"/>
      <c r="M698" s="510" t="s">
        <v>2853</v>
      </c>
      <c r="N698" s="510" t="s">
        <v>2088</v>
      </c>
      <c r="O698" s="511">
        <v>43921</v>
      </c>
      <c r="P698" s="510" t="s">
        <v>3061</v>
      </c>
      <c r="Q698" s="510" t="s">
        <v>2829</v>
      </c>
      <c r="R698" s="512"/>
      <c r="S698" s="513" t="e">
        <f>Table1372[[#This Row],[DATE  CLOSED]]-Table1372[[#This Row],[INITIATION DATE]]</f>
        <v>#VALUE!</v>
      </c>
    </row>
    <row r="699" spans="1:19" ht="38.25" x14ac:dyDescent="0.2">
      <c r="A699" s="340" t="s">
        <v>5426</v>
      </c>
      <c r="B699" s="514">
        <v>43921</v>
      </c>
      <c r="C699" s="515" t="s">
        <v>5427</v>
      </c>
      <c r="D699" s="515" t="s">
        <v>3873</v>
      </c>
      <c r="E699" s="516" t="s">
        <v>2971</v>
      </c>
      <c r="F699" s="516">
        <v>1</v>
      </c>
      <c r="G699" s="516" t="s">
        <v>2841</v>
      </c>
      <c r="H699" s="516" t="s">
        <v>229</v>
      </c>
      <c r="I699" s="516" t="s">
        <v>755</v>
      </c>
      <c r="J699" s="514">
        <v>43921</v>
      </c>
      <c r="K699" s="514"/>
      <c r="L699" s="514"/>
      <c r="M699" s="516" t="s">
        <v>2853</v>
      </c>
      <c r="N699" s="516" t="s">
        <v>3022</v>
      </c>
      <c r="O699" s="517">
        <v>43925</v>
      </c>
      <c r="P699" s="516" t="s">
        <v>3022</v>
      </c>
      <c r="Q699" s="516" t="s">
        <v>2829</v>
      </c>
      <c r="R699" s="518"/>
      <c r="S699" s="519" t="e">
        <f>Table1372[[#This Row],[DATE  CLOSED]]-Table1372[[#This Row],[INITIATION DATE]]</f>
        <v>#VALUE!</v>
      </c>
    </row>
    <row r="700" spans="1:19" ht="38.25" x14ac:dyDescent="0.2">
      <c r="A700" s="338" t="s">
        <v>5428</v>
      </c>
      <c r="B700" s="508">
        <v>43922</v>
      </c>
      <c r="C700" s="509" t="s">
        <v>5429</v>
      </c>
      <c r="D700" s="509" t="s">
        <v>4141</v>
      </c>
      <c r="E700" s="510" t="s">
        <v>2971</v>
      </c>
      <c r="F700" s="510">
        <v>1</v>
      </c>
      <c r="G700" s="510" t="s">
        <v>2841</v>
      </c>
      <c r="H700" s="510" t="s">
        <v>229</v>
      </c>
      <c r="I700" s="510" t="s">
        <v>755</v>
      </c>
      <c r="J700" s="508">
        <v>43951</v>
      </c>
      <c r="K700" s="508"/>
      <c r="L700" s="508"/>
      <c r="M700" s="510" t="s">
        <v>2853</v>
      </c>
      <c r="N700" s="510" t="s">
        <v>2088</v>
      </c>
      <c r="O700" s="511">
        <v>43949</v>
      </c>
      <c r="P700" s="510" t="s">
        <v>3061</v>
      </c>
      <c r="Q700" s="510" t="s">
        <v>2829</v>
      </c>
      <c r="R700" s="512"/>
      <c r="S700" s="513" t="e">
        <f>Table1372[[#This Row],[DATE  CLOSED]]-Table1372[[#This Row],[INITIATION DATE]]</f>
        <v>#VALUE!</v>
      </c>
    </row>
    <row r="701" spans="1:19" ht="76.5" x14ac:dyDescent="0.2">
      <c r="A701" s="340" t="s">
        <v>5430</v>
      </c>
      <c r="B701" s="514">
        <v>43922</v>
      </c>
      <c r="C701" s="515" t="s">
        <v>5431</v>
      </c>
      <c r="D701" s="515" t="s">
        <v>5432</v>
      </c>
      <c r="E701" s="516" t="s">
        <v>2971</v>
      </c>
      <c r="F701" s="516">
        <v>1</v>
      </c>
      <c r="G701" s="516" t="s">
        <v>2841</v>
      </c>
      <c r="H701" s="516" t="s">
        <v>229</v>
      </c>
      <c r="I701" s="516" t="s">
        <v>755</v>
      </c>
      <c r="J701" s="514">
        <v>43951</v>
      </c>
      <c r="K701" s="514"/>
      <c r="L701" s="514"/>
      <c r="M701" s="342" t="s">
        <v>2853</v>
      </c>
      <c r="N701" s="342" t="s">
        <v>2088</v>
      </c>
      <c r="O701" s="517">
        <v>43926</v>
      </c>
      <c r="P701" s="342" t="s">
        <v>3061</v>
      </c>
      <c r="Q701" s="342" t="s">
        <v>2829</v>
      </c>
      <c r="R701" s="439"/>
      <c r="S701" s="519" t="e">
        <f>Table1372[[#This Row],[DATE  CLOSED]]-Table1372[[#This Row],[INITIATION DATE]]</f>
        <v>#VALUE!</v>
      </c>
    </row>
    <row r="702" spans="1:19" ht="102" x14ac:dyDescent="0.2">
      <c r="A702" s="338" t="s">
        <v>5433</v>
      </c>
      <c r="B702" s="508">
        <v>43922</v>
      </c>
      <c r="C702" s="343" t="s">
        <v>5434</v>
      </c>
      <c r="D702" s="343" t="s">
        <v>5435</v>
      </c>
      <c r="E702" s="344" t="s">
        <v>2971</v>
      </c>
      <c r="F702" s="510">
        <v>1</v>
      </c>
      <c r="G702" s="344" t="s">
        <v>2841</v>
      </c>
      <c r="H702" s="344" t="s">
        <v>229</v>
      </c>
      <c r="I702" s="344" t="s">
        <v>755</v>
      </c>
      <c r="J702" s="508">
        <v>43951</v>
      </c>
      <c r="K702" s="508"/>
      <c r="L702" s="508"/>
      <c r="M702" s="344" t="s">
        <v>2853</v>
      </c>
      <c r="N702" s="344" t="s">
        <v>2088</v>
      </c>
      <c r="O702" s="511">
        <v>43926</v>
      </c>
      <c r="P702" s="344" t="s">
        <v>3061</v>
      </c>
      <c r="Q702" s="344" t="s">
        <v>2829</v>
      </c>
      <c r="R702" s="512"/>
      <c r="S702" s="513" t="e">
        <f>Table1372[[#This Row],[DATE  CLOSED]]-Table1372[[#This Row],[INITIATION DATE]]</f>
        <v>#VALUE!</v>
      </c>
    </row>
    <row r="703" spans="1:19" ht="38.25" x14ac:dyDescent="0.2">
      <c r="A703" s="340" t="s">
        <v>5436</v>
      </c>
      <c r="B703" s="514">
        <v>43922</v>
      </c>
      <c r="C703" s="341" t="s">
        <v>5437</v>
      </c>
      <c r="D703" s="341" t="s">
        <v>3225</v>
      </c>
      <c r="E703" s="342" t="s">
        <v>2971</v>
      </c>
      <c r="F703" s="516">
        <v>1</v>
      </c>
      <c r="G703" s="342" t="s">
        <v>2841</v>
      </c>
      <c r="H703" s="342" t="s">
        <v>229</v>
      </c>
      <c r="I703" s="342" t="s">
        <v>755</v>
      </c>
      <c r="J703" s="514">
        <v>43951</v>
      </c>
      <c r="K703" s="514"/>
      <c r="L703" s="514"/>
      <c r="M703" s="342" t="s">
        <v>2853</v>
      </c>
      <c r="N703" s="516" t="s">
        <v>2088</v>
      </c>
      <c r="O703" s="517">
        <v>43943</v>
      </c>
      <c r="P703" s="516" t="s">
        <v>3061</v>
      </c>
      <c r="Q703" s="516" t="s">
        <v>2829</v>
      </c>
      <c r="R703" s="518"/>
      <c r="S703" s="519" t="e">
        <f>Table1372[[#This Row],[DATE  CLOSED]]-Table1372[[#This Row],[INITIATION DATE]]</f>
        <v>#VALUE!</v>
      </c>
    </row>
    <row r="704" spans="1:19" ht="38.25" x14ac:dyDescent="0.2">
      <c r="A704" s="338" t="s">
        <v>5438</v>
      </c>
      <c r="B704" s="508">
        <v>43923</v>
      </c>
      <c r="C704" s="509" t="s">
        <v>5440</v>
      </c>
      <c r="D704" s="509" t="s">
        <v>5441</v>
      </c>
      <c r="E704" s="510" t="s">
        <v>4675</v>
      </c>
      <c r="F704" s="510">
        <v>1</v>
      </c>
      <c r="G704" s="510" t="s">
        <v>2828</v>
      </c>
      <c r="H704" s="510" t="s">
        <v>3975</v>
      </c>
      <c r="I704" s="510" t="s">
        <v>3926</v>
      </c>
      <c r="J704" s="508">
        <v>43951</v>
      </c>
      <c r="K704" s="508"/>
      <c r="L704" s="508"/>
      <c r="M704" s="510" t="s">
        <v>2853</v>
      </c>
      <c r="N704" s="510" t="s">
        <v>2088</v>
      </c>
      <c r="O704" s="511">
        <v>43949</v>
      </c>
      <c r="P704" s="510" t="s">
        <v>3061</v>
      </c>
      <c r="Q704" s="510" t="s">
        <v>2829</v>
      </c>
      <c r="R704" s="512"/>
      <c r="S704" s="513" t="e">
        <f>Table1372[[#This Row],[DATE  CLOSED]]-Table1372[[#This Row],[INITIATION DATE]]</f>
        <v>#VALUE!</v>
      </c>
    </row>
    <row r="705" spans="1:19" ht="38.25" x14ac:dyDescent="0.2">
      <c r="A705" s="340" t="s">
        <v>5439</v>
      </c>
      <c r="B705" s="514">
        <v>43923</v>
      </c>
      <c r="C705" s="515" t="s">
        <v>5442</v>
      </c>
      <c r="D705" s="515" t="s">
        <v>5443</v>
      </c>
      <c r="E705" s="516" t="s">
        <v>4256</v>
      </c>
      <c r="F705" s="516">
        <v>1</v>
      </c>
      <c r="G705" s="516" t="s">
        <v>2828</v>
      </c>
      <c r="H705" s="516" t="s">
        <v>4232</v>
      </c>
      <c r="I705" s="516" t="s">
        <v>3211</v>
      </c>
      <c r="J705" s="514">
        <v>43982</v>
      </c>
      <c r="K705" s="514"/>
      <c r="L705" s="514"/>
      <c r="M705" s="516" t="s">
        <v>2853</v>
      </c>
      <c r="N705" s="516" t="s">
        <v>2088</v>
      </c>
      <c r="O705" s="517">
        <v>43943</v>
      </c>
      <c r="P705" s="516" t="s">
        <v>3061</v>
      </c>
      <c r="Q705" s="516" t="s">
        <v>2829</v>
      </c>
      <c r="R705" s="518"/>
      <c r="S705" s="519" t="e">
        <f>Table1372[[#This Row],[DATE  CLOSED]]-Table1372[[#This Row],[INITIATION DATE]]</f>
        <v>#VALUE!</v>
      </c>
    </row>
    <row r="706" spans="1:19" ht="38.25" x14ac:dyDescent="0.2">
      <c r="A706" s="520" t="s">
        <v>5444</v>
      </c>
      <c r="B706" s="508">
        <v>43924</v>
      </c>
      <c r="C706" s="509" t="s">
        <v>5445</v>
      </c>
      <c r="D706" s="509" t="s">
        <v>3873</v>
      </c>
      <c r="E706" s="510" t="s">
        <v>5345</v>
      </c>
      <c r="F706" s="510">
        <v>1</v>
      </c>
      <c r="G706" s="510" t="s">
        <v>2828</v>
      </c>
      <c r="H706" s="510" t="s">
        <v>4232</v>
      </c>
      <c r="I706" s="510" t="s">
        <v>3211</v>
      </c>
      <c r="J706" s="508">
        <v>43982</v>
      </c>
      <c r="K706" s="508"/>
      <c r="L706" s="508"/>
      <c r="M706" s="510" t="s">
        <v>2853</v>
      </c>
      <c r="N706" s="510" t="s">
        <v>2088</v>
      </c>
      <c r="O706" s="511">
        <v>43958</v>
      </c>
      <c r="P706" s="510" t="s">
        <v>3061</v>
      </c>
      <c r="Q706" s="510" t="s">
        <v>2832</v>
      </c>
      <c r="R706" s="512"/>
      <c r="S706" s="513" t="e">
        <f>Table1372[[#This Row],[DATE  CLOSED]]-Table1372[[#This Row],[INITIATION DATE]]</f>
        <v>#VALUE!</v>
      </c>
    </row>
    <row r="707" spans="1:19" ht="38.25" x14ac:dyDescent="0.2">
      <c r="A707" s="521" t="s">
        <v>5446</v>
      </c>
      <c r="B707" s="514">
        <v>43924</v>
      </c>
      <c r="C707" s="515" t="s">
        <v>5450</v>
      </c>
      <c r="D707" s="515" t="s">
        <v>5463</v>
      </c>
      <c r="E707" s="516" t="s">
        <v>3777</v>
      </c>
      <c r="F707" s="516">
        <v>1</v>
      </c>
      <c r="G707" s="516" t="s">
        <v>2828</v>
      </c>
      <c r="H707" s="516" t="s">
        <v>4079</v>
      </c>
      <c r="I707" s="516" t="s">
        <v>3211</v>
      </c>
      <c r="J707" s="514" t="s">
        <v>2088</v>
      </c>
      <c r="K707" s="514"/>
      <c r="L707" s="514"/>
      <c r="M707" s="516" t="s">
        <v>1056</v>
      </c>
      <c r="N707" s="516"/>
      <c r="O707" s="517"/>
      <c r="P707" s="516"/>
      <c r="Q707" s="516"/>
      <c r="R707" s="518" t="s">
        <v>5464</v>
      </c>
      <c r="S707" s="519" t="e">
        <f>Table1372[[#This Row],[DATE  CLOSED]]-Table1372[[#This Row],[INITIATION DATE]]</f>
        <v>#VALUE!</v>
      </c>
    </row>
    <row r="708" spans="1:19" ht="63.75" x14ac:dyDescent="0.2">
      <c r="A708" s="520" t="s">
        <v>5449</v>
      </c>
      <c r="B708" s="508">
        <v>43925</v>
      </c>
      <c r="C708" s="509" t="s">
        <v>5447</v>
      </c>
      <c r="D708" s="509" t="s">
        <v>5448</v>
      </c>
      <c r="E708" s="510" t="s">
        <v>2971</v>
      </c>
      <c r="F708" s="510">
        <v>1</v>
      </c>
      <c r="G708" s="510" t="s">
        <v>2840</v>
      </c>
      <c r="H708" s="510" t="s">
        <v>4261</v>
      </c>
      <c r="I708" s="510" t="s">
        <v>229</v>
      </c>
      <c r="J708" s="508">
        <v>43951</v>
      </c>
      <c r="K708" s="508"/>
      <c r="L708" s="508"/>
      <c r="M708" s="510" t="s">
        <v>2853</v>
      </c>
      <c r="N708" s="510" t="s">
        <v>2088</v>
      </c>
      <c r="O708" s="511">
        <v>43928</v>
      </c>
      <c r="P708" s="510" t="s">
        <v>3061</v>
      </c>
      <c r="Q708" s="510" t="s">
        <v>2829</v>
      </c>
      <c r="R708" s="512"/>
      <c r="S708" s="513" t="e">
        <f>Table1372[[#This Row],[DATE  CLOSED]]-Table1372[[#This Row],[INITIATION DATE]]</f>
        <v>#VALUE!</v>
      </c>
    </row>
    <row r="709" spans="1:19" ht="38.25" x14ac:dyDescent="0.2">
      <c r="A709" s="521" t="s">
        <v>5451</v>
      </c>
      <c r="B709" s="514">
        <v>43926</v>
      </c>
      <c r="C709" s="341" t="s">
        <v>5452</v>
      </c>
      <c r="D709" s="341" t="s">
        <v>3039</v>
      </c>
      <c r="E709" s="342" t="s">
        <v>2971</v>
      </c>
      <c r="F709" s="516">
        <v>1</v>
      </c>
      <c r="G709" s="342" t="s">
        <v>2841</v>
      </c>
      <c r="H709" s="342" t="s">
        <v>1461</v>
      </c>
      <c r="I709" s="342" t="s">
        <v>755</v>
      </c>
      <c r="J709" s="514">
        <v>43982</v>
      </c>
      <c r="K709" s="514"/>
      <c r="L709" s="514"/>
      <c r="M709" s="342" t="s">
        <v>2853</v>
      </c>
      <c r="N709" s="516" t="s">
        <v>2088</v>
      </c>
      <c r="O709" s="517">
        <v>43944</v>
      </c>
      <c r="P709" s="516" t="s">
        <v>3061</v>
      </c>
      <c r="Q709" s="516" t="s">
        <v>2829</v>
      </c>
      <c r="R709" s="518"/>
      <c r="S709" s="519" t="e">
        <f>Table1372[[#This Row],[DATE  CLOSED]]-Table1372[[#This Row],[INITIATION DATE]]</f>
        <v>#VALUE!</v>
      </c>
    </row>
    <row r="710" spans="1:19" ht="51" x14ac:dyDescent="0.2">
      <c r="A710" s="520" t="s">
        <v>5453</v>
      </c>
      <c r="B710" s="508">
        <v>43935</v>
      </c>
      <c r="C710" s="509" t="s">
        <v>5454</v>
      </c>
      <c r="D710" s="509" t="s">
        <v>5455</v>
      </c>
      <c r="E710" s="510" t="s">
        <v>3825</v>
      </c>
      <c r="F710" s="510">
        <v>1</v>
      </c>
      <c r="G710" s="510" t="s">
        <v>2828</v>
      </c>
      <c r="H710" s="510" t="s">
        <v>4232</v>
      </c>
      <c r="I710" s="510" t="s">
        <v>3211</v>
      </c>
      <c r="J710" s="508">
        <v>43982</v>
      </c>
      <c r="K710" s="508"/>
      <c r="L710" s="508"/>
      <c r="M710" s="510" t="s">
        <v>2853</v>
      </c>
      <c r="N710" s="510" t="s">
        <v>2088</v>
      </c>
      <c r="O710" s="511">
        <v>43963</v>
      </c>
      <c r="P710" s="510" t="s">
        <v>3061</v>
      </c>
      <c r="Q710" s="510" t="s">
        <v>2829</v>
      </c>
      <c r="R710" s="512"/>
      <c r="S710" s="513" t="e">
        <f>Table1372[[#This Row],[DATE  CLOSED]]-Table1372[[#This Row],[INITIATION DATE]]</f>
        <v>#VALUE!</v>
      </c>
    </row>
    <row r="711" spans="1:19" ht="38.25" x14ac:dyDescent="0.2">
      <c r="A711" s="521" t="s">
        <v>5456</v>
      </c>
      <c r="B711" s="514">
        <v>43936</v>
      </c>
      <c r="C711" s="341" t="s">
        <v>5457</v>
      </c>
      <c r="D711" s="341" t="s">
        <v>5458</v>
      </c>
      <c r="E711" s="342" t="s">
        <v>2971</v>
      </c>
      <c r="F711" s="516">
        <v>1</v>
      </c>
      <c r="G711" s="342" t="s">
        <v>2836</v>
      </c>
      <c r="H711" s="342" t="s">
        <v>685</v>
      </c>
      <c r="I711" s="342" t="s">
        <v>229</v>
      </c>
      <c r="J711" s="514">
        <v>43951</v>
      </c>
      <c r="K711" s="514"/>
      <c r="L711" s="514"/>
      <c r="M711" s="342" t="s">
        <v>2853</v>
      </c>
      <c r="N711" s="516" t="s">
        <v>2088</v>
      </c>
      <c r="O711" s="517">
        <v>43949</v>
      </c>
      <c r="P711" s="516" t="s">
        <v>3061</v>
      </c>
      <c r="Q711" s="516" t="s">
        <v>2829</v>
      </c>
      <c r="R711" s="518"/>
      <c r="S711" s="519" t="e">
        <f>Table1372[[#This Row],[DATE  CLOSED]]-Table1372[[#This Row],[INITIATION DATE]]</f>
        <v>#VALUE!</v>
      </c>
    </row>
    <row r="712" spans="1:19" ht="76.5" x14ac:dyDescent="0.2">
      <c r="A712" s="520" t="s">
        <v>5470</v>
      </c>
      <c r="B712" s="508">
        <v>43937</v>
      </c>
      <c r="C712" s="509" t="s">
        <v>5459</v>
      </c>
      <c r="D712" s="509" t="s">
        <v>5460</v>
      </c>
      <c r="E712" s="510" t="s">
        <v>2971</v>
      </c>
      <c r="F712" s="510">
        <v>1</v>
      </c>
      <c r="G712" s="510" t="s">
        <v>2828</v>
      </c>
      <c r="H712" s="510" t="s">
        <v>3842</v>
      </c>
      <c r="I712" s="510" t="s">
        <v>3211</v>
      </c>
      <c r="J712" s="508">
        <v>43982</v>
      </c>
      <c r="K712" s="508"/>
      <c r="L712" s="508"/>
      <c r="M712" s="510" t="s">
        <v>2853</v>
      </c>
      <c r="N712" s="510" t="s">
        <v>2088</v>
      </c>
      <c r="O712" s="511">
        <v>43971</v>
      </c>
      <c r="P712" s="510" t="s">
        <v>3061</v>
      </c>
      <c r="Q712" s="510" t="s">
        <v>2832</v>
      </c>
      <c r="R712" s="512"/>
      <c r="S712" s="513" t="e">
        <f>Table1372[[#This Row],[DATE  CLOSED]]-Table1372[[#This Row],[INITIATION DATE]]</f>
        <v>#VALUE!</v>
      </c>
    </row>
    <row r="713" spans="1:19" ht="51" x14ac:dyDescent="0.2">
      <c r="A713" s="340" t="s">
        <v>5919</v>
      </c>
      <c r="B713" s="514">
        <v>43937</v>
      </c>
      <c r="C713" s="515" t="s">
        <v>5461</v>
      </c>
      <c r="D713" s="515" t="s">
        <v>5462</v>
      </c>
      <c r="E713" s="516" t="s">
        <v>4256</v>
      </c>
      <c r="F713" s="516">
        <v>1</v>
      </c>
      <c r="G713" s="516" t="s">
        <v>2828</v>
      </c>
      <c r="H713" s="516" t="s">
        <v>4232</v>
      </c>
      <c r="I713" s="516" t="s">
        <v>3211</v>
      </c>
      <c r="J713" s="514">
        <v>43982</v>
      </c>
      <c r="K713" s="514"/>
      <c r="L713" s="514"/>
      <c r="M713" s="516" t="s">
        <v>2853</v>
      </c>
      <c r="N713" s="516" t="s">
        <v>2088</v>
      </c>
      <c r="O713" s="517">
        <v>43943</v>
      </c>
      <c r="P713" s="516" t="s">
        <v>3061</v>
      </c>
      <c r="Q713" s="516" t="s">
        <v>2829</v>
      </c>
      <c r="R713" s="518"/>
      <c r="S713" s="519" t="e">
        <f>Table1372[[#This Row],[DATE  CLOSED]]-Table1372[[#This Row],[INITIATION DATE]]</f>
        <v>#VALUE!</v>
      </c>
    </row>
    <row r="714" spans="1:19" ht="51" x14ac:dyDescent="0.2">
      <c r="A714" s="338" t="s">
        <v>5920</v>
      </c>
      <c r="B714" s="508">
        <v>43937</v>
      </c>
      <c r="C714" s="509" t="s">
        <v>5465</v>
      </c>
      <c r="D714" s="509" t="s">
        <v>5466</v>
      </c>
      <c r="E714" s="510" t="s">
        <v>4610</v>
      </c>
      <c r="F714" s="510">
        <v>1</v>
      </c>
      <c r="G714" s="510" t="s">
        <v>2828</v>
      </c>
      <c r="H714" s="510" t="s">
        <v>4021</v>
      </c>
      <c r="I714" s="510" t="s">
        <v>3211</v>
      </c>
      <c r="J714" s="508">
        <v>43982</v>
      </c>
      <c r="K714" s="508"/>
      <c r="L714" s="508"/>
      <c r="M714" s="510" t="s">
        <v>2853</v>
      </c>
      <c r="N714" s="510" t="s">
        <v>2088</v>
      </c>
      <c r="O714" s="511">
        <v>43941</v>
      </c>
      <c r="P714" s="510" t="s">
        <v>3061</v>
      </c>
      <c r="Q714" s="510" t="s">
        <v>2829</v>
      </c>
      <c r="R714" s="512"/>
      <c r="S714" s="513" t="e">
        <f>Table1372[[#This Row],[DATE  CLOSED]]-Table1372[[#This Row],[INITIATION DATE]]</f>
        <v>#VALUE!</v>
      </c>
    </row>
    <row r="715" spans="1:19" ht="51" x14ac:dyDescent="0.2">
      <c r="A715" s="521" t="s">
        <v>5467</v>
      </c>
      <c r="B715" s="514">
        <v>43941</v>
      </c>
      <c r="C715" s="515" t="s">
        <v>5468</v>
      </c>
      <c r="D715" s="515" t="s">
        <v>5469</v>
      </c>
      <c r="E715" s="516" t="s">
        <v>3386</v>
      </c>
      <c r="F715" s="516">
        <v>1</v>
      </c>
      <c r="G715" s="516" t="s">
        <v>2828</v>
      </c>
      <c r="H715" s="516" t="s">
        <v>4079</v>
      </c>
      <c r="I715" s="342" t="s">
        <v>3926</v>
      </c>
      <c r="J715" s="514">
        <v>43982</v>
      </c>
      <c r="K715" s="345"/>
      <c r="L715" s="345"/>
      <c r="M715" s="516" t="s">
        <v>2853</v>
      </c>
      <c r="N715" s="342" t="s">
        <v>2088</v>
      </c>
      <c r="O715" s="517">
        <v>43977</v>
      </c>
      <c r="P715" s="516" t="s">
        <v>3061</v>
      </c>
      <c r="Q715" s="516" t="s">
        <v>2832</v>
      </c>
      <c r="R715" s="518"/>
      <c r="S715" s="519" t="e">
        <f>Table1372[[#This Row],[DATE  CLOSED]]-Table1372[[#This Row],[INITIATION DATE]]</f>
        <v>#VALUE!</v>
      </c>
    </row>
    <row r="716" spans="1:19" ht="25.5" x14ac:dyDescent="0.2">
      <c r="A716" s="520" t="s">
        <v>5471</v>
      </c>
      <c r="B716" s="508">
        <v>43949</v>
      </c>
      <c r="C716" s="509" t="s">
        <v>5474</v>
      </c>
      <c r="D716" s="509" t="s">
        <v>5473</v>
      </c>
      <c r="E716" s="510" t="s">
        <v>2971</v>
      </c>
      <c r="F716" s="510">
        <v>1</v>
      </c>
      <c r="G716" s="510" t="s">
        <v>2838</v>
      </c>
      <c r="H716" s="510" t="s">
        <v>685</v>
      </c>
      <c r="I716" s="510" t="s">
        <v>229</v>
      </c>
      <c r="J716" s="508">
        <v>43982</v>
      </c>
      <c r="K716" s="508"/>
      <c r="L716" s="508"/>
      <c r="M716" s="510" t="s">
        <v>2853</v>
      </c>
      <c r="N716" s="510" t="s">
        <v>2088</v>
      </c>
      <c r="O716" s="511">
        <v>43950</v>
      </c>
      <c r="P716" s="510" t="s">
        <v>3061</v>
      </c>
      <c r="Q716" s="510" t="s">
        <v>2829</v>
      </c>
      <c r="R716" s="512"/>
      <c r="S716" s="513" t="e">
        <f>Table1372[[#This Row],[DATE  CLOSED]]-Table1372[[#This Row],[INITIATION DATE]]</f>
        <v>#VALUE!</v>
      </c>
    </row>
    <row r="717" spans="1:19" ht="25.5" x14ac:dyDescent="0.2">
      <c r="A717" s="521" t="s">
        <v>5472</v>
      </c>
      <c r="B717" s="514">
        <v>43949</v>
      </c>
      <c r="C717" s="515" t="s">
        <v>5474</v>
      </c>
      <c r="D717" s="515" t="s">
        <v>5475</v>
      </c>
      <c r="E717" s="516" t="s">
        <v>2971</v>
      </c>
      <c r="F717" s="516">
        <v>1</v>
      </c>
      <c r="G717" s="516" t="s">
        <v>2838</v>
      </c>
      <c r="H717" s="516" t="s">
        <v>685</v>
      </c>
      <c r="I717" s="516" t="s">
        <v>229</v>
      </c>
      <c r="J717" s="514">
        <v>43982</v>
      </c>
      <c r="K717" s="514"/>
      <c r="L717" s="514"/>
      <c r="M717" s="516" t="s">
        <v>2853</v>
      </c>
      <c r="N717" s="516" t="s">
        <v>2088</v>
      </c>
      <c r="O717" s="517">
        <v>43950</v>
      </c>
      <c r="P717" s="516" t="s">
        <v>3061</v>
      </c>
      <c r="Q717" s="516" t="s">
        <v>2829</v>
      </c>
      <c r="R717" s="518"/>
      <c r="S717" s="519" t="e">
        <f>Table1372[[#This Row],[DATE  CLOSED]]-Table1372[[#This Row],[INITIATION DATE]]</f>
        <v>#VALUE!</v>
      </c>
    </row>
    <row r="718" spans="1:19" ht="89.25" x14ac:dyDescent="0.2">
      <c r="A718" s="520" t="s">
        <v>5476</v>
      </c>
      <c r="B718" s="508">
        <v>43949</v>
      </c>
      <c r="C718" s="343" t="s">
        <v>5477</v>
      </c>
      <c r="D718" s="509" t="s">
        <v>3039</v>
      </c>
      <c r="E718" s="510" t="s">
        <v>2971</v>
      </c>
      <c r="F718" s="510">
        <v>1</v>
      </c>
      <c r="G718" s="510" t="s">
        <v>2841</v>
      </c>
      <c r="H718" s="510" t="s">
        <v>4079</v>
      </c>
      <c r="I718" s="510" t="s">
        <v>3211</v>
      </c>
      <c r="J718" s="508">
        <v>44043</v>
      </c>
      <c r="K718" s="508"/>
      <c r="L718" s="508"/>
      <c r="M718" s="510" t="s">
        <v>2853</v>
      </c>
      <c r="N718" s="510" t="s">
        <v>3061</v>
      </c>
      <c r="O718" s="511">
        <v>44018</v>
      </c>
      <c r="P718" s="344" t="s">
        <v>3061</v>
      </c>
      <c r="Q718" s="510" t="s">
        <v>2832</v>
      </c>
      <c r="R718" s="512"/>
      <c r="S718" s="513" t="e">
        <f>Table1372[[#This Row],[DATE  CLOSED]]-Table1372[[#This Row],[INITIATION DATE]]</f>
        <v>#VALUE!</v>
      </c>
    </row>
    <row r="719" spans="1:19" ht="38.25" x14ac:dyDescent="0.2">
      <c r="A719" s="340" t="s">
        <v>5478</v>
      </c>
      <c r="B719" s="514">
        <v>43951</v>
      </c>
      <c r="C719" s="341" t="s">
        <v>5479</v>
      </c>
      <c r="D719" s="341" t="s">
        <v>5480</v>
      </c>
      <c r="E719" s="342" t="s">
        <v>4610</v>
      </c>
      <c r="F719" s="516">
        <v>1</v>
      </c>
      <c r="G719" s="342" t="s">
        <v>2828</v>
      </c>
      <c r="H719" s="342" t="s">
        <v>3211</v>
      </c>
      <c r="I719" s="342" t="s">
        <v>229</v>
      </c>
      <c r="J719" s="514">
        <v>43982</v>
      </c>
      <c r="K719" s="514"/>
      <c r="L719" s="514"/>
      <c r="M719" s="342" t="s">
        <v>2853</v>
      </c>
      <c r="N719" s="516" t="s">
        <v>2088</v>
      </c>
      <c r="O719" s="517">
        <v>43956</v>
      </c>
      <c r="P719" s="516" t="s">
        <v>3061</v>
      </c>
      <c r="Q719" s="516" t="s">
        <v>2829</v>
      </c>
      <c r="R719" s="518"/>
      <c r="S719" s="519" t="e">
        <f>Table1372[[#This Row],[DATE  CLOSED]]-Table1372[[#This Row],[INITIATION DATE]]</f>
        <v>#VALUE!</v>
      </c>
    </row>
    <row r="720" spans="1:19" ht="76.5" x14ac:dyDescent="0.2">
      <c r="A720" s="520" t="s">
        <v>5481</v>
      </c>
      <c r="B720" s="508">
        <v>43951</v>
      </c>
      <c r="C720" s="509" t="s">
        <v>5482</v>
      </c>
      <c r="D720" s="509" t="s">
        <v>5483</v>
      </c>
      <c r="E720" s="510" t="s">
        <v>3825</v>
      </c>
      <c r="F720" s="510">
        <v>1</v>
      </c>
      <c r="G720" s="510" t="s">
        <v>2840</v>
      </c>
      <c r="H720" s="510" t="s">
        <v>3747</v>
      </c>
      <c r="I720" s="510" t="s">
        <v>755</v>
      </c>
      <c r="J720" s="508">
        <v>43982</v>
      </c>
      <c r="K720" s="508"/>
      <c r="L720" s="508"/>
      <c r="M720" s="510" t="s">
        <v>2853</v>
      </c>
      <c r="N720" s="510" t="s">
        <v>2088</v>
      </c>
      <c r="O720" s="511">
        <v>43951</v>
      </c>
      <c r="P720" s="510" t="s">
        <v>3061</v>
      </c>
      <c r="Q720" s="510" t="s">
        <v>2829</v>
      </c>
      <c r="R720" s="512"/>
      <c r="S720" s="513" t="e">
        <f>Table1372[[#This Row],[DATE  CLOSED]]-Table1372[[#This Row],[INITIATION DATE]]</f>
        <v>#VALUE!</v>
      </c>
    </row>
    <row r="721" spans="1:19" ht="63.75" x14ac:dyDescent="0.2">
      <c r="A721" s="521" t="s">
        <v>5484</v>
      </c>
      <c r="B721" s="514">
        <v>43955</v>
      </c>
      <c r="C721" s="515" t="s">
        <v>5485</v>
      </c>
      <c r="D721" s="515" t="s">
        <v>5486</v>
      </c>
      <c r="E721" s="516" t="s">
        <v>2971</v>
      </c>
      <c r="F721" s="516">
        <v>1</v>
      </c>
      <c r="G721" s="516" t="s">
        <v>2840</v>
      </c>
      <c r="H721" s="516" t="s">
        <v>441</v>
      </c>
      <c r="I721" s="516" t="s">
        <v>755</v>
      </c>
      <c r="J721" s="514">
        <v>43982</v>
      </c>
      <c r="K721" s="514"/>
      <c r="L721" s="514"/>
      <c r="M721" s="516" t="s">
        <v>2853</v>
      </c>
      <c r="N721" s="516" t="s">
        <v>2088</v>
      </c>
      <c r="O721" s="517">
        <v>43955</v>
      </c>
      <c r="P721" s="516" t="s">
        <v>3061</v>
      </c>
      <c r="Q721" s="516" t="s">
        <v>2829</v>
      </c>
      <c r="R721" s="518" t="s">
        <v>5080</v>
      </c>
      <c r="S721" s="519" t="e">
        <f>Table1372[[#This Row],[DATE  CLOSED]]-Table1372[[#This Row],[INITIATION DATE]]</f>
        <v>#VALUE!</v>
      </c>
    </row>
    <row r="722" spans="1:19" ht="51" x14ac:dyDescent="0.2">
      <c r="A722" s="520" t="s">
        <v>5487</v>
      </c>
      <c r="B722" s="508">
        <v>43956</v>
      </c>
      <c r="C722" s="509" t="s">
        <v>5488</v>
      </c>
      <c r="D722" s="509" t="s">
        <v>5489</v>
      </c>
      <c r="E722" s="510" t="s">
        <v>2971</v>
      </c>
      <c r="F722" s="510">
        <v>1</v>
      </c>
      <c r="G722" s="510" t="s">
        <v>2841</v>
      </c>
      <c r="H722" s="510" t="s">
        <v>4232</v>
      </c>
      <c r="I722" s="510" t="s">
        <v>3211</v>
      </c>
      <c r="J722" s="508">
        <v>44196</v>
      </c>
      <c r="K722" s="508"/>
      <c r="L722" s="508"/>
      <c r="M722" s="510" t="s">
        <v>2853</v>
      </c>
      <c r="N722" s="510" t="s">
        <v>2088</v>
      </c>
      <c r="O722" s="511">
        <v>44187</v>
      </c>
      <c r="P722" s="510" t="s">
        <v>3061</v>
      </c>
      <c r="Q722" s="510" t="s">
        <v>2837</v>
      </c>
      <c r="R722" s="512" t="s">
        <v>5080</v>
      </c>
      <c r="S722" s="513" t="e">
        <f>Table1372[[#This Row],[DATE  CLOSED]]-Table1372[[#This Row],[INITIATION DATE]]</f>
        <v>#VALUE!</v>
      </c>
    </row>
    <row r="723" spans="1:19" ht="63.75" x14ac:dyDescent="0.2">
      <c r="A723" s="521" t="s">
        <v>5490</v>
      </c>
      <c r="B723" s="514">
        <v>43960</v>
      </c>
      <c r="C723" s="515" t="s">
        <v>5491</v>
      </c>
      <c r="D723" s="515" t="s">
        <v>5492</v>
      </c>
      <c r="E723" s="516" t="s">
        <v>2971</v>
      </c>
      <c r="F723" s="516">
        <v>1</v>
      </c>
      <c r="G723" s="516" t="s">
        <v>2840</v>
      </c>
      <c r="H723" s="516" t="s">
        <v>2106</v>
      </c>
      <c r="I723" s="516" t="s">
        <v>229</v>
      </c>
      <c r="J723" s="514">
        <v>44012</v>
      </c>
      <c r="K723" s="514"/>
      <c r="L723" s="514"/>
      <c r="M723" s="516" t="s">
        <v>2853</v>
      </c>
      <c r="N723" s="516" t="s">
        <v>2088</v>
      </c>
      <c r="O723" s="517">
        <v>43992</v>
      </c>
      <c r="P723" s="516" t="s">
        <v>3061</v>
      </c>
      <c r="Q723" s="516" t="s">
        <v>2829</v>
      </c>
      <c r="R723" s="518"/>
      <c r="S723" s="519" t="e">
        <f>Table1372[[#This Row],[DATE  CLOSED]]-Table1372[[#This Row],[INITIATION DATE]]</f>
        <v>#VALUE!</v>
      </c>
    </row>
    <row r="724" spans="1:19" ht="63.75" x14ac:dyDescent="0.2">
      <c r="A724" s="520" t="s">
        <v>5493</v>
      </c>
      <c r="B724" s="508">
        <v>43960</v>
      </c>
      <c r="C724" s="509" t="s">
        <v>5495</v>
      </c>
      <c r="D724" s="509" t="s">
        <v>5494</v>
      </c>
      <c r="E724" s="510" t="s">
        <v>2971</v>
      </c>
      <c r="F724" s="510">
        <v>1</v>
      </c>
      <c r="G724" s="510" t="s">
        <v>2840</v>
      </c>
      <c r="H724" s="510" t="s">
        <v>441</v>
      </c>
      <c r="I724" s="510" t="s">
        <v>229</v>
      </c>
      <c r="J724" s="508">
        <v>43982</v>
      </c>
      <c r="K724" s="508"/>
      <c r="L724" s="508"/>
      <c r="M724" s="510" t="s">
        <v>2853</v>
      </c>
      <c r="N724" s="510" t="s">
        <v>2088</v>
      </c>
      <c r="O724" s="511">
        <v>43979</v>
      </c>
      <c r="P724" s="510" t="s">
        <v>3061</v>
      </c>
      <c r="Q724" s="510" t="s">
        <v>2829</v>
      </c>
      <c r="R724" s="512"/>
      <c r="S724" s="513" t="e">
        <f>Table1372[[#This Row],[DATE  CLOSED]]-Table1372[[#This Row],[INITIATION DATE]]</f>
        <v>#VALUE!</v>
      </c>
    </row>
    <row r="725" spans="1:19" ht="51" x14ac:dyDescent="0.2">
      <c r="A725" s="340" t="s">
        <v>5496</v>
      </c>
      <c r="B725" s="514">
        <v>43965</v>
      </c>
      <c r="C725" s="341" t="s">
        <v>5498</v>
      </c>
      <c r="D725" s="341" t="s">
        <v>5497</v>
      </c>
      <c r="E725" s="342" t="s">
        <v>3386</v>
      </c>
      <c r="F725" s="516">
        <v>1</v>
      </c>
      <c r="G725" s="342" t="s">
        <v>2828</v>
      </c>
      <c r="H725" s="342" t="s">
        <v>3842</v>
      </c>
      <c r="I725" s="342" t="s">
        <v>3211</v>
      </c>
      <c r="J725" s="514">
        <v>43982</v>
      </c>
      <c r="K725" s="514"/>
      <c r="L725" s="514"/>
      <c r="M725" s="342" t="s">
        <v>2853</v>
      </c>
      <c r="N725" s="516" t="s">
        <v>2088</v>
      </c>
      <c r="O725" s="517">
        <v>43965</v>
      </c>
      <c r="P725" s="516" t="s">
        <v>3061</v>
      </c>
      <c r="Q725" s="516" t="s">
        <v>2829</v>
      </c>
      <c r="R725" s="518"/>
      <c r="S725" s="519" t="e">
        <f>Table1372[[#This Row],[DATE  CLOSED]]-Table1372[[#This Row],[INITIATION DATE]]</f>
        <v>#VALUE!</v>
      </c>
    </row>
    <row r="726" spans="1:19" ht="89.25" x14ac:dyDescent="0.2">
      <c r="A726" s="338" t="s">
        <v>5499</v>
      </c>
      <c r="B726" s="508">
        <v>43968</v>
      </c>
      <c r="C726" s="509" t="s">
        <v>5500</v>
      </c>
      <c r="D726" s="509" t="s">
        <v>5501</v>
      </c>
      <c r="E726" s="510" t="s">
        <v>2971</v>
      </c>
      <c r="F726" s="510">
        <v>1</v>
      </c>
      <c r="G726" s="510" t="s">
        <v>2841</v>
      </c>
      <c r="H726" s="510" t="s">
        <v>229</v>
      </c>
      <c r="I726" s="510" t="s">
        <v>4261</v>
      </c>
      <c r="J726" s="508">
        <v>43982</v>
      </c>
      <c r="K726" s="508"/>
      <c r="L726" s="508"/>
      <c r="M726" s="510" t="s">
        <v>2853</v>
      </c>
      <c r="N726" s="510" t="s">
        <v>2088</v>
      </c>
      <c r="O726" s="511">
        <v>43992</v>
      </c>
      <c r="P726" s="510" t="s">
        <v>3061</v>
      </c>
      <c r="Q726" s="510" t="s">
        <v>2829</v>
      </c>
      <c r="R726" s="512"/>
      <c r="S726" s="513" t="e">
        <f>Table1372[[#This Row],[DATE  CLOSED]]-Table1372[[#This Row],[INITIATION DATE]]</f>
        <v>#VALUE!</v>
      </c>
    </row>
    <row r="727" spans="1:19" ht="76.5" x14ac:dyDescent="0.2">
      <c r="A727" s="340" t="s">
        <v>5502</v>
      </c>
      <c r="B727" s="514">
        <v>43968</v>
      </c>
      <c r="C727" s="515" t="s">
        <v>5503</v>
      </c>
      <c r="D727" s="341" t="s">
        <v>5392</v>
      </c>
      <c r="E727" s="516" t="s">
        <v>2971</v>
      </c>
      <c r="F727" s="516">
        <v>1</v>
      </c>
      <c r="G727" s="516" t="s">
        <v>2841</v>
      </c>
      <c r="H727" s="516" t="s">
        <v>2282</v>
      </c>
      <c r="I727" s="516" t="s">
        <v>229</v>
      </c>
      <c r="J727" s="514">
        <v>43982</v>
      </c>
      <c r="K727" s="514"/>
      <c r="L727" s="514"/>
      <c r="M727" s="516" t="s">
        <v>2853</v>
      </c>
      <c r="N727" s="516" t="s">
        <v>2088</v>
      </c>
      <c r="O727" s="517">
        <v>43992</v>
      </c>
      <c r="P727" s="516" t="s">
        <v>3061</v>
      </c>
      <c r="Q727" s="516" t="s">
        <v>2829</v>
      </c>
      <c r="R727" s="518"/>
      <c r="S727" s="519" t="e">
        <f>Table1372[[#This Row],[DATE  CLOSED]]-Table1372[[#This Row],[INITIATION DATE]]</f>
        <v>#VALUE!</v>
      </c>
    </row>
    <row r="728" spans="1:19" ht="38.25" x14ac:dyDescent="0.2">
      <c r="A728" s="338" t="s">
        <v>5504</v>
      </c>
      <c r="B728" s="508">
        <v>43969</v>
      </c>
      <c r="C728" s="509" t="s">
        <v>5505</v>
      </c>
      <c r="D728" s="509" t="s">
        <v>5506</v>
      </c>
      <c r="E728" s="510" t="s">
        <v>2971</v>
      </c>
      <c r="F728" s="510">
        <v>1</v>
      </c>
      <c r="G728" s="510" t="s">
        <v>2841</v>
      </c>
      <c r="H728" s="510" t="s">
        <v>229</v>
      </c>
      <c r="I728" s="510" t="s">
        <v>4261</v>
      </c>
      <c r="J728" s="508">
        <v>43982</v>
      </c>
      <c r="K728" s="508"/>
      <c r="L728" s="508"/>
      <c r="M728" s="510" t="s">
        <v>2853</v>
      </c>
      <c r="N728" s="510" t="s">
        <v>2088</v>
      </c>
      <c r="O728" s="511">
        <v>43986</v>
      </c>
      <c r="P728" s="510" t="s">
        <v>3061</v>
      </c>
      <c r="Q728" s="510" t="s">
        <v>2829</v>
      </c>
      <c r="R728" s="512"/>
      <c r="S728" s="513" t="e">
        <f>Table1372[[#This Row],[DATE  CLOSED]]-Table1372[[#This Row],[INITIATION DATE]]</f>
        <v>#VALUE!</v>
      </c>
    </row>
    <row r="729" spans="1:19" ht="114.75" x14ac:dyDescent="0.2">
      <c r="A729" s="340" t="s">
        <v>5507</v>
      </c>
      <c r="B729" s="514">
        <v>43969</v>
      </c>
      <c r="C729" s="515" t="s">
        <v>5509</v>
      </c>
      <c r="D729" s="515" t="s">
        <v>5510</v>
      </c>
      <c r="E729" s="516" t="s">
        <v>2971</v>
      </c>
      <c r="F729" s="516">
        <v>1</v>
      </c>
      <c r="G729" s="516" t="s">
        <v>2841</v>
      </c>
      <c r="H729" s="516" t="s">
        <v>229</v>
      </c>
      <c r="I729" s="516" t="s">
        <v>4261</v>
      </c>
      <c r="J729" s="514">
        <v>43982</v>
      </c>
      <c r="K729" s="514"/>
      <c r="L729" s="514"/>
      <c r="M729" s="516" t="s">
        <v>2853</v>
      </c>
      <c r="N729" s="516" t="s">
        <v>2088</v>
      </c>
      <c r="O729" s="517">
        <v>43993</v>
      </c>
      <c r="P729" s="516" t="s">
        <v>3061</v>
      </c>
      <c r="Q729" s="516" t="s">
        <v>2829</v>
      </c>
      <c r="R729" s="518"/>
      <c r="S729" s="519" t="e">
        <f>Table1372[[#This Row],[DATE  CLOSED]]-Table1372[[#This Row],[INITIATION DATE]]</f>
        <v>#VALUE!</v>
      </c>
    </row>
    <row r="730" spans="1:19" ht="38.25" x14ac:dyDescent="0.2">
      <c r="A730" s="338" t="s">
        <v>5508</v>
      </c>
      <c r="B730" s="508">
        <v>43969</v>
      </c>
      <c r="C730" s="509" t="s">
        <v>5511</v>
      </c>
      <c r="D730" s="509" t="s">
        <v>5506</v>
      </c>
      <c r="E730" s="510" t="s">
        <v>2971</v>
      </c>
      <c r="F730" s="510">
        <v>1</v>
      </c>
      <c r="G730" s="510" t="s">
        <v>2841</v>
      </c>
      <c r="H730" s="510" t="s">
        <v>229</v>
      </c>
      <c r="I730" s="510" t="s">
        <v>755</v>
      </c>
      <c r="J730" s="508">
        <v>44012</v>
      </c>
      <c r="K730" s="508"/>
      <c r="L730" s="508"/>
      <c r="M730" s="510" t="s">
        <v>2853</v>
      </c>
      <c r="N730" s="510" t="s">
        <v>2088</v>
      </c>
      <c r="O730" s="511">
        <v>44007</v>
      </c>
      <c r="P730" s="510" t="s">
        <v>3061</v>
      </c>
      <c r="Q730" s="510" t="s">
        <v>2832</v>
      </c>
      <c r="R730" s="512" t="s">
        <v>5080</v>
      </c>
      <c r="S730" s="513" t="e">
        <f>Table1372[[#This Row],[DATE  CLOSED]]-Table1372[[#This Row],[INITIATION DATE]]</f>
        <v>#VALUE!</v>
      </c>
    </row>
    <row r="731" spans="1:19" ht="102" x14ac:dyDescent="0.2">
      <c r="A731" s="340" t="s">
        <v>5512</v>
      </c>
      <c r="B731" s="514">
        <v>43977</v>
      </c>
      <c r="C731" s="341" t="s">
        <v>5513</v>
      </c>
      <c r="D731" s="341" t="s">
        <v>5514</v>
      </c>
      <c r="E731" s="342" t="s">
        <v>2971</v>
      </c>
      <c r="F731" s="516">
        <v>1</v>
      </c>
      <c r="G731" s="342" t="s">
        <v>2840</v>
      </c>
      <c r="H731" s="342" t="s">
        <v>229</v>
      </c>
      <c r="I731" s="342" t="s">
        <v>755</v>
      </c>
      <c r="J731" s="514">
        <v>43982</v>
      </c>
      <c r="K731" s="514"/>
      <c r="L731" s="514"/>
      <c r="M731" s="342" t="s">
        <v>2853</v>
      </c>
      <c r="N731" s="516" t="s">
        <v>2088</v>
      </c>
      <c r="O731" s="517">
        <v>43981</v>
      </c>
      <c r="P731" s="516" t="s">
        <v>3061</v>
      </c>
      <c r="Q731" s="516" t="s">
        <v>2829</v>
      </c>
      <c r="R731" s="518" t="s">
        <v>5080</v>
      </c>
      <c r="S731" s="519" t="e">
        <f>Table1372[[#This Row],[DATE  CLOSED]]-Table1372[[#This Row],[INITIATION DATE]]</f>
        <v>#VALUE!</v>
      </c>
    </row>
    <row r="732" spans="1:19" ht="102" x14ac:dyDescent="0.2">
      <c r="A732" s="338" t="s">
        <v>5515</v>
      </c>
      <c r="B732" s="508">
        <v>43980</v>
      </c>
      <c r="C732" s="509" t="s">
        <v>5517</v>
      </c>
      <c r="D732" s="509" t="s">
        <v>5516</v>
      </c>
      <c r="E732" s="510" t="s">
        <v>2971</v>
      </c>
      <c r="F732" s="510">
        <v>1</v>
      </c>
      <c r="G732" s="510" t="s">
        <v>2838</v>
      </c>
      <c r="H732" s="510" t="s">
        <v>685</v>
      </c>
      <c r="I732" s="510" t="s">
        <v>229</v>
      </c>
      <c r="J732" s="508">
        <v>44012</v>
      </c>
      <c r="K732" s="508"/>
      <c r="L732" s="508"/>
      <c r="M732" s="510" t="s">
        <v>2853</v>
      </c>
      <c r="N732" s="510" t="s">
        <v>2088</v>
      </c>
      <c r="O732" s="511">
        <v>43980</v>
      </c>
      <c r="P732" s="510" t="s">
        <v>3061</v>
      </c>
      <c r="Q732" s="510" t="s">
        <v>2832</v>
      </c>
      <c r="R732" s="512" t="s">
        <v>5080</v>
      </c>
      <c r="S732" s="513" t="e">
        <f>Table1372[[#This Row],[DATE  CLOSED]]-Table1372[[#This Row],[INITIATION DATE]]</f>
        <v>#VALUE!</v>
      </c>
    </row>
    <row r="733" spans="1:19" ht="153" x14ac:dyDescent="0.2">
      <c r="A733" s="340" t="s">
        <v>5518</v>
      </c>
      <c r="B733" s="514">
        <v>43980</v>
      </c>
      <c r="C733" s="515" t="s">
        <v>5519</v>
      </c>
      <c r="D733" s="515" t="s">
        <v>5520</v>
      </c>
      <c r="E733" s="516" t="s">
        <v>2971</v>
      </c>
      <c r="F733" s="516">
        <v>1</v>
      </c>
      <c r="G733" s="516" t="s">
        <v>2838</v>
      </c>
      <c r="H733" s="516" t="s">
        <v>685</v>
      </c>
      <c r="I733" s="516" t="s">
        <v>229</v>
      </c>
      <c r="J733" s="514">
        <v>44012</v>
      </c>
      <c r="K733" s="514"/>
      <c r="L733" s="514"/>
      <c r="M733" s="516" t="s">
        <v>2853</v>
      </c>
      <c r="N733" s="516" t="s">
        <v>2088</v>
      </c>
      <c r="O733" s="517">
        <v>44012</v>
      </c>
      <c r="P733" s="516" t="s">
        <v>3061</v>
      </c>
      <c r="Q733" s="516" t="s">
        <v>2832</v>
      </c>
      <c r="R733" s="518" t="s">
        <v>5080</v>
      </c>
      <c r="S733" s="519" t="e">
        <f>Table1372[[#This Row],[DATE  CLOSED]]-Table1372[[#This Row],[INITIATION DATE]]</f>
        <v>#VALUE!</v>
      </c>
    </row>
    <row r="734" spans="1:19" ht="38.25" x14ac:dyDescent="0.2">
      <c r="A734" s="338" t="s">
        <v>5521</v>
      </c>
      <c r="B734" s="508">
        <v>43984</v>
      </c>
      <c r="C734" s="509" t="s">
        <v>5522</v>
      </c>
      <c r="D734" s="509" t="s">
        <v>5523</v>
      </c>
      <c r="E734" s="510" t="s">
        <v>2971</v>
      </c>
      <c r="F734" s="510">
        <v>1</v>
      </c>
      <c r="G734" s="510" t="s">
        <v>2841</v>
      </c>
      <c r="H734" s="510" t="s">
        <v>229</v>
      </c>
      <c r="I734" s="510" t="s">
        <v>755</v>
      </c>
      <c r="J734" s="508">
        <v>44012</v>
      </c>
      <c r="K734" s="508"/>
      <c r="L734" s="508"/>
      <c r="M734" s="510" t="s">
        <v>2853</v>
      </c>
      <c r="N734" s="510" t="s">
        <v>2088</v>
      </c>
      <c r="O734" s="511">
        <v>44000</v>
      </c>
      <c r="P734" s="510" t="s">
        <v>3061</v>
      </c>
      <c r="Q734" s="510" t="s">
        <v>2829</v>
      </c>
      <c r="R734" s="512" t="s">
        <v>5080</v>
      </c>
      <c r="S734" s="513" t="e">
        <f>Table1372[[#This Row],[DATE  CLOSED]]-Table1372[[#This Row],[INITIATION DATE]]</f>
        <v>#VALUE!</v>
      </c>
    </row>
    <row r="735" spans="1:19" ht="51" x14ac:dyDescent="0.2">
      <c r="A735" s="340" t="s">
        <v>5924</v>
      </c>
      <c r="B735" s="514">
        <v>43984</v>
      </c>
      <c r="C735" s="515" t="s">
        <v>5524</v>
      </c>
      <c r="D735" s="515" t="s">
        <v>5525</v>
      </c>
      <c r="E735" s="516" t="s">
        <v>3519</v>
      </c>
      <c r="F735" s="516">
        <v>1</v>
      </c>
      <c r="G735" s="516" t="s">
        <v>2828</v>
      </c>
      <c r="H735" s="516" t="s">
        <v>4079</v>
      </c>
      <c r="I735" s="516" t="s">
        <v>3211</v>
      </c>
      <c r="J735" s="514">
        <v>44043</v>
      </c>
      <c r="K735" s="514"/>
      <c r="L735" s="514"/>
      <c r="M735" s="516" t="s">
        <v>2853</v>
      </c>
      <c r="N735" s="516" t="s">
        <v>2088</v>
      </c>
      <c r="O735" s="517">
        <v>44018</v>
      </c>
      <c r="P735" s="516" t="s">
        <v>3061</v>
      </c>
      <c r="Q735" s="516" t="s">
        <v>2832</v>
      </c>
      <c r="R735" s="518" t="s">
        <v>5080</v>
      </c>
      <c r="S735" s="519" t="e">
        <f>Table1372[[#This Row],[DATE  CLOSED]]-Table1372[[#This Row],[INITIATION DATE]]</f>
        <v>#VALUE!</v>
      </c>
    </row>
    <row r="736" spans="1:19" ht="165.75" x14ac:dyDescent="0.2">
      <c r="A736" s="338" t="s">
        <v>5925</v>
      </c>
      <c r="B736" s="508">
        <v>43984</v>
      </c>
      <c r="C736" s="509" t="s">
        <v>5526</v>
      </c>
      <c r="D736" s="509" t="s">
        <v>5527</v>
      </c>
      <c r="E736" s="510" t="s">
        <v>2971</v>
      </c>
      <c r="F736" s="510">
        <v>1</v>
      </c>
      <c r="G736" s="510" t="s">
        <v>2841</v>
      </c>
      <c r="H736" s="510" t="s">
        <v>229</v>
      </c>
      <c r="I736" s="510" t="s">
        <v>755</v>
      </c>
      <c r="J736" s="508">
        <v>44012</v>
      </c>
      <c r="K736" s="508"/>
      <c r="L736" s="508"/>
      <c r="M736" s="510" t="s">
        <v>2853</v>
      </c>
      <c r="N736" s="510" t="s">
        <v>3022</v>
      </c>
      <c r="O736" s="511">
        <v>44032</v>
      </c>
      <c r="P736" s="510" t="s">
        <v>3022</v>
      </c>
      <c r="Q736" s="510" t="s">
        <v>2832</v>
      </c>
      <c r="R736" s="512" t="s">
        <v>5634</v>
      </c>
      <c r="S736" s="513" t="e">
        <f>Table1372[[#This Row],[DATE  CLOSED]]-Table1372[[#This Row],[INITIATION DATE]]</f>
        <v>#VALUE!</v>
      </c>
    </row>
    <row r="737" spans="1:19" ht="76.5" x14ac:dyDescent="0.2">
      <c r="A737" s="340" t="s">
        <v>5529</v>
      </c>
      <c r="B737" s="514">
        <v>43990</v>
      </c>
      <c r="C737" s="515" t="s">
        <v>5530</v>
      </c>
      <c r="D737" s="515" t="s">
        <v>5531</v>
      </c>
      <c r="E737" s="516" t="s">
        <v>3586</v>
      </c>
      <c r="F737" s="516">
        <v>1</v>
      </c>
      <c r="G737" s="516" t="s">
        <v>2840</v>
      </c>
      <c r="H737" s="516" t="s">
        <v>1339</v>
      </c>
      <c r="I737" s="516" t="s">
        <v>3645</v>
      </c>
      <c r="J737" s="514">
        <v>44020</v>
      </c>
      <c r="K737" s="514"/>
      <c r="L737" s="514"/>
      <c r="M737" s="516" t="s">
        <v>2853</v>
      </c>
      <c r="N737" s="516" t="s">
        <v>2088</v>
      </c>
      <c r="O737" s="517">
        <v>43995</v>
      </c>
      <c r="P737" s="516" t="s">
        <v>3061</v>
      </c>
      <c r="Q737" s="516" t="s">
        <v>2829</v>
      </c>
      <c r="R737" s="518" t="s">
        <v>5080</v>
      </c>
      <c r="S737" s="519" t="e">
        <f>Table1372[[#This Row],[DATE  CLOSED]]-Table1372[[#This Row],[INITIATION DATE]]</f>
        <v>#VALUE!</v>
      </c>
    </row>
    <row r="738" spans="1:19" ht="51" x14ac:dyDescent="0.2">
      <c r="A738" s="338" t="s">
        <v>5532</v>
      </c>
      <c r="B738" s="508">
        <v>43991</v>
      </c>
      <c r="C738" s="509" t="s">
        <v>5533</v>
      </c>
      <c r="D738" s="509" t="s">
        <v>5534</v>
      </c>
      <c r="E738" s="510" t="s">
        <v>4033</v>
      </c>
      <c r="F738" s="510">
        <v>1</v>
      </c>
      <c r="G738" s="510" t="s">
        <v>2828</v>
      </c>
      <c r="H738" s="510" t="s">
        <v>4232</v>
      </c>
      <c r="I738" s="510" t="s">
        <v>3926</v>
      </c>
      <c r="J738" s="508">
        <v>44043</v>
      </c>
      <c r="K738" s="508"/>
      <c r="L738" s="508"/>
      <c r="M738" s="510" t="s">
        <v>2853</v>
      </c>
      <c r="N738" s="510" t="s">
        <v>2088</v>
      </c>
      <c r="O738" s="511">
        <v>44019</v>
      </c>
      <c r="P738" s="510" t="s">
        <v>3061</v>
      </c>
      <c r="Q738" s="510" t="s">
        <v>2829</v>
      </c>
      <c r="R738" s="512" t="s">
        <v>5080</v>
      </c>
      <c r="S738" s="513" t="e">
        <f>Table1372[[#This Row],[DATE  CLOSED]]-Table1372[[#This Row],[INITIATION DATE]]</f>
        <v>#VALUE!</v>
      </c>
    </row>
    <row r="739" spans="1:19" ht="51" x14ac:dyDescent="0.2">
      <c r="A739" s="521" t="s">
        <v>5535</v>
      </c>
      <c r="B739" s="514">
        <v>43992</v>
      </c>
      <c r="C739" s="515" t="s">
        <v>5536</v>
      </c>
      <c r="D739" s="515" t="s">
        <v>5537</v>
      </c>
      <c r="E739" s="516" t="s">
        <v>3386</v>
      </c>
      <c r="F739" s="516">
        <v>1</v>
      </c>
      <c r="G739" s="516" t="s">
        <v>2828</v>
      </c>
      <c r="H739" s="516" t="s">
        <v>4079</v>
      </c>
      <c r="I739" s="516" t="s">
        <v>3211</v>
      </c>
      <c r="J739" s="514">
        <v>44043</v>
      </c>
      <c r="K739" s="514"/>
      <c r="L739" s="514"/>
      <c r="M739" s="516" t="s">
        <v>2853</v>
      </c>
      <c r="N739" s="516" t="s">
        <v>2088</v>
      </c>
      <c r="O739" s="517">
        <v>44006</v>
      </c>
      <c r="P739" s="516" t="s">
        <v>3061</v>
      </c>
      <c r="Q739" s="516" t="s">
        <v>2829</v>
      </c>
      <c r="R739" s="518" t="s">
        <v>5080</v>
      </c>
      <c r="S739" s="519" t="e">
        <f>Table1372[[#This Row],[DATE  CLOSED]]-Table1372[[#This Row],[INITIATION DATE]]</f>
        <v>#VALUE!</v>
      </c>
    </row>
    <row r="740" spans="1:19" ht="89.25" x14ac:dyDescent="0.2">
      <c r="A740" s="520" t="s">
        <v>5538</v>
      </c>
      <c r="B740" s="508">
        <v>43992</v>
      </c>
      <c r="C740" s="343" t="s">
        <v>5539</v>
      </c>
      <c r="D740" s="343" t="s">
        <v>5540</v>
      </c>
      <c r="E740" s="344" t="s">
        <v>3825</v>
      </c>
      <c r="F740" s="510">
        <v>1</v>
      </c>
      <c r="G740" s="344" t="s">
        <v>2828</v>
      </c>
      <c r="H740" s="344" t="s">
        <v>4232</v>
      </c>
      <c r="I740" s="344" t="s">
        <v>3211</v>
      </c>
      <c r="J740" s="508">
        <v>44012</v>
      </c>
      <c r="K740" s="508"/>
      <c r="L740" s="508"/>
      <c r="M740" s="344" t="s">
        <v>2853</v>
      </c>
      <c r="N740" s="510" t="s">
        <v>2088</v>
      </c>
      <c r="O740" s="511">
        <v>43999</v>
      </c>
      <c r="P740" s="510" t="s">
        <v>3061</v>
      </c>
      <c r="Q740" s="510" t="s">
        <v>2829</v>
      </c>
      <c r="R740" s="512" t="s">
        <v>5080</v>
      </c>
      <c r="S740" s="513" t="e">
        <f>Table1372[[#This Row],[DATE  CLOSED]]-Table1372[[#This Row],[INITIATION DATE]]</f>
        <v>#VALUE!</v>
      </c>
    </row>
    <row r="741" spans="1:19" ht="51" x14ac:dyDescent="0.2">
      <c r="A741" s="521" t="s">
        <v>5541</v>
      </c>
      <c r="B741" s="514">
        <v>43992</v>
      </c>
      <c r="C741" s="341" t="s">
        <v>5542</v>
      </c>
      <c r="D741" s="341" t="s">
        <v>5543</v>
      </c>
      <c r="E741" s="342" t="s">
        <v>2971</v>
      </c>
      <c r="F741" s="516">
        <v>1</v>
      </c>
      <c r="G741" s="342" t="s">
        <v>2840</v>
      </c>
      <c r="H741" s="342" t="s">
        <v>441</v>
      </c>
      <c r="I741" s="342" t="s">
        <v>229</v>
      </c>
      <c r="J741" s="514">
        <v>43998</v>
      </c>
      <c r="K741" s="514"/>
      <c r="L741" s="514"/>
      <c r="M741" s="342" t="s">
        <v>2853</v>
      </c>
      <c r="N741" s="516" t="s">
        <v>2088</v>
      </c>
      <c r="O741" s="517">
        <v>43998</v>
      </c>
      <c r="P741" s="516" t="s">
        <v>3061</v>
      </c>
      <c r="Q741" s="516" t="s">
        <v>2829</v>
      </c>
      <c r="R741" s="518" t="s">
        <v>5080</v>
      </c>
      <c r="S741" s="519" t="e">
        <f>Table1372[[#This Row],[DATE  CLOSED]]-Table1372[[#This Row],[INITIATION DATE]]</f>
        <v>#VALUE!</v>
      </c>
    </row>
    <row r="742" spans="1:19" ht="89.25" x14ac:dyDescent="0.2">
      <c r="A742" s="520" t="s">
        <v>5544</v>
      </c>
      <c r="B742" s="508">
        <v>43998</v>
      </c>
      <c r="C742" s="509" t="s">
        <v>5545</v>
      </c>
      <c r="D742" s="509" t="s">
        <v>5546</v>
      </c>
      <c r="E742" s="510" t="s">
        <v>3386</v>
      </c>
      <c r="F742" s="510">
        <v>1</v>
      </c>
      <c r="G742" s="510" t="s">
        <v>2828</v>
      </c>
      <c r="H742" s="510" t="s">
        <v>4079</v>
      </c>
      <c r="I742" s="510" t="s">
        <v>3211</v>
      </c>
      <c r="J742" s="508">
        <v>44043</v>
      </c>
      <c r="K742" s="508"/>
      <c r="L742" s="508"/>
      <c r="M742" s="510" t="s">
        <v>2853</v>
      </c>
      <c r="N742" s="510" t="s">
        <v>2088</v>
      </c>
      <c r="O742" s="511">
        <v>43999</v>
      </c>
      <c r="P742" s="510" t="s">
        <v>3061</v>
      </c>
      <c r="Q742" s="510" t="s">
        <v>2829</v>
      </c>
      <c r="R742" s="512" t="s">
        <v>5080</v>
      </c>
      <c r="S742" s="513" t="e">
        <f>Table1372[[#This Row],[DATE  CLOSED]]-Table1372[[#This Row],[INITIATION DATE]]</f>
        <v>#VALUE!</v>
      </c>
    </row>
    <row r="743" spans="1:19" ht="51" x14ac:dyDescent="0.2">
      <c r="A743" s="521" t="s">
        <v>5547</v>
      </c>
      <c r="B743" s="514">
        <v>43998</v>
      </c>
      <c r="C743" s="515" t="s">
        <v>5550</v>
      </c>
      <c r="D743" s="515" t="s">
        <v>5552</v>
      </c>
      <c r="E743" s="516" t="s">
        <v>4675</v>
      </c>
      <c r="F743" s="516">
        <v>1</v>
      </c>
      <c r="G743" s="516" t="s">
        <v>2828</v>
      </c>
      <c r="H743" s="516" t="s">
        <v>3423</v>
      </c>
      <c r="I743" s="516" t="s">
        <v>3926</v>
      </c>
      <c r="J743" s="514">
        <v>44043</v>
      </c>
      <c r="K743" s="514"/>
      <c r="L743" s="514"/>
      <c r="M743" s="516" t="s">
        <v>2853</v>
      </c>
      <c r="N743" s="516" t="s">
        <v>2088</v>
      </c>
      <c r="O743" s="517">
        <v>44020</v>
      </c>
      <c r="P743" s="516" t="s">
        <v>3061</v>
      </c>
      <c r="Q743" s="516" t="s">
        <v>2829</v>
      </c>
      <c r="R743" s="518" t="s">
        <v>5080</v>
      </c>
      <c r="S743" s="519" t="e">
        <f>Table1372[[#This Row],[DATE  CLOSED]]-Table1372[[#This Row],[INITIATION DATE]]</f>
        <v>#VALUE!</v>
      </c>
    </row>
    <row r="744" spans="1:19" ht="63.75" x14ac:dyDescent="0.2">
      <c r="A744" s="520" t="s">
        <v>5548</v>
      </c>
      <c r="B744" s="508">
        <v>43998</v>
      </c>
      <c r="C744" s="509" t="s">
        <v>5551</v>
      </c>
      <c r="D744" s="509" t="s">
        <v>5553</v>
      </c>
      <c r="E744" s="510" t="s">
        <v>4675</v>
      </c>
      <c r="F744" s="510">
        <v>1</v>
      </c>
      <c r="G744" s="510" t="s">
        <v>2828</v>
      </c>
      <c r="H744" s="510" t="s">
        <v>3423</v>
      </c>
      <c r="I744" s="510" t="s">
        <v>3926</v>
      </c>
      <c r="J744" s="508">
        <v>44043</v>
      </c>
      <c r="K744" s="508"/>
      <c r="L744" s="508"/>
      <c r="M744" s="510" t="s">
        <v>2853</v>
      </c>
      <c r="N744" s="510" t="s">
        <v>2088</v>
      </c>
      <c r="O744" s="511">
        <v>44020</v>
      </c>
      <c r="P744" s="510" t="s">
        <v>3061</v>
      </c>
      <c r="Q744" s="510" t="s">
        <v>2829</v>
      </c>
      <c r="R744" s="512" t="s">
        <v>5080</v>
      </c>
      <c r="S744" s="513" t="e">
        <f>Table1372[[#This Row],[DATE  CLOSED]]-Table1372[[#This Row],[INITIATION DATE]]</f>
        <v>#VALUE!</v>
      </c>
    </row>
    <row r="745" spans="1:19" ht="89.25" x14ac:dyDescent="0.2">
      <c r="A745" s="521" t="s">
        <v>5549</v>
      </c>
      <c r="B745" s="514">
        <v>43998</v>
      </c>
      <c r="C745" s="515" t="s">
        <v>5554</v>
      </c>
      <c r="D745" s="515" t="s">
        <v>3606</v>
      </c>
      <c r="E745" s="516" t="s">
        <v>4675</v>
      </c>
      <c r="F745" s="516">
        <v>1</v>
      </c>
      <c r="G745" s="516" t="s">
        <v>2828</v>
      </c>
      <c r="H745" s="516" t="s">
        <v>3423</v>
      </c>
      <c r="I745" s="516" t="s">
        <v>3926</v>
      </c>
      <c r="J745" s="514">
        <v>44043</v>
      </c>
      <c r="K745" s="514"/>
      <c r="L745" s="514"/>
      <c r="M745" s="516" t="s">
        <v>2853</v>
      </c>
      <c r="N745" s="516" t="s">
        <v>2088</v>
      </c>
      <c r="O745" s="517">
        <v>44020</v>
      </c>
      <c r="P745" s="516" t="s">
        <v>3061</v>
      </c>
      <c r="Q745" s="516" t="s">
        <v>2829</v>
      </c>
      <c r="R745" s="518" t="s">
        <v>5080</v>
      </c>
      <c r="S745" s="519" t="e">
        <f>Table1372[[#This Row],[DATE  CLOSED]]-Table1372[[#This Row],[INITIATION DATE]]</f>
        <v>#VALUE!</v>
      </c>
    </row>
    <row r="746" spans="1:19" ht="51" x14ac:dyDescent="0.2">
      <c r="A746" s="520" t="s">
        <v>5555</v>
      </c>
      <c r="B746" s="508">
        <v>44005</v>
      </c>
      <c r="C746" s="343" t="s">
        <v>5556</v>
      </c>
      <c r="D746" s="343" t="s">
        <v>5557</v>
      </c>
      <c r="E746" s="344" t="s">
        <v>2971</v>
      </c>
      <c r="F746" s="510">
        <v>1</v>
      </c>
      <c r="G746" s="344" t="s">
        <v>2841</v>
      </c>
      <c r="H746" s="344" t="s">
        <v>229</v>
      </c>
      <c r="I746" s="344" t="s">
        <v>755</v>
      </c>
      <c r="J746" s="508">
        <v>44043</v>
      </c>
      <c r="K746" s="508"/>
      <c r="L746" s="508"/>
      <c r="M746" s="344" t="s">
        <v>2853</v>
      </c>
      <c r="N746" s="510" t="s">
        <v>2088</v>
      </c>
      <c r="O746" s="511">
        <v>44025</v>
      </c>
      <c r="P746" s="510" t="s">
        <v>3061</v>
      </c>
      <c r="Q746" s="510" t="s">
        <v>2829</v>
      </c>
      <c r="R746" s="512" t="s">
        <v>5080</v>
      </c>
      <c r="S746" s="513" t="e">
        <f>Table1372[[#This Row],[DATE  CLOSED]]-Table1372[[#This Row],[INITIATION DATE]]</f>
        <v>#VALUE!</v>
      </c>
    </row>
    <row r="747" spans="1:19" ht="51" x14ac:dyDescent="0.2">
      <c r="A747" s="521" t="s">
        <v>5558</v>
      </c>
      <c r="B747" s="514">
        <v>44005</v>
      </c>
      <c r="C747" s="341" t="s">
        <v>5559</v>
      </c>
      <c r="D747" s="341" t="s">
        <v>4456</v>
      </c>
      <c r="E747" s="342" t="s">
        <v>2971</v>
      </c>
      <c r="F747" s="516">
        <v>1</v>
      </c>
      <c r="G747" s="342" t="s">
        <v>2841</v>
      </c>
      <c r="H747" s="342" t="s">
        <v>4079</v>
      </c>
      <c r="I747" s="342" t="s">
        <v>3926</v>
      </c>
      <c r="J747" s="514">
        <v>44043</v>
      </c>
      <c r="K747" s="514"/>
      <c r="L747" s="514"/>
      <c r="M747" s="342" t="s">
        <v>2853</v>
      </c>
      <c r="N747" s="516" t="s">
        <v>2088</v>
      </c>
      <c r="O747" s="517">
        <v>44032</v>
      </c>
      <c r="P747" s="516" t="s">
        <v>3061</v>
      </c>
      <c r="Q747" s="516" t="s">
        <v>2829</v>
      </c>
      <c r="R747" s="518" t="s">
        <v>5080</v>
      </c>
      <c r="S747" s="519" t="e">
        <f>Table1372[[#This Row],[DATE  CLOSED]]-Table1372[[#This Row],[INITIATION DATE]]</f>
        <v>#VALUE!</v>
      </c>
    </row>
    <row r="748" spans="1:19" ht="51" x14ac:dyDescent="0.2">
      <c r="A748" s="338" t="s">
        <v>5560</v>
      </c>
      <c r="B748" s="508">
        <v>44006</v>
      </c>
      <c r="C748" s="343" t="s">
        <v>5561</v>
      </c>
      <c r="D748" s="343" t="s">
        <v>5562</v>
      </c>
      <c r="E748" s="344" t="s">
        <v>3825</v>
      </c>
      <c r="F748" s="510">
        <v>1</v>
      </c>
      <c r="G748" s="344" t="s">
        <v>2828</v>
      </c>
      <c r="H748" s="344" t="s">
        <v>4232</v>
      </c>
      <c r="I748" s="344" t="s">
        <v>3211</v>
      </c>
      <c r="J748" s="508">
        <v>44043</v>
      </c>
      <c r="K748" s="508"/>
      <c r="L748" s="508"/>
      <c r="M748" s="344" t="s">
        <v>2853</v>
      </c>
      <c r="N748" s="510" t="s">
        <v>2088</v>
      </c>
      <c r="O748" s="511">
        <v>44014</v>
      </c>
      <c r="P748" s="510" t="s">
        <v>3061</v>
      </c>
      <c r="Q748" s="510" t="s">
        <v>2829</v>
      </c>
      <c r="R748" s="512" t="s">
        <v>5080</v>
      </c>
      <c r="S748" s="513" t="e">
        <f>Table1372[[#This Row],[DATE  CLOSED]]-Table1372[[#This Row],[INITIATION DATE]]</f>
        <v>#VALUE!</v>
      </c>
    </row>
    <row r="749" spans="1:19" ht="76.5" x14ac:dyDescent="0.2">
      <c r="A749" s="340" t="s">
        <v>5563</v>
      </c>
      <c r="B749" s="514">
        <v>44011</v>
      </c>
      <c r="C749" s="515" t="s">
        <v>5564</v>
      </c>
      <c r="D749" s="515" t="s">
        <v>5565</v>
      </c>
      <c r="E749" s="516" t="s">
        <v>2971</v>
      </c>
      <c r="F749" s="516">
        <v>1</v>
      </c>
      <c r="G749" s="516" t="s">
        <v>2841</v>
      </c>
      <c r="H749" s="516" t="s">
        <v>3842</v>
      </c>
      <c r="I749" s="516" t="s">
        <v>3645</v>
      </c>
      <c r="J749" s="514">
        <v>44043</v>
      </c>
      <c r="K749" s="514"/>
      <c r="L749" s="514"/>
      <c r="M749" s="516" t="s">
        <v>2853</v>
      </c>
      <c r="N749" s="516" t="s">
        <v>2088</v>
      </c>
      <c r="O749" s="517">
        <v>44032</v>
      </c>
      <c r="P749" s="516" t="s">
        <v>3061</v>
      </c>
      <c r="Q749" s="516" t="s">
        <v>2829</v>
      </c>
      <c r="R749" s="518" t="s">
        <v>5635</v>
      </c>
      <c r="S749" s="519" t="e">
        <f>Table1372[[#This Row],[DATE  CLOSED]]-Table1372[[#This Row],[INITIATION DATE]]</f>
        <v>#VALUE!</v>
      </c>
    </row>
    <row r="750" spans="1:19" ht="51" x14ac:dyDescent="0.2">
      <c r="A750" s="338" t="s">
        <v>5566</v>
      </c>
      <c r="B750" s="508">
        <v>44012</v>
      </c>
      <c r="C750" s="509" t="s">
        <v>5567</v>
      </c>
      <c r="D750" s="509" t="s">
        <v>5568</v>
      </c>
      <c r="E750" s="510" t="s">
        <v>2971</v>
      </c>
      <c r="F750" s="510">
        <v>1</v>
      </c>
      <c r="G750" s="510" t="s">
        <v>2834</v>
      </c>
      <c r="H750" s="510" t="s">
        <v>755</v>
      </c>
      <c r="I750" s="510" t="s">
        <v>441</v>
      </c>
      <c r="J750" s="508">
        <v>44043</v>
      </c>
      <c r="K750" s="508"/>
      <c r="L750" s="508"/>
      <c r="M750" s="510" t="s">
        <v>2853</v>
      </c>
      <c r="N750" s="510" t="s">
        <v>2088</v>
      </c>
      <c r="O750" s="511">
        <v>44041</v>
      </c>
      <c r="P750" s="510" t="s">
        <v>3061</v>
      </c>
      <c r="Q750" s="510" t="s">
        <v>2829</v>
      </c>
      <c r="R750" s="512"/>
      <c r="S750" s="513" t="e">
        <f>Table1372[[#This Row],[DATE  CLOSED]]-Table1372[[#This Row],[INITIATION DATE]]</f>
        <v>#VALUE!</v>
      </c>
    </row>
    <row r="751" spans="1:19" ht="89.25" x14ac:dyDescent="0.2">
      <c r="A751" s="340" t="s">
        <v>5569</v>
      </c>
      <c r="B751" s="514">
        <v>44013</v>
      </c>
      <c r="C751" s="515" t="s">
        <v>5570</v>
      </c>
      <c r="D751" s="515" t="s">
        <v>5375</v>
      </c>
      <c r="E751" s="516" t="s">
        <v>2917</v>
      </c>
      <c r="F751" s="516">
        <v>1</v>
      </c>
      <c r="G751" s="516" t="s">
        <v>2828</v>
      </c>
      <c r="H751" s="516" t="s">
        <v>4079</v>
      </c>
      <c r="I751" s="516" t="s">
        <v>3926</v>
      </c>
      <c r="J751" s="514">
        <v>44074</v>
      </c>
      <c r="K751" s="514"/>
      <c r="L751" s="514"/>
      <c r="M751" s="516" t="s">
        <v>2853</v>
      </c>
      <c r="N751" s="516" t="s">
        <v>2088</v>
      </c>
      <c r="O751" s="517">
        <v>44018</v>
      </c>
      <c r="P751" s="516" t="s">
        <v>3061</v>
      </c>
      <c r="Q751" s="516" t="s">
        <v>2829</v>
      </c>
      <c r="R751" s="518"/>
      <c r="S751" s="519" t="e">
        <f>Table1372[[#This Row],[DATE  CLOSED]]-Table1372[[#This Row],[INITIATION DATE]]</f>
        <v>#VALUE!</v>
      </c>
    </row>
    <row r="752" spans="1:19" ht="25.5" x14ac:dyDescent="0.2">
      <c r="A752" s="520" t="s">
        <v>5571</v>
      </c>
      <c r="B752" s="508">
        <v>44014</v>
      </c>
      <c r="C752" s="509" t="s">
        <v>5575</v>
      </c>
      <c r="D752" s="509" t="s">
        <v>5576</v>
      </c>
      <c r="E752" s="510" t="s">
        <v>2971</v>
      </c>
      <c r="F752" s="510">
        <v>1</v>
      </c>
      <c r="G752" s="510" t="s">
        <v>2838</v>
      </c>
      <c r="H752" s="510" t="s">
        <v>481</v>
      </c>
      <c r="I752" s="510" t="s">
        <v>755</v>
      </c>
      <c r="J752" s="508">
        <v>44043</v>
      </c>
      <c r="K752" s="508"/>
      <c r="L752" s="508"/>
      <c r="M752" s="510" t="s">
        <v>2853</v>
      </c>
      <c r="N752" s="510" t="s">
        <v>2088</v>
      </c>
      <c r="O752" s="511">
        <v>44023</v>
      </c>
      <c r="P752" s="510" t="s">
        <v>3061</v>
      </c>
      <c r="Q752" s="510" t="s">
        <v>2829</v>
      </c>
      <c r="R752" s="512" t="s">
        <v>5080</v>
      </c>
      <c r="S752" s="513" t="e">
        <f>Table1372[[#This Row],[DATE  CLOSED]]-Table1372[[#This Row],[INITIATION DATE]]</f>
        <v>#VALUE!</v>
      </c>
    </row>
    <row r="753" spans="1:19" ht="38.25" x14ac:dyDescent="0.2">
      <c r="A753" s="521" t="s">
        <v>5572</v>
      </c>
      <c r="B753" s="514">
        <v>44014</v>
      </c>
      <c r="C753" s="515" t="s">
        <v>5573</v>
      </c>
      <c r="D753" s="515" t="s">
        <v>5574</v>
      </c>
      <c r="E753" s="516" t="s">
        <v>2971</v>
      </c>
      <c r="F753" s="516">
        <v>1</v>
      </c>
      <c r="G753" s="516" t="s">
        <v>2838</v>
      </c>
      <c r="H753" s="516" t="s">
        <v>1123</v>
      </c>
      <c r="I753" s="516" t="s">
        <v>755</v>
      </c>
      <c r="J753" s="514">
        <v>44022</v>
      </c>
      <c r="K753" s="514"/>
      <c r="L753" s="514"/>
      <c r="M753" s="516" t="s">
        <v>2853</v>
      </c>
      <c r="N753" s="516" t="s">
        <v>2088</v>
      </c>
      <c r="O753" s="517">
        <v>44014</v>
      </c>
      <c r="P753" s="516" t="s">
        <v>3061</v>
      </c>
      <c r="Q753" s="516" t="s">
        <v>2829</v>
      </c>
      <c r="R753" s="518" t="s">
        <v>5080</v>
      </c>
      <c r="S753" s="519" t="e">
        <f>Table1372[[#This Row],[DATE  CLOSED]]-Table1372[[#This Row],[INITIATION DATE]]</f>
        <v>#VALUE!</v>
      </c>
    </row>
    <row r="754" spans="1:19" ht="102" x14ac:dyDescent="0.2">
      <c r="A754" s="520" t="s">
        <v>5577</v>
      </c>
      <c r="B754" s="508">
        <v>44020</v>
      </c>
      <c r="C754" s="509" t="s">
        <v>5578</v>
      </c>
      <c r="D754" s="509" t="s">
        <v>3039</v>
      </c>
      <c r="E754" s="510" t="s">
        <v>2971</v>
      </c>
      <c r="F754" s="510">
        <v>1</v>
      </c>
      <c r="G754" s="510" t="s">
        <v>2841</v>
      </c>
      <c r="H754" s="510" t="s">
        <v>229</v>
      </c>
      <c r="I754" s="510" t="s">
        <v>755</v>
      </c>
      <c r="J754" s="508">
        <v>44043</v>
      </c>
      <c r="K754" s="508"/>
      <c r="L754" s="508"/>
      <c r="M754" s="510" t="s">
        <v>2853</v>
      </c>
      <c r="N754" s="510" t="s">
        <v>2088</v>
      </c>
      <c r="O754" s="511">
        <v>44035</v>
      </c>
      <c r="P754" s="510" t="s">
        <v>3061</v>
      </c>
      <c r="Q754" s="510" t="s">
        <v>2829</v>
      </c>
      <c r="R754" s="512"/>
      <c r="S754" s="513" t="e">
        <f>Table1372[[#This Row],[DATE  CLOSED]]-Table1372[[#This Row],[INITIATION DATE]]</f>
        <v>#VALUE!</v>
      </c>
    </row>
    <row r="755" spans="1:19" ht="51" x14ac:dyDescent="0.2">
      <c r="A755" s="521" t="s">
        <v>5579</v>
      </c>
      <c r="B755" s="514">
        <v>44020</v>
      </c>
      <c r="C755" s="515" t="s">
        <v>5580</v>
      </c>
      <c r="D755" s="515" t="s">
        <v>5581</v>
      </c>
      <c r="E755" s="516" t="s">
        <v>2971</v>
      </c>
      <c r="F755" s="516">
        <v>1</v>
      </c>
      <c r="G755" s="516" t="s">
        <v>2841</v>
      </c>
      <c r="H755" s="516" t="s">
        <v>229</v>
      </c>
      <c r="I755" s="516" t="s">
        <v>755</v>
      </c>
      <c r="J755" s="514">
        <v>44043</v>
      </c>
      <c r="K755" s="514"/>
      <c r="L755" s="514"/>
      <c r="M755" s="516" t="s">
        <v>2853</v>
      </c>
      <c r="N755" s="516" t="s">
        <v>2088</v>
      </c>
      <c r="O755" s="517">
        <v>44032</v>
      </c>
      <c r="P755" s="516" t="s">
        <v>3061</v>
      </c>
      <c r="Q755" s="516" t="s">
        <v>2829</v>
      </c>
      <c r="R755" s="518"/>
      <c r="S755" s="519" t="e">
        <f>Table1372[[#This Row],[DATE  CLOSED]]-Table1372[[#This Row],[INITIATION DATE]]</f>
        <v>#VALUE!</v>
      </c>
    </row>
    <row r="756" spans="1:19" ht="51" x14ac:dyDescent="0.2">
      <c r="A756" s="520" t="s">
        <v>5582</v>
      </c>
      <c r="B756" s="508">
        <v>44021</v>
      </c>
      <c r="C756" s="509" t="s">
        <v>5583</v>
      </c>
      <c r="D756" s="509" t="s">
        <v>5584</v>
      </c>
      <c r="E756" s="510" t="s">
        <v>2971</v>
      </c>
      <c r="F756" s="510">
        <v>1</v>
      </c>
      <c r="G756" s="510" t="s">
        <v>2841</v>
      </c>
      <c r="H756" s="510" t="s">
        <v>615</v>
      </c>
      <c r="I756" s="510" t="s">
        <v>3211</v>
      </c>
      <c r="J756" s="508">
        <v>44043</v>
      </c>
      <c r="K756" s="508"/>
      <c r="L756" s="508"/>
      <c r="M756" s="510" t="s">
        <v>2853</v>
      </c>
      <c r="N756" s="510" t="s">
        <v>2088</v>
      </c>
      <c r="O756" s="511">
        <v>44025</v>
      </c>
      <c r="P756" s="510" t="s">
        <v>3061</v>
      </c>
      <c r="Q756" s="510" t="s">
        <v>2829</v>
      </c>
      <c r="R756" s="512" t="s">
        <v>5080</v>
      </c>
      <c r="S756" s="513" t="e">
        <f>Table1372[[#This Row],[DATE  CLOSED]]-Table1372[[#This Row],[INITIATION DATE]]</f>
        <v>#VALUE!</v>
      </c>
    </row>
    <row r="757" spans="1:19" ht="51" x14ac:dyDescent="0.2">
      <c r="A757" s="521" t="s">
        <v>5585</v>
      </c>
      <c r="B757" s="514">
        <v>44021</v>
      </c>
      <c r="C757" s="515" t="s">
        <v>5586</v>
      </c>
      <c r="D757" s="515" t="s">
        <v>5676</v>
      </c>
      <c r="E757" s="516" t="s">
        <v>4675</v>
      </c>
      <c r="F757" s="516">
        <v>1</v>
      </c>
      <c r="G757" s="516" t="s">
        <v>2841</v>
      </c>
      <c r="H757" s="516" t="s">
        <v>3975</v>
      </c>
      <c r="I757" s="516" t="s">
        <v>3211</v>
      </c>
      <c r="J757" s="514">
        <v>44043</v>
      </c>
      <c r="K757" s="514"/>
      <c r="L757" s="514"/>
      <c r="M757" s="516" t="s">
        <v>2853</v>
      </c>
      <c r="N757" s="516" t="s">
        <v>2088</v>
      </c>
      <c r="O757" s="517">
        <v>44028</v>
      </c>
      <c r="P757" s="516" t="s">
        <v>3061</v>
      </c>
      <c r="Q757" s="516" t="s">
        <v>2829</v>
      </c>
      <c r="R757" s="518"/>
      <c r="S757" s="519" t="e">
        <f>Table1372[[#This Row],[DATE  CLOSED]]-Table1372[[#This Row],[INITIATION DATE]]</f>
        <v>#VALUE!</v>
      </c>
    </row>
    <row r="758" spans="1:19" ht="51" x14ac:dyDescent="0.2">
      <c r="A758" s="338" t="s">
        <v>5587</v>
      </c>
      <c r="B758" s="508">
        <v>44021</v>
      </c>
      <c r="C758" s="343" t="s">
        <v>5588</v>
      </c>
      <c r="D758" s="343" t="s">
        <v>5589</v>
      </c>
      <c r="E758" s="344" t="s">
        <v>3532</v>
      </c>
      <c r="F758" s="510">
        <v>1</v>
      </c>
      <c r="G758" s="344" t="s">
        <v>2828</v>
      </c>
      <c r="H758" s="344" t="s">
        <v>3423</v>
      </c>
      <c r="I758" s="344" t="s">
        <v>3211</v>
      </c>
      <c r="J758" s="508">
        <v>44074</v>
      </c>
      <c r="K758" s="508"/>
      <c r="L758" s="508"/>
      <c r="M758" s="344" t="s">
        <v>2853</v>
      </c>
      <c r="N758" s="510" t="s">
        <v>2088</v>
      </c>
      <c r="O758" s="511">
        <v>44068</v>
      </c>
      <c r="P758" s="344" t="s">
        <v>3061</v>
      </c>
      <c r="Q758" s="510" t="s">
        <v>2832</v>
      </c>
      <c r="R758" s="512" t="s">
        <v>5080</v>
      </c>
      <c r="S758" s="513" t="e">
        <f>Table1372[[#This Row],[DATE  CLOSED]]-Table1372[[#This Row],[INITIATION DATE]]</f>
        <v>#VALUE!</v>
      </c>
    </row>
    <row r="759" spans="1:19" ht="76.5" x14ac:dyDescent="0.2">
      <c r="A759" s="340" t="s">
        <v>5590</v>
      </c>
      <c r="B759" s="514">
        <v>44022</v>
      </c>
      <c r="C759" s="341" t="s">
        <v>5591</v>
      </c>
      <c r="D759" s="341" t="s">
        <v>5592</v>
      </c>
      <c r="E759" s="342" t="s">
        <v>2971</v>
      </c>
      <c r="F759" s="516">
        <v>1</v>
      </c>
      <c r="G759" s="342" t="s">
        <v>2838</v>
      </c>
      <c r="H759" s="342" t="s">
        <v>685</v>
      </c>
      <c r="I759" s="342" t="s">
        <v>229</v>
      </c>
      <c r="J759" s="514">
        <v>44043</v>
      </c>
      <c r="K759" s="514">
        <v>44134</v>
      </c>
      <c r="L759" s="345"/>
      <c r="M759" s="342" t="s">
        <v>2853</v>
      </c>
      <c r="N759" s="516" t="s">
        <v>3061</v>
      </c>
      <c r="O759" s="517">
        <v>44127</v>
      </c>
      <c r="P759" s="342" t="s">
        <v>3061</v>
      </c>
      <c r="Q759" s="516" t="s">
        <v>2835</v>
      </c>
      <c r="R759" s="518"/>
      <c r="S759" s="519" t="e">
        <f>Table1372[[#This Row],[DATE  CLOSED]]-Table1372[[#This Row],[INITIATION DATE]]</f>
        <v>#VALUE!</v>
      </c>
    </row>
    <row r="760" spans="1:19" ht="51" x14ac:dyDescent="0.2">
      <c r="A760" s="338" t="s">
        <v>5593</v>
      </c>
      <c r="B760" s="508">
        <v>44022</v>
      </c>
      <c r="C760" s="343" t="s">
        <v>5594</v>
      </c>
      <c r="D760" s="343" t="s">
        <v>5595</v>
      </c>
      <c r="E760" s="344" t="s">
        <v>3335</v>
      </c>
      <c r="F760" s="510">
        <v>1</v>
      </c>
      <c r="G760" s="344" t="s">
        <v>2828</v>
      </c>
      <c r="H760" s="344" t="s">
        <v>3423</v>
      </c>
      <c r="I760" s="344" t="s">
        <v>3211</v>
      </c>
      <c r="J760" s="508">
        <v>44074</v>
      </c>
      <c r="K760" s="508"/>
      <c r="L760" s="508"/>
      <c r="M760" s="344" t="s">
        <v>2853</v>
      </c>
      <c r="N760" s="510" t="s">
        <v>2088</v>
      </c>
      <c r="O760" s="511">
        <v>44026</v>
      </c>
      <c r="P760" s="344" t="s">
        <v>3061</v>
      </c>
      <c r="Q760" s="510" t="s">
        <v>2829</v>
      </c>
      <c r="R760" s="512" t="s">
        <v>5080</v>
      </c>
      <c r="S760" s="513" t="e">
        <f>Table1372[[#This Row],[DATE  CLOSED]]-Table1372[[#This Row],[INITIATION DATE]]</f>
        <v>#VALUE!</v>
      </c>
    </row>
    <row r="761" spans="1:19" ht="51" x14ac:dyDescent="0.2">
      <c r="A761" s="340" t="s">
        <v>5596</v>
      </c>
      <c r="B761" s="514">
        <v>44025</v>
      </c>
      <c r="C761" s="341" t="s">
        <v>5597</v>
      </c>
      <c r="D761" s="341" t="s">
        <v>5598</v>
      </c>
      <c r="E761" s="342" t="s">
        <v>2971</v>
      </c>
      <c r="F761" s="516">
        <v>1</v>
      </c>
      <c r="G761" s="342" t="s">
        <v>2836</v>
      </c>
      <c r="H761" s="342" t="s">
        <v>4079</v>
      </c>
      <c r="I761" s="342" t="s">
        <v>3926</v>
      </c>
      <c r="J761" s="514">
        <v>44196</v>
      </c>
      <c r="K761" s="514"/>
      <c r="L761" s="514"/>
      <c r="M761" s="342" t="s">
        <v>2853</v>
      </c>
      <c r="N761" s="516" t="s">
        <v>2088</v>
      </c>
      <c r="O761" s="517">
        <v>44169</v>
      </c>
      <c r="P761" s="342" t="s">
        <v>3061</v>
      </c>
      <c r="Q761" s="516" t="s">
        <v>2835</v>
      </c>
      <c r="R761" s="518" t="s">
        <v>5080</v>
      </c>
      <c r="S761" s="519" t="e">
        <f>Table1372[[#This Row],[DATE  CLOSED]]-Table1372[[#This Row],[INITIATION DATE]]</f>
        <v>#VALUE!</v>
      </c>
    </row>
    <row r="762" spans="1:19" ht="89.25" x14ac:dyDescent="0.2">
      <c r="A762" s="338" t="s">
        <v>5599</v>
      </c>
      <c r="B762" s="508">
        <v>44025</v>
      </c>
      <c r="C762" s="343" t="s">
        <v>5600</v>
      </c>
      <c r="D762" s="343" t="s">
        <v>5601</v>
      </c>
      <c r="E762" s="344" t="s">
        <v>5602</v>
      </c>
      <c r="F762" s="510">
        <v>1</v>
      </c>
      <c r="G762" s="344" t="s">
        <v>2828</v>
      </c>
      <c r="H762" s="344" t="s">
        <v>5163</v>
      </c>
      <c r="I762" s="344" t="s">
        <v>3926</v>
      </c>
      <c r="J762" s="508">
        <v>44114</v>
      </c>
      <c r="K762" s="508" t="s">
        <v>5769</v>
      </c>
      <c r="L762" s="508" t="s">
        <v>5769</v>
      </c>
      <c r="M762" s="344" t="s">
        <v>5769</v>
      </c>
      <c r="N762" s="510" t="s">
        <v>2088</v>
      </c>
      <c r="O762" s="511" t="s">
        <v>5769</v>
      </c>
      <c r="P762" s="344" t="s">
        <v>2088</v>
      </c>
      <c r="Q762" s="510" t="s">
        <v>2088</v>
      </c>
      <c r="R762" s="512" t="s">
        <v>5769</v>
      </c>
      <c r="S762" s="513" t="e">
        <f>Table1372[[#This Row],[DATE  CLOSED]]-Table1372[[#This Row],[INITIATION DATE]]</f>
        <v>#VALUE!</v>
      </c>
    </row>
    <row r="763" spans="1:19" ht="51" x14ac:dyDescent="0.2">
      <c r="A763" s="340" t="s">
        <v>5603</v>
      </c>
      <c r="B763" s="514">
        <v>44027</v>
      </c>
      <c r="C763" s="515" t="s">
        <v>5604</v>
      </c>
      <c r="D763" s="515" t="s">
        <v>5605</v>
      </c>
      <c r="E763" s="516" t="s">
        <v>5606</v>
      </c>
      <c r="F763" s="516">
        <v>1</v>
      </c>
      <c r="G763" s="516" t="s">
        <v>2828</v>
      </c>
      <c r="H763" s="516" t="s">
        <v>615</v>
      </c>
      <c r="I763" s="516" t="s">
        <v>3211</v>
      </c>
      <c r="J763" s="514">
        <v>44074</v>
      </c>
      <c r="K763" s="514"/>
      <c r="L763" s="514"/>
      <c r="M763" s="516" t="s">
        <v>2853</v>
      </c>
      <c r="N763" s="516" t="s">
        <v>2088</v>
      </c>
      <c r="O763" s="517">
        <v>44029</v>
      </c>
      <c r="P763" s="516" t="s">
        <v>3061</v>
      </c>
      <c r="Q763" s="516" t="s">
        <v>2829</v>
      </c>
      <c r="R763" s="518" t="s">
        <v>5080</v>
      </c>
      <c r="S763" s="519" t="e">
        <f>Table1372[[#This Row],[DATE  CLOSED]]-Table1372[[#This Row],[INITIATION DATE]]</f>
        <v>#VALUE!</v>
      </c>
    </row>
    <row r="764" spans="1:19" ht="51" x14ac:dyDescent="0.2">
      <c r="A764" s="338" t="s">
        <v>5607</v>
      </c>
      <c r="B764" s="508">
        <v>44027</v>
      </c>
      <c r="C764" s="509" t="s">
        <v>5609</v>
      </c>
      <c r="D764" s="509" t="s">
        <v>3606</v>
      </c>
      <c r="E764" s="510" t="s">
        <v>5608</v>
      </c>
      <c r="F764" s="510">
        <v>1</v>
      </c>
      <c r="G764" s="510" t="s">
        <v>2828</v>
      </c>
      <c r="H764" s="510" t="s">
        <v>4232</v>
      </c>
      <c r="I764" s="510" t="s">
        <v>3211</v>
      </c>
      <c r="J764" s="508">
        <v>44074</v>
      </c>
      <c r="K764" s="508"/>
      <c r="L764" s="508"/>
      <c r="M764" s="510" t="s">
        <v>2853</v>
      </c>
      <c r="N764" s="510" t="s">
        <v>2088</v>
      </c>
      <c r="O764" s="511">
        <v>44029</v>
      </c>
      <c r="P764" s="510" t="s">
        <v>3061</v>
      </c>
      <c r="Q764" s="510" t="s">
        <v>2829</v>
      </c>
      <c r="R764" s="512" t="s">
        <v>5080</v>
      </c>
      <c r="S764" s="513" t="e">
        <f>Table1372[[#This Row],[DATE  CLOSED]]-Table1372[[#This Row],[INITIATION DATE]]</f>
        <v>#VALUE!</v>
      </c>
    </row>
    <row r="765" spans="1:19" ht="76.5" x14ac:dyDescent="0.2">
      <c r="A765" s="340" t="s">
        <v>5610</v>
      </c>
      <c r="B765" s="514">
        <v>44027</v>
      </c>
      <c r="C765" s="515" t="s">
        <v>5611</v>
      </c>
      <c r="D765" s="515" t="s">
        <v>5612</v>
      </c>
      <c r="E765" s="516" t="s">
        <v>2971</v>
      </c>
      <c r="F765" s="516">
        <v>1</v>
      </c>
      <c r="G765" s="516" t="s">
        <v>2841</v>
      </c>
      <c r="H765" s="516" t="s">
        <v>3227</v>
      </c>
      <c r="I765" s="516" t="s">
        <v>3211</v>
      </c>
      <c r="J765" s="514">
        <v>44043</v>
      </c>
      <c r="K765" s="514">
        <v>44074</v>
      </c>
      <c r="L765" s="514"/>
      <c r="M765" s="516" t="s">
        <v>2853</v>
      </c>
      <c r="N765" s="516" t="s">
        <v>3061</v>
      </c>
      <c r="O765" s="517">
        <v>44067</v>
      </c>
      <c r="P765" s="516" t="s">
        <v>3061</v>
      </c>
      <c r="Q765" s="516" t="s">
        <v>2832</v>
      </c>
      <c r="R765" s="518" t="s">
        <v>5080</v>
      </c>
      <c r="S765" s="519" t="e">
        <f>Table1372[[#This Row],[DATE  CLOSED]]-Table1372[[#This Row],[INITIATION DATE]]</f>
        <v>#VALUE!</v>
      </c>
    </row>
    <row r="766" spans="1:19" ht="114.75" x14ac:dyDescent="0.2">
      <c r="A766" s="338" t="s">
        <v>5613</v>
      </c>
      <c r="B766" s="508">
        <v>44034</v>
      </c>
      <c r="C766" s="509" t="s">
        <v>5614</v>
      </c>
      <c r="D766" s="509" t="s">
        <v>4624</v>
      </c>
      <c r="E766" s="510" t="s">
        <v>4256</v>
      </c>
      <c r="F766" s="510">
        <v>1</v>
      </c>
      <c r="G766" s="510" t="s">
        <v>2828</v>
      </c>
      <c r="H766" s="510" t="s">
        <v>4232</v>
      </c>
      <c r="I766" s="510" t="s">
        <v>3926</v>
      </c>
      <c r="J766" s="508">
        <v>44074</v>
      </c>
      <c r="K766" s="508"/>
      <c r="L766" s="508"/>
      <c r="M766" s="510" t="s">
        <v>2853</v>
      </c>
      <c r="N766" s="510" t="s">
        <v>2088</v>
      </c>
      <c r="O766" s="511">
        <v>44056</v>
      </c>
      <c r="P766" s="510" t="s">
        <v>3061</v>
      </c>
      <c r="Q766" s="510" t="s">
        <v>2829</v>
      </c>
      <c r="R766" s="512" t="s">
        <v>5080</v>
      </c>
      <c r="S766" s="513" t="e">
        <f>Table1372[[#This Row],[DATE  CLOSED]]-Table1372[[#This Row],[INITIATION DATE]]</f>
        <v>#VALUE!</v>
      </c>
    </row>
    <row r="767" spans="1:19" ht="51" x14ac:dyDescent="0.2">
      <c r="A767" s="340" t="s">
        <v>5615</v>
      </c>
      <c r="B767" s="514">
        <v>44034</v>
      </c>
      <c r="C767" s="341" t="s">
        <v>5616</v>
      </c>
      <c r="D767" s="341" t="s">
        <v>5617</v>
      </c>
      <c r="E767" s="342" t="s">
        <v>2971</v>
      </c>
      <c r="F767" s="516">
        <v>1</v>
      </c>
      <c r="G767" s="516" t="s">
        <v>2841</v>
      </c>
      <c r="H767" s="342" t="s">
        <v>486</v>
      </c>
      <c r="I767" s="342" t="s">
        <v>229</v>
      </c>
      <c r="J767" s="514">
        <v>44074</v>
      </c>
      <c r="K767" s="514"/>
      <c r="L767" s="514"/>
      <c r="M767" s="342" t="s">
        <v>2853</v>
      </c>
      <c r="N767" s="516" t="s">
        <v>2088</v>
      </c>
      <c r="O767" s="517">
        <v>44061</v>
      </c>
      <c r="P767" s="516" t="s">
        <v>3061</v>
      </c>
      <c r="Q767" s="516" t="s">
        <v>2829</v>
      </c>
      <c r="R767" s="518"/>
      <c r="S767" s="519" t="e">
        <f>Table1372[[#This Row],[DATE  CLOSED]]-Table1372[[#This Row],[INITIATION DATE]]</f>
        <v>#VALUE!</v>
      </c>
    </row>
    <row r="768" spans="1:19" ht="76.5" x14ac:dyDescent="0.2">
      <c r="A768" s="338" t="s">
        <v>5618</v>
      </c>
      <c r="B768" s="508">
        <v>44035</v>
      </c>
      <c r="C768" s="509" t="s">
        <v>5619</v>
      </c>
      <c r="D768" s="509" t="s">
        <v>5562</v>
      </c>
      <c r="E768" s="510" t="s">
        <v>5608</v>
      </c>
      <c r="F768" s="510">
        <v>1</v>
      </c>
      <c r="G768" s="510" t="s">
        <v>2828</v>
      </c>
      <c r="H768" s="510" t="s">
        <v>4232</v>
      </c>
      <c r="I768" s="510" t="s">
        <v>3211</v>
      </c>
      <c r="J768" s="508">
        <v>44074</v>
      </c>
      <c r="K768" s="508"/>
      <c r="L768" s="508"/>
      <c r="M768" s="510" t="s">
        <v>2853</v>
      </c>
      <c r="N768" s="510" t="s">
        <v>2088</v>
      </c>
      <c r="O768" s="511">
        <v>44056</v>
      </c>
      <c r="P768" s="510" t="s">
        <v>3061</v>
      </c>
      <c r="Q768" s="510" t="s">
        <v>2829</v>
      </c>
      <c r="R768" s="512" t="s">
        <v>5080</v>
      </c>
      <c r="S768" s="513" t="e">
        <f>Table1372[[#This Row],[DATE  CLOSED]]-Table1372[[#This Row],[INITIATION DATE]]</f>
        <v>#VALUE!</v>
      </c>
    </row>
    <row r="769" spans="1:19" ht="51" x14ac:dyDescent="0.2">
      <c r="A769" s="340" t="s">
        <v>5620</v>
      </c>
      <c r="B769" s="514">
        <v>44035</v>
      </c>
      <c r="C769" s="515" t="s">
        <v>5622</v>
      </c>
      <c r="D769" s="515" t="s">
        <v>5623</v>
      </c>
      <c r="E769" s="516" t="s">
        <v>2971</v>
      </c>
      <c r="F769" s="516">
        <v>1</v>
      </c>
      <c r="G769" s="516" t="s">
        <v>2841</v>
      </c>
      <c r="H769" s="516" t="s">
        <v>486</v>
      </c>
      <c r="I769" s="516" t="s">
        <v>229</v>
      </c>
      <c r="J769" s="514">
        <v>44074</v>
      </c>
      <c r="K769" s="514"/>
      <c r="L769" s="514"/>
      <c r="M769" s="516" t="s">
        <v>2853</v>
      </c>
      <c r="N769" s="516" t="s">
        <v>2088</v>
      </c>
      <c r="O769" s="517">
        <v>44070</v>
      </c>
      <c r="P769" s="516" t="s">
        <v>3061</v>
      </c>
      <c r="Q769" s="516" t="s">
        <v>2829</v>
      </c>
      <c r="R769" s="518" t="s">
        <v>5080</v>
      </c>
      <c r="S769" s="519" t="e">
        <f>Table1372[[#This Row],[DATE  CLOSED]]-Table1372[[#This Row],[INITIATION DATE]]</f>
        <v>#VALUE!</v>
      </c>
    </row>
    <row r="770" spans="1:19" ht="51" x14ac:dyDescent="0.2">
      <c r="A770" s="338" t="s">
        <v>5621</v>
      </c>
      <c r="B770" s="508">
        <v>44036</v>
      </c>
      <c r="C770" s="509" t="s">
        <v>5703</v>
      </c>
      <c r="D770" s="509" t="s">
        <v>3039</v>
      </c>
      <c r="E770" s="510" t="s">
        <v>2971</v>
      </c>
      <c r="F770" s="510">
        <v>1</v>
      </c>
      <c r="G770" s="510" t="s">
        <v>2841</v>
      </c>
      <c r="H770" s="510" t="s">
        <v>1339</v>
      </c>
      <c r="I770" s="510" t="s">
        <v>229</v>
      </c>
      <c r="J770" s="508">
        <v>44074</v>
      </c>
      <c r="K770" s="508"/>
      <c r="L770" s="508"/>
      <c r="M770" s="510" t="s">
        <v>2853</v>
      </c>
      <c r="N770" s="510" t="s">
        <v>2088</v>
      </c>
      <c r="O770" s="511">
        <v>44067</v>
      </c>
      <c r="P770" s="510" t="s">
        <v>3061</v>
      </c>
      <c r="Q770" s="510" t="s">
        <v>2829</v>
      </c>
      <c r="R770" s="512"/>
      <c r="S770" s="513" t="e">
        <f>Table1372[[#This Row],[DATE  CLOSED]]-Table1372[[#This Row],[INITIATION DATE]]</f>
        <v>#VALUE!</v>
      </c>
    </row>
    <row r="771" spans="1:19" ht="102" x14ac:dyDescent="0.2">
      <c r="A771" s="340" t="s">
        <v>5624</v>
      </c>
      <c r="B771" s="514">
        <v>44041</v>
      </c>
      <c r="C771" s="515" t="s">
        <v>5625</v>
      </c>
      <c r="D771" s="515" t="s">
        <v>5626</v>
      </c>
      <c r="E771" s="516" t="s">
        <v>3825</v>
      </c>
      <c r="F771" s="516">
        <v>1</v>
      </c>
      <c r="G771" s="516" t="s">
        <v>2828</v>
      </c>
      <c r="H771" s="516" t="s">
        <v>4232</v>
      </c>
      <c r="I771" s="516" t="s">
        <v>3211</v>
      </c>
      <c r="J771" s="514">
        <v>44104</v>
      </c>
      <c r="K771" s="514">
        <v>44286</v>
      </c>
      <c r="L771" s="514"/>
      <c r="M771" s="516" t="s">
        <v>2847</v>
      </c>
      <c r="N771" s="516"/>
      <c r="O771" s="517"/>
      <c r="P771" s="516"/>
      <c r="Q771" s="516"/>
      <c r="R771" s="518"/>
      <c r="S771" s="519" t="e">
        <f>Table1372[[#This Row],[DATE  CLOSED]]-Table1372[[#This Row],[INITIATION DATE]]</f>
        <v>#VALUE!</v>
      </c>
    </row>
    <row r="772" spans="1:19" ht="63.75" x14ac:dyDescent="0.2">
      <c r="A772" s="338" t="s">
        <v>5627</v>
      </c>
      <c r="B772" s="508">
        <v>44042</v>
      </c>
      <c r="C772" s="343" t="s">
        <v>5628</v>
      </c>
      <c r="D772" s="343" t="s">
        <v>3606</v>
      </c>
      <c r="E772" s="344" t="s">
        <v>3323</v>
      </c>
      <c r="F772" s="344">
        <v>1</v>
      </c>
      <c r="G772" s="510" t="s">
        <v>2828</v>
      </c>
      <c r="H772" s="344" t="s">
        <v>4021</v>
      </c>
      <c r="I772" s="344" t="s">
        <v>3211</v>
      </c>
      <c r="J772" s="508">
        <v>44074</v>
      </c>
      <c r="K772" s="344"/>
      <c r="L772" s="344"/>
      <c r="M772" s="508" t="s">
        <v>2853</v>
      </c>
      <c r="N772" s="344" t="s">
        <v>2088</v>
      </c>
      <c r="O772" s="443">
        <v>44053</v>
      </c>
      <c r="P772" s="510" t="s">
        <v>3061</v>
      </c>
      <c r="Q772" s="510" t="s">
        <v>2829</v>
      </c>
      <c r="R772" s="344" t="s">
        <v>5080</v>
      </c>
      <c r="S772" s="513" t="e">
        <f>Table1372[[#This Row],[DATE  CLOSED]]-Table1372[[#This Row],[INITIATION DATE]]</f>
        <v>#VALUE!</v>
      </c>
    </row>
    <row r="773" spans="1:19" ht="89.25" x14ac:dyDescent="0.2">
      <c r="A773" s="340" t="s">
        <v>5629</v>
      </c>
      <c r="B773" s="514">
        <v>44042</v>
      </c>
      <c r="C773" s="515" t="s">
        <v>5630</v>
      </c>
      <c r="D773" s="515" t="s">
        <v>3606</v>
      </c>
      <c r="E773" s="516" t="s">
        <v>4610</v>
      </c>
      <c r="F773" s="516">
        <v>1</v>
      </c>
      <c r="G773" s="516" t="s">
        <v>2828</v>
      </c>
      <c r="H773" s="516" t="s">
        <v>4021</v>
      </c>
      <c r="I773" s="516" t="s">
        <v>3211</v>
      </c>
      <c r="J773" s="514">
        <v>44074</v>
      </c>
      <c r="K773" s="514"/>
      <c r="L773" s="514"/>
      <c r="M773" s="516" t="s">
        <v>2853</v>
      </c>
      <c r="N773" s="516" t="s">
        <v>2088</v>
      </c>
      <c r="O773" s="517">
        <v>44057</v>
      </c>
      <c r="P773" s="516" t="s">
        <v>3061</v>
      </c>
      <c r="Q773" s="516" t="s">
        <v>2829</v>
      </c>
      <c r="R773" s="518" t="s">
        <v>5080</v>
      </c>
      <c r="S773" s="519" t="e">
        <f>Table1372[[#This Row],[DATE  CLOSED]]-Table1372[[#This Row],[INITIATION DATE]]</f>
        <v>#VALUE!</v>
      </c>
    </row>
    <row r="774" spans="1:19" ht="114.75" x14ac:dyDescent="0.2">
      <c r="A774" s="338" t="s">
        <v>5631</v>
      </c>
      <c r="B774" s="508">
        <v>44042</v>
      </c>
      <c r="C774" s="509" t="s">
        <v>5633</v>
      </c>
      <c r="D774" s="509" t="s">
        <v>5632</v>
      </c>
      <c r="E774" s="510" t="s">
        <v>5608</v>
      </c>
      <c r="F774" s="510">
        <v>1</v>
      </c>
      <c r="G774" s="510" t="s">
        <v>2828</v>
      </c>
      <c r="H774" s="510" t="s">
        <v>4232</v>
      </c>
      <c r="I774" s="510" t="s">
        <v>3211</v>
      </c>
      <c r="J774" s="508">
        <v>44074</v>
      </c>
      <c r="K774" s="508"/>
      <c r="L774" s="508"/>
      <c r="M774" s="510" t="s">
        <v>2853</v>
      </c>
      <c r="N774" s="510" t="s">
        <v>2088</v>
      </c>
      <c r="O774" s="511">
        <v>44049</v>
      </c>
      <c r="P774" s="510" t="s">
        <v>3061</v>
      </c>
      <c r="Q774" s="510" t="s">
        <v>2829</v>
      </c>
      <c r="R774" s="512" t="s">
        <v>5080</v>
      </c>
      <c r="S774" s="513" t="e">
        <f>Table1372[[#This Row],[DATE  CLOSED]]-Table1372[[#This Row],[INITIATION DATE]]</f>
        <v>#VALUE!</v>
      </c>
    </row>
    <row r="775" spans="1:19" ht="51" x14ac:dyDescent="0.2">
      <c r="A775" s="340" t="s">
        <v>5636</v>
      </c>
      <c r="B775" s="514">
        <v>44048</v>
      </c>
      <c r="C775" s="515" t="s">
        <v>5637</v>
      </c>
      <c r="D775" s="515" t="s">
        <v>3873</v>
      </c>
      <c r="E775" s="516" t="s">
        <v>2971</v>
      </c>
      <c r="F775" s="516">
        <v>1</v>
      </c>
      <c r="G775" s="516" t="s">
        <v>2841</v>
      </c>
      <c r="H775" s="516" t="s">
        <v>229</v>
      </c>
      <c r="I775" s="516" t="s">
        <v>755</v>
      </c>
      <c r="J775" s="514">
        <v>44074</v>
      </c>
      <c r="K775" s="514"/>
      <c r="L775" s="514"/>
      <c r="M775" s="516" t="s">
        <v>2853</v>
      </c>
      <c r="N775" s="516" t="s">
        <v>2088</v>
      </c>
      <c r="O775" s="517">
        <v>44074</v>
      </c>
      <c r="P775" s="516" t="s">
        <v>3061</v>
      </c>
      <c r="Q775" s="516" t="s">
        <v>2829</v>
      </c>
      <c r="R775" s="518"/>
      <c r="S775" s="519" t="e">
        <f>Table1372[[#This Row],[DATE  CLOSED]]-Table1372[[#This Row],[INITIATION DATE]]</f>
        <v>#VALUE!</v>
      </c>
    </row>
    <row r="776" spans="1:19" ht="51" x14ac:dyDescent="0.2">
      <c r="A776" s="338" t="s">
        <v>5638</v>
      </c>
      <c r="B776" s="508">
        <v>44048</v>
      </c>
      <c r="C776" s="509" t="s">
        <v>5641</v>
      </c>
      <c r="D776" s="509" t="s">
        <v>3873</v>
      </c>
      <c r="E776" s="510" t="s">
        <v>2971</v>
      </c>
      <c r="F776" s="510">
        <v>1</v>
      </c>
      <c r="G776" s="510" t="s">
        <v>2841</v>
      </c>
      <c r="H776" s="510" t="s">
        <v>229</v>
      </c>
      <c r="I776" s="510" t="s">
        <v>755</v>
      </c>
      <c r="J776" s="508">
        <v>44074</v>
      </c>
      <c r="K776" s="508"/>
      <c r="L776" s="508"/>
      <c r="M776" s="510" t="s">
        <v>2853</v>
      </c>
      <c r="N776" s="510" t="s">
        <v>2088</v>
      </c>
      <c r="O776" s="511">
        <v>44067</v>
      </c>
      <c r="P776" s="510" t="s">
        <v>3061</v>
      </c>
      <c r="Q776" s="510" t="s">
        <v>2829</v>
      </c>
      <c r="R776" s="512" t="s">
        <v>5080</v>
      </c>
      <c r="S776" s="513" t="e">
        <f>Table1372[[#This Row],[DATE  CLOSED]]-Table1372[[#This Row],[INITIATION DATE]]</f>
        <v>#VALUE!</v>
      </c>
    </row>
    <row r="777" spans="1:19" ht="51" x14ac:dyDescent="0.2">
      <c r="A777" s="340" t="s">
        <v>5639</v>
      </c>
      <c r="B777" s="514">
        <v>44048</v>
      </c>
      <c r="C777" s="515" t="s">
        <v>5642</v>
      </c>
      <c r="D777" s="515" t="s">
        <v>3039</v>
      </c>
      <c r="E777" s="516" t="s">
        <v>2971</v>
      </c>
      <c r="F777" s="516">
        <v>1</v>
      </c>
      <c r="G777" s="516" t="s">
        <v>2841</v>
      </c>
      <c r="H777" s="516" t="s">
        <v>229</v>
      </c>
      <c r="I777" s="516" t="s">
        <v>755</v>
      </c>
      <c r="J777" s="514">
        <v>44074</v>
      </c>
      <c r="K777" s="514"/>
      <c r="L777" s="514"/>
      <c r="M777" s="516" t="s">
        <v>2853</v>
      </c>
      <c r="N777" s="516" t="s">
        <v>2088</v>
      </c>
      <c r="O777" s="517">
        <v>44067</v>
      </c>
      <c r="P777" s="516" t="s">
        <v>3061</v>
      </c>
      <c r="Q777" s="516" t="s">
        <v>2829</v>
      </c>
      <c r="R777" s="518"/>
      <c r="S777" s="519" t="e">
        <f>Table1372[[#This Row],[DATE  CLOSED]]-Table1372[[#This Row],[INITIATION DATE]]</f>
        <v>#VALUE!</v>
      </c>
    </row>
    <row r="778" spans="1:19" ht="51" x14ac:dyDescent="0.2">
      <c r="A778" s="338" t="s">
        <v>5640</v>
      </c>
      <c r="B778" s="508">
        <v>44048</v>
      </c>
      <c r="C778" s="509" t="s">
        <v>5643</v>
      </c>
      <c r="D778" s="509" t="s">
        <v>3873</v>
      </c>
      <c r="E778" s="510" t="s">
        <v>2971</v>
      </c>
      <c r="F778" s="510">
        <v>1</v>
      </c>
      <c r="G778" s="510" t="s">
        <v>2841</v>
      </c>
      <c r="H778" s="510" t="s">
        <v>229</v>
      </c>
      <c r="I778" s="510" t="s">
        <v>755</v>
      </c>
      <c r="J778" s="508">
        <v>44074</v>
      </c>
      <c r="K778" s="508"/>
      <c r="L778" s="508"/>
      <c r="M778" s="510" t="s">
        <v>2853</v>
      </c>
      <c r="N778" s="510" t="s">
        <v>2088</v>
      </c>
      <c r="O778" s="511">
        <v>44071</v>
      </c>
      <c r="P778" s="510" t="s">
        <v>3061</v>
      </c>
      <c r="Q778" s="510" t="s">
        <v>2829</v>
      </c>
      <c r="R778" s="512"/>
      <c r="S778" s="513" t="e">
        <f>Table1372[[#This Row],[DATE  CLOSED]]-Table1372[[#This Row],[INITIATION DATE]]</f>
        <v>#VALUE!</v>
      </c>
    </row>
    <row r="779" spans="1:19" ht="140.25" x14ac:dyDescent="0.2">
      <c r="A779" s="340" t="s">
        <v>5644</v>
      </c>
      <c r="B779" s="514">
        <v>44049</v>
      </c>
      <c r="C779" s="341" t="s">
        <v>5645</v>
      </c>
      <c r="D779" s="341" t="s">
        <v>5646</v>
      </c>
      <c r="E779" s="342" t="s">
        <v>2971</v>
      </c>
      <c r="F779" s="516">
        <v>1</v>
      </c>
      <c r="G779" s="342" t="s">
        <v>2836</v>
      </c>
      <c r="H779" s="342" t="s">
        <v>229</v>
      </c>
      <c r="I779" s="342" t="s">
        <v>755</v>
      </c>
      <c r="J779" s="514">
        <v>44074</v>
      </c>
      <c r="K779" s="514"/>
      <c r="L779" s="514"/>
      <c r="M779" s="342" t="s">
        <v>2853</v>
      </c>
      <c r="N779" s="516" t="s">
        <v>2088</v>
      </c>
      <c r="O779" s="517">
        <v>44070</v>
      </c>
      <c r="P779" s="516" t="s">
        <v>3061</v>
      </c>
      <c r="Q779" s="516" t="s">
        <v>2829</v>
      </c>
      <c r="R779" s="518" t="s">
        <v>5080</v>
      </c>
      <c r="S779" s="519" t="e">
        <f>Table1372[[#This Row],[DATE  CLOSED]]-Table1372[[#This Row],[INITIATION DATE]]</f>
        <v>#VALUE!</v>
      </c>
    </row>
    <row r="780" spans="1:19" ht="89.25" x14ac:dyDescent="0.2">
      <c r="A780" s="338" t="s">
        <v>5647</v>
      </c>
      <c r="B780" s="508">
        <v>44054</v>
      </c>
      <c r="C780" s="509" t="s">
        <v>5648</v>
      </c>
      <c r="D780" s="509" t="s">
        <v>5649</v>
      </c>
      <c r="E780" s="510" t="s">
        <v>5606</v>
      </c>
      <c r="F780" s="510">
        <v>1</v>
      </c>
      <c r="G780" s="510" t="s">
        <v>2828</v>
      </c>
      <c r="H780" s="510" t="s">
        <v>615</v>
      </c>
      <c r="I780" s="510" t="s">
        <v>3211</v>
      </c>
      <c r="J780" s="508">
        <v>44074</v>
      </c>
      <c r="K780" s="508"/>
      <c r="L780" s="508"/>
      <c r="M780" s="510" t="s">
        <v>2853</v>
      </c>
      <c r="N780" s="510" t="s">
        <v>2088</v>
      </c>
      <c r="O780" s="511">
        <v>44056</v>
      </c>
      <c r="P780" s="510" t="s">
        <v>3061</v>
      </c>
      <c r="Q780" s="510" t="s">
        <v>2829</v>
      </c>
      <c r="R780" s="512" t="s">
        <v>5080</v>
      </c>
      <c r="S780" s="513" t="e">
        <f>Table1372[[#This Row],[DATE  CLOSED]]-Table1372[[#This Row],[INITIATION DATE]]</f>
        <v>#VALUE!</v>
      </c>
    </row>
    <row r="781" spans="1:19" ht="51" x14ac:dyDescent="0.2">
      <c r="A781" s="340" t="s">
        <v>5650</v>
      </c>
      <c r="B781" s="514">
        <v>44054</v>
      </c>
      <c r="C781" s="341" t="s">
        <v>5651</v>
      </c>
      <c r="D781" s="341" t="s">
        <v>5652</v>
      </c>
      <c r="E781" s="342" t="s">
        <v>3586</v>
      </c>
      <c r="F781" s="516">
        <v>1</v>
      </c>
      <c r="G781" s="342" t="s">
        <v>2828</v>
      </c>
      <c r="H781" s="342" t="s">
        <v>3423</v>
      </c>
      <c r="I781" s="342" t="s">
        <v>3211</v>
      </c>
      <c r="J781" s="514">
        <v>44074</v>
      </c>
      <c r="K781" s="514"/>
      <c r="L781" s="514"/>
      <c r="M781" s="342" t="s">
        <v>2853</v>
      </c>
      <c r="N781" s="516" t="s">
        <v>2088</v>
      </c>
      <c r="O781" s="517">
        <v>44056</v>
      </c>
      <c r="P781" s="516" t="s">
        <v>3061</v>
      </c>
      <c r="Q781" s="516" t="s">
        <v>2829</v>
      </c>
      <c r="R781" s="518" t="s">
        <v>5080</v>
      </c>
      <c r="S781" s="519" t="e">
        <f>Table1372[[#This Row],[DATE  CLOSED]]-Table1372[[#This Row],[INITIATION DATE]]</f>
        <v>#VALUE!</v>
      </c>
    </row>
    <row r="782" spans="1:19" ht="51" x14ac:dyDescent="0.2">
      <c r="A782" s="338" t="s">
        <v>5653</v>
      </c>
      <c r="B782" s="508">
        <v>44055</v>
      </c>
      <c r="C782" s="343" t="s">
        <v>5654</v>
      </c>
      <c r="D782" s="343" t="s">
        <v>5655</v>
      </c>
      <c r="E782" s="344" t="s">
        <v>4610</v>
      </c>
      <c r="F782" s="510">
        <v>1</v>
      </c>
      <c r="G782" s="344" t="s">
        <v>2828</v>
      </c>
      <c r="H782" s="344" t="s">
        <v>4021</v>
      </c>
      <c r="I782" s="344" t="s">
        <v>3211</v>
      </c>
      <c r="J782" s="508">
        <v>44104</v>
      </c>
      <c r="K782" s="508"/>
      <c r="L782" s="508"/>
      <c r="M782" s="510" t="s">
        <v>2853</v>
      </c>
      <c r="N782" s="510" t="s">
        <v>2088</v>
      </c>
      <c r="O782" s="511">
        <v>44089</v>
      </c>
      <c r="P782" s="510" t="s">
        <v>3061</v>
      </c>
      <c r="Q782" s="510" t="s">
        <v>2832</v>
      </c>
      <c r="R782" s="512" t="s">
        <v>5080</v>
      </c>
      <c r="S782" s="513" t="e">
        <f>Table1372[[#This Row],[DATE  CLOSED]]-Table1372[[#This Row],[INITIATION DATE]]</f>
        <v>#VALUE!</v>
      </c>
    </row>
    <row r="783" spans="1:19" ht="51" x14ac:dyDescent="0.2">
      <c r="A783" s="340" t="s">
        <v>5656</v>
      </c>
      <c r="B783" s="514">
        <v>44056</v>
      </c>
      <c r="C783" s="341" t="s">
        <v>5657</v>
      </c>
      <c r="D783" s="341" t="s">
        <v>5658</v>
      </c>
      <c r="E783" s="342" t="s">
        <v>4675</v>
      </c>
      <c r="F783" s="516">
        <v>1</v>
      </c>
      <c r="G783" s="342" t="s">
        <v>2828</v>
      </c>
      <c r="H783" s="342" t="s">
        <v>3423</v>
      </c>
      <c r="I783" s="342" t="s">
        <v>3211</v>
      </c>
      <c r="J783" s="514">
        <v>44316</v>
      </c>
      <c r="K783" s="514"/>
      <c r="L783" s="514"/>
      <c r="M783" s="516" t="s">
        <v>2853</v>
      </c>
      <c r="N783" s="516" t="s">
        <v>2088</v>
      </c>
      <c r="O783" s="517">
        <v>44210</v>
      </c>
      <c r="P783" s="516" t="s">
        <v>3061</v>
      </c>
      <c r="Q783" s="516" t="s">
        <v>2835</v>
      </c>
      <c r="R783" s="518" t="s">
        <v>5080</v>
      </c>
      <c r="S783" s="519" t="e">
        <f>Table1372[[#This Row],[DATE  CLOSED]]-Table1372[[#This Row],[INITIATION DATE]]</f>
        <v>#VALUE!</v>
      </c>
    </row>
    <row r="784" spans="1:19" ht="76.5" x14ac:dyDescent="0.2">
      <c r="A784" s="338" t="s">
        <v>5659</v>
      </c>
      <c r="B784" s="508">
        <v>44056</v>
      </c>
      <c r="C784" s="343" t="s">
        <v>5660</v>
      </c>
      <c r="D784" s="343" t="s">
        <v>5661</v>
      </c>
      <c r="E784" s="344" t="s">
        <v>2971</v>
      </c>
      <c r="F784" s="510">
        <v>1</v>
      </c>
      <c r="G784" s="344" t="s">
        <v>2838</v>
      </c>
      <c r="H784" s="344" t="s">
        <v>685</v>
      </c>
      <c r="I784" s="344" t="s">
        <v>229</v>
      </c>
      <c r="J784" s="508">
        <v>44074</v>
      </c>
      <c r="K784" s="508"/>
      <c r="L784" s="508"/>
      <c r="M784" s="510" t="s">
        <v>2853</v>
      </c>
      <c r="N784" s="510"/>
      <c r="O784" s="511">
        <v>44056</v>
      </c>
      <c r="P784" s="510" t="s">
        <v>3061</v>
      </c>
      <c r="Q784" s="510" t="s">
        <v>2829</v>
      </c>
      <c r="R784" s="512"/>
      <c r="S784" s="513" t="e">
        <f>Table1372[[#This Row],[DATE  CLOSED]]-Table1372[[#This Row],[INITIATION DATE]]</f>
        <v>#VALUE!</v>
      </c>
    </row>
    <row r="785" spans="1:19" ht="51" x14ac:dyDescent="0.2">
      <c r="A785" s="340" t="s">
        <v>5662</v>
      </c>
      <c r="B785" s="514">
        <v>44056</v>
      </c>
      <c r="C785" s="515" t="s">
        <v>5663</v>
      </c>
      <c r="D785" s="515" t="s">
        <v>5661</v>
      </c>
      <c r="E785" s="516" t="s">
        <v>2971</v>
      </c>
      <c r="F785" s="516">
        <v>1</v>
      </c>
      <c r="G785" s="516" t="s">
        <v>2838</v>
      </c>
      <c r="H785" s="516" t="s">
        <v>685</v>
      </c>
      <c r="I785" s="516" t="s">
        <v>229</v>
      </c>
      <c r="J785" s="514">
        <v>44074</v>
      </c>
      <c r="K785" s="514"/>
      <c r="L785" s="514"/>
      <c r="M785" s="516" t="s">
        <v>2853</v>
      </c>
      <c r="N785" s="516" t="s">
        <v>2088</v>
      </c>
      <c r="O785" s="517">
        <v>44082</v>
      </c>
      <c r="P785" s="516" t="s">
        <v>3022</v>
      </c>
      <c r="Q785" s="516" t="s">
        <v>2829</v>
      </c>
      <c r="R785" s="518" t="s">
        <v>5080</v>
      </c>
      <c r="S785" s="519" t="e">
        <f>Table1372[[#This Row],[DATE  CLOSED]]-Table1372[[#This Row],[INITIATION DATE]]</f>
        <v>#VALUE!</v>
      </c>
    </row>
    <row r="786" spans="1:19" ht="204" x14ac:dyDescent="0.2">
      <c r="A786" s="338" t="s">
        <v>5664</v>
      </c>
      <c r="B786" s="508">
        <v>44056</v>
      </c>
      <c r="C786" s="509" t="s">
        <v>5665</v>
      </c>
      <c r="D786" s="509" t="s">
        <v>5661</v>
      </c>
      <c r="E786" s="510" t="s">
        <v>2971</v>
      </c>
      <c r="F786" s="510">
        <v>1</v>
      </c>
      <c r="G786" s="510" t="s">
        <v>2838</v>
      </c>
      <c r="H786" s="510" t="s">
        <v>685</v>
      </c>
      <c r="I786" s="510" t="s">
        <v>229</v>
      </c>
      <c r="J786" s="508">
        <v>44074</v>
      </c>
      <c r="K786" s="508">
        <v>44104</v>
      </c>
      <c r="L786" s="508">
        <v>44134</v>
      </c>
      <c r="M786" s="510" t="s">
        <v>2853</v>
      </c>
      <c r="N786" s="510" t="s">
        <v>3061</v>
      </c>
      <c r="O786" s="511">
        <v>44113</v>
      </c>
      <c r="P786" s="510" t="s">
        <v>3061</v>
      </c>
      <c r="Q786" s="510" t="s">
        <v>2832</v>
      </c>
      <c r="R786" s="512" t="s">
        <v>5080</v>
      </c>
      <c r="S786" s="513" t="e">
        <f>Table1372[[#This Row],[DATE  CLOSED]]-Table1372[[#This Row],[INITIATION DATE]]</f>
        <v>#VALUE!</v>
      </c>
    </row>
    <row r="787" spans="1:19" ht="51" x14ac:dyDescent="0.2">
      <c r="A787" s="340" t="s">
        <v>5666</v>
      </c>
      <c r="B787" s="514">
        <v>44056</v>
      </c>
      <c r="C787" s="341" t="s">
        <v>5667</v>
      </c>
      <c r="D787" s="341" t="s">
        <v>3518</v>
      </c>
      <c r="E787" s="342" t="s">
        <v>5606</v>
      </c>
      <c r="F787" s="516">
        <v>1</v>
      </c>
      <c r="G787" s="342" t="s">
        <v>2828</v>
      </c>
      <c r="H787" s="342" t="s">
        <v>615</v>
      </c>
      <c r="I787" s="342" t="s">
        <v>3211</v>
      </c>
      <c r="J787" s="514">
        <v>44196</v>
      </c>
      <c r="K787" s="514">
        <v>44286</v>
      </c>
      <c r="L787" s="514" t="s">
        <v>2088</v>
      </c>
      <c r="M787" s="342" t="s">
        <v>2853</v>
      </c>
      <c r="N787" s="516" t="s">
        <v>3061</v>
      </c>
      <c r="O787" s="517">
        <v>44285</v>
      </c>
      <c r="P787" s="516" t="s">
        <v>4224</v>
      </c>
      <c r="Q787" s="516" t="s">
        <v>2837</v>
      </c>
      <c r="R787" s="518" t="s">
        <v>6157</v>
      </c>
      <c r="S787" s="519" t="e">
        <f>Table1372[[#This Row],[DATE  CLOSED]]-Table1372[[#This Row],[INITIATION DATE]]</f>
        <v>#VALUE!</v>
      </c>
    </row>
    <row r="788" spans="1:19" ht="51" x14ac:dyDescent="0.2">
      <c r="A788" s="338" t="s">
        <v>5668</v>
      </c>
      <c r="B788" s="508">
        <v>44061</v>
      </c>
      <c r="C788" s="509" t="s">
        <v>5669</v>
      </c>
      <c r="D788" s="509" t="s">
        <v>5375</v>
      </c>
      <c r="E788" s="510" t="s">
        <v>3519</v>
      </c>
      <c r="F788" s="510">
        <v>1</v>
      </c>
      <c r="G788" s="510" t="s">
        <v>2828</v>
      </c>
      <c r="H788" s="510" t="s">
        <v>5670</v>
      </c>
      <c r="I788" s="510" t="s">
        <v>3926</v>
      </c>
      <c r="J788" s="508">
        <v>44074</v>
      </c>
      <c r="K788" s="508"/>
      <c r="L788" s="508"/>
      <c r="M788" s="510" t="s">
        <v>2853</v>
      </c>
      <c r="N788" s="510" t="s">
        <v>2088</v>
      </c>
      <c r="O788" s="511">
        <v>44071</v>
      </c>
      <c r="P788" s="510" t="s">
        <v>3061</v>
      </c>
      <c r="Q788" s="510" t="s">
        <v>2829</v>
      </c>
      <c r="R788" s="512" t="s">
        <v>5080</v>
      </c>
      <c r="S788" s="513" t="e">
        <f>Table1372[[#This Row],[DATE  CLOSED]]-Table1372[[#This Row],[INITIATION DATE]]</f>
        <v>#VALUE!</v>
      </c>
    </row>
    <row r="789" spans="1:19" ht="51" x14ac:dyDescent="0.2">
      <c r="A789" s="521" t="s">
        <v>5671</v>
      </c>
      <c r="B789" s="514">
        <v>44061</v>
      </c>
      <c r="C789" s="515" t="s">
        <v>5672</v>
      </c>
      <c r="D789" s="515" t="s">
        <v>5673</v>
      </c>
      <c r="E789" s="516" t="s">
        <v>3586</v>
      </c>
      <c r="F789" s="516">
        <v>1</v>
      </c>
      <c r="G789" s="516" t="s">
        <v>2828</v>
      </c>
      <c r="H789" s="516" t="s">
        <v>3423</v>
      </c>
      <c r="I789" s="516" t="s">
        <v>3211</v>
      </c>
      <c r="J789" s="514">
        <v>44104</v>
      </c>
      <c r="K789" s="514"/>
      <c r="L789" s="514"/>
      <c r="M789" s="516" t="s">
        <v>2853</v>
      </c>
      <c r="N789" s="516" t="s">
        <v>2088</v>
      </c>
      <c r="O789" s="517">
        <v>44063</v>
      </c>
      <c r="P789" s="516" t="s">
        <v>3061</v>
      </c>
      <c r="Q789" s="516" t="s">
        <v>2829</v>
      </c>
      <c r="R789" s="518" t="s">
        <v>5080</v>
      </c>
      <c r="S789" s="519" t="e">
        <f>Table1372[[#This Row],[DATE  CLOSED]]-Table1372[[#This Row],[INITIATION DATE]]</f>
        <v>#VALUE!</v>
      </c>
    </row>
    <row r="790" spans="1:19" ht="51" x14ac:dyDescent="0.2">
      <c r="A790" s="520" t="s">
        <v>5674</v>
      </c>
      <c r="B790" s="508">
        <v>44061</v>
      </c>
      <c r="C790" s="509" t="s">
        <v>5675</v>
      </c>
      <c r="D790" s="509" t="s">
        <v>3039</v>
      </c>
      <c r="E790" s="510" t="s">
        <v>2971</v>
      </c>
      <c r="F790" s="510">
        <v>1</v>
      </c>
      <c r="G790" s="510" t="s">
        <v>2841</v>
      </c>
      <c r="H790" s="510" t="s">
        <v>3423</v>
      </c>
      <c r="I790" s="510" t="s">
        <v>3211</v>
      </c>
      <c r="J790" s="508">
        <v>44104</v>
      </c>
      <c r="K790" s="508"/>
      <c r="L790" s="508"/>
      <c r="M790" s="510" t="s">
        <v>2853</v>
      </c>
      <c r="N790" s="510" t="s">
        <v>2088</v>
      </c>
      <c r="O790" s="511">
        <v>44071</v>
      </c>
      <c r="P790" s="510" t="s">
        <v>3061</v>
      </c>
      <c r="Q790" s="510" t="s">
        <v>2829</v>
      </c>
      <c r="R790" s="512" t="s">
        <v>5080</v>
      </c>
      <c r="S790" s="513" t="e">
        <f>Table1372[[#This Row],[DATE  CLOSED]]-Table1372[[#This Row],[INITIATION DATE]]</f>
        <v>#VALUE!</v>
      </c>
    </row>
    <row r="791" spans="1:19" ht="51" x14ac:dyDescent="0.2">
      <c r="A791" s="521" t="s">
        <v>5677</v>
      </c>
      <c r="B791" s="514">
        <v>44061</v>
      </c>
      <c r="C791" s="515" t="s">
        <v>5678</v>
      </c>
      <c r="D791" s="515" t="s">
        <v>3039</v>
      </c>
      <c r="E791" s="516" t="s">
        <v>2971</v>
      </c>
      <c r="F791" s="516">
        <v>1</v>
      </c>
      <c r="G791" s="516" t="s">
        <v>2841</v>
      </c>
      <c r="H791" s="516" t="s">
        <v>1339</v>
      </c>
      <c r="I791" s="516" t="s">
        <v>229</v>
      </c>
      <c r="J791" s="514">
        <v>44104</v>
      </c>
      <c r="K791" s="514"/>
      <c r="L791" s="514"/>
      <c r="M791" s="516" t="s">
        <v>2853</v>
      </c>
      <c r="N791" s="516" t="s">
        <v>2088</v>
      </c>
      <c r="O791" s="517">
        <v>44095</v>
      </c>
      <c r="P791" s="516" t="s">
        <v>3061</v>
      </c>
      <c r="Q791" s="516" t="s">
        <v>2832</v>
      </c>
      <c r="R791" s="518" t="s">
        <v>5080</v>
      </c>
      <c r="S791" s="519" t="e">
        <f>Table1372[[#This Row],[DATE  CLOSED]]-Table1372[[#This Row],[INITIATION DATE]]</f>
        <v>#VALUE!</v>
      </c>
    </row>
    <row r="792" spans="1:19" ht="63.75" x14ac:dyDescent="0.2">
      <c r="A792" s="520" t="s">
        <v>5679</v>
      </c>
      <c r="B792" s="508">
        <v>44062</v>
      </c>
      <c r="C792" s="509" t="s">
        <v>5680</v>
      </c>
      <c r="D792" s="509" t="s">
        <v>5681</v>
      </c>
      <c r="E792" s="510" t="s">
        <v>2971</v>
      </c>
      <c r="F792" s="510">
        <v>1</v>
      </c>
      <c r="G792" s="510" t="s">
        <v>2841</v>
      </c>
      <c r="H792" s="510" t="s">
        <v>237</v>
      </c>
      <c r="I792" s="510" t="s">
        <v>229</v>
      </c>
      <c r="J792" s="508">
        <v>44104</v>
      </c>
      <c r="K792" s="339"/>
      <c r="L792" s="339"/>
      <c r="M792" s="344" t="s">
        <v>2853</v>
      </c>
      <c r="N792" s="510" t="s">
        <v>2088</v>
      </c>
      <c r="O792" s="511">
        <v>44116</v>
      </c>
      <c r="P792" s="510" t="s">
        <v>3022</v>
      </c>
      <c r="Q792" s="510" t="s">
        <v>2832</v>
      </c>
      <c r="R792" s="512"/>
      <c r="S792" s="513" t="e">
        <f>Table1372[[#This Row],[DATE  CLOSED]]-Table1372[[#This Row],[INITIATION DATE]]</f>
        <v>#VALUE!</v>
      </c>
    </row>
    <row r="793" spans="1:19" ht="51" x14ac:dyDescent="0.2">
      <c r="A793" s="521" t="s">
        <v>5682</v>
      </c>
      <c r="B793" s="514">
        <v>44062</v>
      </c>
      <c r="C793" s="515" t="s">
        <v>5683</v>
      </c>
      <c r="D793" s="515" t="s">
        <v>5684</v>
      </c>
      <c r="E793" s="516" t="s">
        <v>5608</v>
      </c>
      <c r="F793" s="516">
        <v>1</v>
      </c>
      <c r="G793" s="516" t="s">
        <v>2828</v>
      </c>
      <c r="H793" s="516" t="s">
        <v>4232</v>
      </c>
      <c r="I793" s="516" t="s">
        <v>3211</v>
      </c>
      <c r="J793" s="514">
        <v>44104</v>
      </c>
      <c r="K793" s="514"/>
      <c r="L793" s="514"/>
      <c r="M793" s="516" t="s">
        <v>2853</v>
      </c>
      <c r="N793" s="516" t="s">
        <v>2088</v>
      </c>
      <c r="O793" s="517">
        <v>44063</v>
      </c>
      <c r="P793" s="516" t="s">
        <v>3061</v>
      </c>
      <c r="Q793" s="516" t="s">
        <v>2829</v>
      </c>
      <c r="R793" s="518" t="s">
        <v>5080</v>
      </c>
      <c r="S793" s="519" t="e">
        <f>Table1372[[#This Row],[DATE  CLOSED]]-Table1372[[#This Row],[INITIATION DATE]]</f>
        <v>#VALUE!</v>
      </c>
    </row>
    <row r="794" spans="1:19" ht="51" x14ac:dyDescent="0.2">
      <c r="A794" s="520" t="s">
        <v>5685</v>
      </c>
      <c r="B794" s="508">
        <v>44063</v>
      </c>
      <c r="C794" s="509" t="s">
        <v>5686</v>
      </c>
      <c r="D794" s="509" t="s">
        <v>3039</v>
      </c>
      <c r="E794" s="510" t="s">
        <v>2971</v>
      </c>
      <c r="F794" s="510">
        <v>1</v>
      </c>
      <c r="G794" s="510" t="s">
        <v>2841</v>
      </c>
      <c r="H794" s="510" t="s">
        <v>755</v>
      </c>
      <c r="I794" s="510" t="s">
        <v>229</v>
      </c>
      <c r="J794" s="508">
        <v>44074</v>
      </c>
      <c r="K794" s="508"/>
      <c r="L794" s="508"/>
      <c r="M794" s="510" t="s">
        <v>2853</v>
      </c>
      <c r="N794" s="510" t="s">
        <v>2088</v>
      </c>
      <c r="O794" s="511">
        <v>44067</v>
      </c>
      <c r="P794" s="510" t="s">
        <v>3061</v>
      </c>
      <c r="Q794" s="510" t="s">
        <v>2829</v>
      </c>
      <c r="R794" s="512" t="s">
        <v>5080</v>
      </c>
      <c r="S794" s="513" t="e">
        <f>Table1372[[#This Row],[DATE  CLOSED]]-Table1372[[#This Row],[INITIATION DATE]]</f>
        <v>#VALUE!</v>
      </c>
    </row>
    <row r="795" spans="1:19" ht="51" x14ac:dyDescent="0.2">
      <c r="A795" s="521" t="s">
        <v>5687</v>
      </c>
      <c r="B795" s="514">
        <v>44071</v>
      </c>
      <c r="C795" s="341" t="s">
        <v>5688</v>
      </c>
      <c r="D795" s="341" t="s">
        <v>3039</v>
      </c>
      <c r="E795" s="342" t="s">
        <v>2971</v>
      </c>
      <c r="F795" s="516">
        <v>1</v>
      </c>
      <c r="G795" s="342" t="s">
        <v>2841</v>
      </c>
      <c r="H795" s="342" t="s">
        <v>229</v>
      </c>
      <c r="I795" s="342" t="s">
        <v>755</v>
      </c>
      <c r="J795" s="514">
        <v>44104</v>
      </c>
      <c r="K795" s="514"/>
      <c r="L795" s="514"/>
      <c r="M795" s="342" t="s">
        <v>2853</v>
      </c>
      <c r="N795" s="516" t="s">
        <v>2088</v>
      </c>
      <c r="O795" s="517">
        <v>44088</v>
      </c>
      <c r="P795" s="516" t="s">
        <v>3061</v>
      </c>
      <c r="Q795" s="516" t="s">
        <v>2829</v>
      </c>
      <c r="R795" s="518" t="s">
        <v>5080</v>
      </c>
      <c r="S795" s="519" t="e">
        <f>Table1372[[#This Row],[DATE  CLOSED]]-Table1372[[#This Row],[INITIATION DATE]]</f>
        <v>#VALUE!</v>
      </c>
    </row>
    <row r="796" spans="1:19" ht="63.75" x14ac:dyDescent="0.2">
      <c r="A796" s="520" t="s">
        <v>5689</v>
      </c>
      <c r="B796" s="508">
        <v>44076</v>
      </c>
      <c r="C796" s="509" t="s">
        <v>5691</v>
      </c>
      <c r="D796" s="509" t="s">
        <v>5694</v>
      </c>
      <c r="E796" s="510" t="s">
        <v>2971</v>
      </c>
      <c r="F796" s="510">
        <v>1</v>
      </c>
      <c r="G796" s="510" t="s">
        <v>2836</v>
      </c>
      <c r="H796" s="510" t="s">
        <v>3991</v>
      </c>
      <c r="I796" s="510" t="s">
        <v>229</v>
      </c>
      <c r="J796" s="508">
        <v>44165</v>
      </c>
      <c r="K796" s="508">
        <v>44286</v>
      </c>
      <c r="L796" s="508"/>
      <c r="M796" s="510" t="s">
        <v>2853</v>
      </c>
      <c r="N796" s="510" t="s">
        <v>3061</v>
      </c>
      <c r="O796" s="511">
        <v>44286</v>
      </c>
      <c r="P796" s="510" t="s">
        <v>3061</v>
      </c>
      <c r="Q796" s="510" t="s">
        <v>2835</v>
      </c>
      <c r="R796" s="512"/>
      <c r="S796" s="513" t="e">
        <f>Table1372[[#This Row],[DATE  CLOSED]]-Table1372[[#This Row],[INITIATION DATE]]</f>
        <v>#VALUE!</v>
      </c>
    </row>
    <row r="797" spans="1:19" ht="38.25" x14ac:dyDescent="0.2">
      <c r="A797" s="521" t="s">
        <v>5690</v>
      </c>
      <c r="B797" s="514">
        <v>44076</v>
      </c>
      <c r="C797" s="515" t="s">
        <v>5692</v>
      </c>
      <c r="D797" s="515" t="s">
        <v>5693</v>
      </c>
      <c r="E797" s="516" t="s">
        <v>2971</v>
      </c>
      <c r="F797" s="516">
        <v>1</v>
      </c>
      <c r="G797" s="516" t="s">
        <v>2841</v>
      </c>
      <c r="H797" s="516" t="s">
        <v>3991</v>
      </c>
      <c r="I797" s="516" t="s">
        <v>229</v>
      </c>
      <c r="J797" s="514">
        <v>44286</v>
      </c>
      <c r="K797" s="514">
        <v>44316</v>
      </c>
      <c r="L797" s="514"/>
      <c r="M797" s="516" t="s">
        <v>2853</v>
      </c>
      <c r="N797" s="516" t="s">
        <v>3061</v>
      </c>
      <c r="O797" s="517">
        <v>44316</v>
      </c>
      <c r="P797" s="516" t="s">
        <v>3061</v>
      </c>
      <c r="Q797" s="516" t="s">
        <v>2837</v>
      </c>
      <c r="R797" s="518"/>
      <c r="S797" s="519" t="e">
        <f>Table1372[[#This Row],[DATE  CLOSED]]-Table1372[[#This Row],[INITIATION DATE]]</f>
        <v>#VALUE!</v>
      </c>
    </row>
    <row r="798" spans="1:19" ht="51" x14ac:dyDescent="0.2">
      <c r="A798" s="520" t="s">
        <v>5695</v>
      </c>
      <c r="B798" s="508">
        <v>44082</v>
      </c>
      <c r="C798" s="509" t="s">
        <v>5696</v>
      </c>
      <c r="D798" s="509" t="s">
        <v>5697</v>
      </c>
      <c r="E798" s="510" t="s">
        <v>3764</v>
      </c>
      <c r="F798" s="510">
        <v>1</v>
      </c>
      <c r="G798" s="510" t="s">
        <v>2828</v>
      </c>
      <c r="H798" s="510" t="s">
        <v>5698</v>
      </c>
      <c r="I798" s="510" t="s">
        <v>3926</v>
      </c>
      <c r="J798" s="508">
        <v>44135</v>
      </c>
      <c r="K798" s="508"/>
      <c r="L798" s="508"/>
      <c r="M798" s="510" t="s">
        <v>2853</v>
      </c>
      <c r="N798" s="510" t="s">
        <v>2088</v>
      </c>
      <c r="O798" s="511">
        <v>44111</v>
      </c>
      <c r="P798" s="510" t="s">
        <v>3061</v>
      </c>
      <c r="Q798" s="510" t="s">
        <v>2829</v>
      </c>
      <c r="R798" s="512" t="s">
        <v>5080</v>
      </c>
      <c r="S798" s="513" t="e">
        <f>Table1372[[#This Row],[DATE  CLOSED]]-Table1372[[#This Row],[INITIATION DATE]]</f>
        <v>#VALUE!</v>
      </c>
    </row>
    <row r="799" spans="1:19" ht="51" x14ac:dyDescent="0.2">
      <c r="A799" s="521" t="s">
        <v>5699</v>
      </c>
      <c r="B799" s="514">
        <v>44083</v>
      </c>
      <c r="C799" s="341" t="s">
        <v>5700</v>
      </c>
      <c r="D799" s="341"/>
      <c r="E799" s="342" t="s">
        <v>2971</v>
      </c>
      <c r="F799" s="516">
        <v>1</v>
      </c>
      <c r="G799" s="516" t="s">
        <v>2836</v>
      </c>
      <c r="H799" s="342" t="s">
        <v>4163</v>
      </c>
      <c r="I799" s="342" t="s">
        <v>3211</v>
      </c>
      <c r="J799" s="514">
        <v>44135</v>
      </c>
      <c r="K799" s="514"/>
      <c r="L799" s="514"/>
      <c r="M799" s="516" t="s">
        <v>2847</v>
      </c>
      <c r="N799" s="516"/>
      <c r="O799" s="517"/>
      <c r="P799" s="516"/>
      <c r="Q799" s="516"/>
      <c r="R799" s="518"/>
      <c r="S799" s="519" t="e">
        <f>Table1372[[#This Row],[DATE  CLOSED]]-Table1372[[#This Row],[INITIATION DATE]]</f>
        <v>#VALUE!</v>
      </c>
    </row>
    <row r="800" spans="1:19" ht="127.5" x14ac:dyDescent="0.2">
      <c r="A800" s="520" t="s">
        <v>5701</v>
      </c>
      <c r="B800" s="508">
        <v>44082</v>
      </c>
      <c r="C800" s="509" t="s">
        <v>5702</v>
      </c>
      <c r="D800" s="509" t="s">
        <v>5661</v>
      </c>
      <c r="E800" s="510" t="s">
        <v>2971</v>
      </c>
      <c r="F800" s="510">
        <v>1</v>
      </c>
      <c r="G800" s="510" t="s">
        <v>2838</v>
      </c>
      <c r="H800" s="510" t="s">
        <v>685</v>
      </c>
      <c r="I800" s="510" t="s">
        <v>755</v>
      </c>
      <c r="J800" s="508">
        <v>44092</v>
      </c>
      <c r="K800" s="508"/>
      <c r="L800" s="508"/>
      <c r="M800" s="510" t="s">
        <v>2853</v>
      </c>
      <c r="N800" s="510" t="s">
        <v>2088</v>
      </c>
      <c r="O800" s="511">
        <v>44092</v>
      </c>
      <c r="P800" s="510" t="s">
        <v>3061</v>
      </c>
      <c r="Q800" s="510" t="s">
        <v>2829</v>
      </c>
      <c r="R800" s="512" t="s">
        <v>5080</v>
      </c>
      <c r="S800" s="513" t="e">
        <f>Table1372[[#This Row],[DATE  CLOSED]]-Table1372[[#This Row],[INITIATION DATE]]</f>
        <v>#VALUE!</v>
      </c>
    </row>
    <row r="801" spans="1:19" ht="38.25" x14ac:dyDescent="0.2">
      <c r="A801" s="521" t="s">
        <v>5704</v>
      </c>
      <c r="B801" s="514">
        <v>44083</v>
      </c>
      <c r="C801" s="341" t="s">
        <v>5706</v>
      </c>
      <c r="D801" s="341" t="s">
        <v>5705</v>
      </c>
      <c r="E801" s="342" t="s">
        <v>2971</v>
      </c>
      <c r="F801" s="516">
        <v>1</v>
      </c>
      <c r="G801" s="342" t="s">
        <v>2836</v>
      </c>
      <c r="H801" s="342" t="s">
        <v>481</v>
      </c>
      <c r="I801" s="342" t="s">
        <v>229</v>
      </c>
      <c r="J801" s="514">
        <v>44104</v>
      </c>
      <c r="K801" s="514">
        <v>44165</v>
      </c>
      <c r="L801" s="514"/>
      <c r="M801" s="342" t="s">
        <v>2847</v>
      </c>
      <c r="N801" s="516" t="s">
        <v>3061</v>
      </c>
      <c r="O801" s="517"/>
      <c r="P801" s="516"/>
      <c r="Q801" s="516"/>
      <c r="R801" s="518"/>
      <c r="S801" s="519" t="e">
        <f>Table1372[[#This Row],[DATE  CLOSED]]-Table1372[[#This Row],[INITIATION DATE]]</f>
        <v>#VALUE!</v>
      </c>
    </row>
    <row r="802" spans="1:19" ht="127.5" x14ac:dyDescent="0.2">
      <c r="A802" s="520" t="s">
        <v>5707</v>
      </c>
      <c r="B802" s="508">
        <v>44089</v>
      </c>
      <c r="C802" s="509" t="s">
        <v>5708</v>
      </c>
      <c r="D802" s="509" t="s">
        <v>5709</v>
      </c>
      <c r="E802" s="510" t="s">
        <v>4675</v>
      </c>
      <c r="F802" s="510">
        <v>1</v>
      </c>
      <c r="G802" s="510" t="s">
        <v>2828</v>
      </c>
      <c r="H802" s="510" t="s">
        <v>3975</v>
      </c>
      <c r="I802" s="510" t="s">
        <v>3211</v>
      </c>
      <c r="J802" s="508">
        <v>44104</v>
      </c>
      <c r="K802" s="508"/>
      <c r="L802" s="508"/>
      <c r="M802" s="510" t="s">
        <v>2853</v>
      </c>
      <c r="N802" s="510" t="s">
        <v>2088</v>
      </c>
      <c r="O802" s="511">
        <v>44102</v>
      </c>
      <c r="P802" s="510" t="s">
        <v>3061</v>
      </c>
      <c r="Q802" s="510" t="s">
        <v>2829</v>
      </c>
      <c r="R802" s="512" t="s">
        <v>5080</v>
      </c>
      <c r="S802" s="513" t="e">
        <f>Table1372[[#This Row],[DATE  CLOSED]]-Table1372[[#This Row],[INITIATION DATE]]</f>
        <v>#VALUE!</v>
      </c>
    </row>
    <row r="803" spans="1:19" ht="51" x14ac:dyDescent="0.2">
      <c r="A803" s="521" t="s">
        <v>5710</v>
      </c>
      <c r="B803" s="514">
        <v>44091</v>
      </c>
      <c r="C803" s="515" t="s">
        <v>5713</v>
      </c>
      <c r="D803" s="341" t="s">
        <v>5711</v>
      </c>
      <c r="E803" s="342" t="s">
        <v>2971</v>
      </c>
      <c r="F803" s="516">
        <v>1</v>
      </c>
      <c r="G803" s="516" t="s">
        <v>2841</v>
      </c>
      <c r="H803" s="342" t="s">
        <v>4021</v>
      </c>
      <c r="I803" s="342" t="s">
        <v>3211</v>
      </c>
      <c r="J803" s="514">
        <v>44135</v>
      </c>
      <c r="K803" s="514"/>
      <c r="L803" s="514"/>
      <c r="M803" s="342" t="s">
        <v>2853</v>
      </c>
      <c r="N803" s="516" t="s">
        <v>2088</v>
      </c>
      <c r="O803" s="517">
        <v>44131</v>
      </c>
      <c r="P803" s="516" t="s">
        <v>3061</v>
      </c>
      <c r="Q803" s="516" t="s">
        <v>2832</v>
      </c>
      <c r="R803" s="518" t="s">
        <v>5080</v>
      </c>
      <c r="S803" s="519" t="e">
        <f>Table1372[[#This Row],[DATE  CLOSED]]-Table1372[[#This Row],[INITIATION DATE]]</f>
        <v>#VALUE!</v>
      </c>
    </row>
    <row r="804" spans="1:19" ht="51" x14ac:dyDescent="0.2">
      <c r="A804" s="338" t="s">
        <v>5712</v>
      </c>
      <c r="B804" s="508">
        <v>44091</v>
      </c>
      <c r="C804" s="343" t="s">
        <v>5714</v>
      </c>
      <c r="D804" s="343" t="s">
        <v>5773</v>
      </c>
      <c r="E804" s="344" t="s">
        <v>2971</v>
      </c>
      <c r="F804" s="510">
        <v>1</v>
      </c>
      <c r="G804" s="344" t="s">
        <v>2841</v>
      </c>
      <c r="H804" s="344" t="s">
        <v>3842</v>
      </c>
      <c r="I804" s="344" t="s">
        <v>3211</v>
      </c>
      <c r="J804" s="508">
        <v>44104</v>
      </c>
      <c r="K804" s="508"/>
      <c r="L804" s="508"/>
      <c r="M804" s="344" t="s">
        <v>2853</v>
      </c>
      <c r="N804" s="510" t="s">
        <v>3022</v>
      </c>
      <c r="O804" s="511">
        <v>44120</v>
      </c>
      <c r="P804" s="510" t="s">
        <v>3022</v>
      </c>
      <c r="Q804" s="510" t="s">
        <v>2829</v>
      </c>
      <c r="R804" s="512" t="s">
        <v>5080</v>
      </c>
      <c r="S804" s="513" t="e">
        <f>Table1372[[#This Row],[DATE  CLOSED]]-Table1372[[#This Row],[INITIATION DATE]]</f>
        <v>#VALUE!</v>
      </c>
    </row>
    <row r="805" spans="1:19" ht="89.25" x14ac:dyDescent="0.2">
      <c r="A805" s="340" t="s">
        <v>5715</v>
      </c>
      <c r="B805" s="514">
        <v>44096</v>
      </c>
      <c r="C805" s="515" t="s">
        <v>5716</v>
      </c>
      <c r="D805" s="515" t="s">
        <v>5392</v>
      </c>
      <c r="E805" s="516" t="s">
        <v>5717</v>
      </c>
      <c r="F805" s="516">
        <v>1</v>
      </c>
      <c r="G805" s="516" t="s">
        <v>2841</v>
      </c>
      <c r="H805" s="516" t="s">
        <v>3991</v>
      </c>
      <c r="I805" s="516" t="s">
        <v>229</v>
      </c>
      <c r="J805" s="514">
        <v>44165</v>
      </c>
      <c r="K805" s="514"/>
      <c r="L805" s="514"/>
      <c r="M805" s="516" t="s">
        <v>2853</v>
      </c>
      <c r="N805" s="516" t="s">
        <v>2088</v>
      </c>
      <c r="O805" s="517">
        <v>44126</v>
      </c>
      <c r="P805" s="516" t="s">
        <v>3061</v>
      </c>
      <c r="Q805" s="516" t="s">
        <v>2829</v>
      </c>
      <c r="R805" s="518"/>
      <c r="S805" s="519" t="e">
        <f>Table1372[[#This Row],[DATE  CLOSED]]-Table1372[[#This Row],[INITIATION DATE]]</f>
        <v>#VALUE!</v>
      </c>
    </row>
    <row r="806" spans="1:19" ht="102" x14ac:dyDescent="0.2">
      <c r="A806" s="338" t="s">
        <v>5718</v>
      </c>
      <c r="B806" s="508">
        <v>44097</v>
      </c>
      <c r="C806" s="509" t="s">
        <v>5719</v>
      </c>
      <c r="D806" s="509" t="s">
        <v>5661</v>
      </c>
      <c r="E806" s="510" t="s">
        <v>5717</v>
      </c>
      <c r="F806" s="510">
        <v>1</v>
      </c>
      <c r="G806" s="510" t="s">
        <v>2838</v>
      </c>
      <c r="H806" s="510" t="s">
        <v>685</v>
      </c>
      <c r="I806" s="510" t="s">
        <v>229</v>
      </c>
      <c r="J806" s="508">
        <v>44134</v>
      </c>
      <c r="K806" s="508">
        <v>44196</v>
      </c>
      <c r="L806" s="508"/>
      <c r="M806" s="510" t="s">
        <v>2853</v>
      </c>
      <c r="N806" s="510" t="s">
        <v>3061</v>
      </c>
      <c r="O806" s="511">
        <v>44194</v>
      </c>
      <c r="P806" s="510" t="s">
        <v>3061</v>
      </c>
      <c r="Q806" s="510" t="s">
        <v>2832</v>
      </c>
      <c r="R806" s="512"/>
      <c r="S806" s="513" t="e">
        <f>Table1372[[#This Row],[DATE  CLOSED]]-Table1372[[#This Row],[INITIATION DATE]]</f>
        <v>#VALUE!</v>
      </c>
    </row>
    <row r="807" spans="1:19" ht="51" x14ac:dyDescent="0.2">
      <c r="A807" s="340" t="s">
        <v>5720</v>
      </c>
      <c r="B807" s="514">
        <v>44098</v>
      </c>
      <c r="C807" s="341" t="s">
        <v>5721</v>
      </c>
      <c r="D807" s="515" t="s">
        <v>5722</v>
      </c>
      <c r="E807" s="342" t="s">
        <v>3210</v>
      </c>
      <c r="F807" s="516">
        <v>1</v>
      </c>
      <c r="G807" s="342" t="s">
        <v>2840</v>
      </c>
      <c r="H807" s="342" t="s">
        <v>814</v>
      </c>
      <c r="I807" s="342" t="s">
        <v>229</v>
      </c>
      <c r="J807" s="514">
        <v>44104</v>
      </c>
      <c r="K807" s="514"/>
      <c r="L807" s="514"/>
      <c r="M807" s="342" t="s">
        <v>2853</v>
      </c>
      <c r="N807" s="516" t="s">
        <v>2088</v>
      </c>
      <c r="O807" s="517">
        <v>44099</v>
      </c>
      <c r="P807" s="516" t="s">
        <v>3061</v>
      </c>
      <c r="Q807" s="516" t="s">
        <v>2829</v>
      </c>
      <c r="R807" s="518"/>
      <c r="S807" s="519" t="e">
        <f>Table1372[[#This Row],[DATE  CLOSED]]-Table1372[[#This Row],[INITIATION DATE]]</f>
        <v>#VALUE!</v>
      </c>
    </row>
    <row r="808" spans="1:19" ht="38.25" x14ac:dyDescent="0.2">
      <c r="A808" s="520" t="s">
        <v>5723</v>
      </c>
      <c r="B808" s="508">
        <v>44099</v>
      </c>
      <c r="C808" s="509" t="s">
        <v>5724</v>
      </c>
      <c r="D808" s="509" t="s">
        <v>3039</v>
      </c>
      <c r="E808" s="510" t="s">
        <v>5717</v>
      </c>
      <c r="F808" s="510">
        <v>1</v>
      </c>
      <c r="G808" s="510" t="s">
        <v>2841</v>
      </c>
      <c r="H808" s="510" t="s">
        <v>3227</v>
      </c>
      <c r="I808" s="510" t="s">
        <v>3211</v>
      </c>
      <c r="J808" s="508">
        <v>44104</v>
      </c>
      <c r="K808" s="508"/>
      <c r="L808" s="508"/>
      <c r="M808" s="510" t="s">
        <v>2853</v>
      </c>
      <c r="N808" s="510" t="s">
        <v>3022</v>
      </c>
      <c r="O808" s="511">
        <v>44120</v>
      </c>
      <c r="P808" s="510" t="s">
        <v>3022</v>
      </c>
      <c r="Q808" s="510" t="s">
        <v>2829</v>
      </c>
      <c r="R808" s="512"/>
      <c r="S808" s="513" t="e">
        <f>Table1372[[#This Row],[DATE  CLOSED]]-Table1372[[#This Row],[INITIATION DATE]]</f>
        <v>#VALUE!</v>
      </c>
    </row>
    <row r="809" spans="1:19" ht="51" x14ac:dyDescent="0.2">
      <c r="A809" s="521" t="s">
        <v>5725</v>
      </c>
      <c r="B809" s="514">
        <v>44103</v>
      </c>
      <c r="C809" s="515" t="s">
        <v>5727</v>
      </c>
      <c r="D809" s="515" t="s">
        <v>5728</v>
      </c>
      <c r="E809" s="516" t="s">
        <v>3921</v>
      </c>
      <c r="F809" s="516">
        <v>1</v>
      </c>
      <c r="G809" s="516" t="s">
        <v>2828</v>
      </c>
      <c r="H809" s="516" t="s">
        <v>1351</v>
      </c>
      <c r="I809" s="516" t="s">
        <v>3211</v>
      </c>
      <c r="J809" s="514">
        <v>44255</v>
      </c>
      <c r="K809" s="514"/>
      <c r="L809" s="514"/>
      <c r="M809" s="516" t="s">
        <v>2853</v>
      </c>
      <c r="N809" s="516" t="s">
        <v>2088</v>
      </c>
      <c r="O809" s="517">
        <v>44508</v>
      </c>
      <c r="P809" s="516" t="s">
        <v>3061</v>
      </c>
      <c r="Q809" s="516" t="s">
        <v>2832</v>
      </c>
      <c r="R809" s="518"/>
      <c r="S809" s="519" t="e">
        <f>Table1372[[#This Row],[DATE  CLOSED]]-Table1372[[#This Row],[INITIATION DATE]]</f>
        <v>#VALUE!</v>
      </c>
    </row>
    <row r="810" spans="1:19" ht="76.5" x14ac:dyDescent="0.2">
      <c r="A810" s="520" t="s">
        <v>5726</v>
      </c>
      <c r="B810" s="508">
        <v>44103</v>
      </c>
      <c r="C810" s="509" t="s">
        <v>5729</v>
      </c>
      <c r="D810" s="509" t="s">
        <v>5730</v>
      </c>
      <c r="E810" s="510" t="s">
        <v>4631</v>
      </c>
      <c r="F810" s="510">
        <v>1</v>
      </c>
      <c r="G810" s="510" t="s">
        <v>2828</v>
      </c>
      <c r="H810" s="510" t="s">
        <v>3975</v>
      </c>
      <c r="I810" s="510" t="s">
        <v>3926</v>
      </c>
      <c r="J810" s="508">
        <v>44135</v>
      </c>
      <c r="K810" s="508">
        <v>44196</v>
      </c>
      <c r="L810" s="508"/>
      <c r="M810" s="510" t="s">
        <v>2853</v>
      </c>
      <c r="N810" s="510" t="s">
        <v>3061</v>
      </c>
      <c r="O810" s="511">
        <v>44141</v>
      </c>
      <c r="P810" s="510" t="s">
        <v>3061</v>
      </c>
      <c r="Q810" s="510" t="s">
        <v>2832</v>
      </c>
      <c r="R810" s="512"/>
      <c r="S810" s="513" t="e">
        <f>Table1372[[#This Row],[DATE  CLOSED]]-Table1372[[#This Row],[INITIATION DATE]]</f>
        <v>#VALUE!</v>
      </c>
    </row>
    <row r="811" spans="1:19" ht="51" x14ac:dyDescent="0.2">
      <c r="A811" s="521" t="s">
        <v>5731</v>
      </c>
      <c r="B811" s="514">
        <v>44103</v>
      </c>
      <c r="C811" s="341" t="s">
        <v>5798</v>
      </c>
      <c r="D811" s="341" t="s">
        <v>5375</v>
      </c>
      <c r="E811" s="342" t="s">
        <v>3777</v>
      </c>
      <c r="F811" s="516">
        <v>1</v>
      </c>
      <c r="G811" s="342" t="s">
        <v>2828</v>
      </c>
      <c r="H811" s="342" t="s">
        <v>4021</v>
      </c>
      <c r="I811" s="342" t="s">
        <v>3926</v>
      </c>
      <c r="J811" s="514">
        <v>44165</v>
      </c>
      <c r="K811" s="514"/>
      <c r="L811" s="514"/>
      <c r="M811" s="342" t="s">
        <v>2853</v>
      </c>
      <c r="N811" s="516" t="s">
        <v>2088</v>
      </c>
      <c r="O811" s="517">
        <v>44138</v>
      </c>
      <c r="P811" s="516" t="s">
        <v>3061</v>
      </c>
      <c r="Q811" s="516" t="s">
        <v>2832</v>
      </c>
      <c r="R811" s="518"/>
      <c r="S811" s="519" t="e">
        <f>Table1372[[#This Row],[DATE  CLOSED]]-Table1372[[#This Row],[INITIATION DATE]]</f>
        <v>#VALUE!</v>
      </c>
    </row>
    <row r="812" spans="1:19" ht="51" x14ac:dyDescent="0.2">
      <c r="A812" s="520" t="s">
        <v>5732</v>
      </c>
      <c r="B812" s="508">
        <v>44104</v>
      </c>
      <c r="C812" s="343" t="s">
        <v>5733</v>
      </c>
      <c r="D812" s="343" t="s">
        <v>5734</v>
      </c>
      <c r="E812" s="344" t="s">
        <v>2971</v>
      </c>
      <c r="F812" s="510">
        <v>1</v>
      </c>
      <c r="G812" s="510" t="s">
        <v>2840</v>
      </c>
      <c r="H812" s="344" t="s">
        <v>727</v>
      </c>
      <c r="I812" s="344" t="s">
        <v>229</v>
      </c>
      <c r="J812" s="508">
        <v>44104</v>
      </c>
      <c r="K812" s="508"/>
      <c r="L812" s="508"/>
      <c r="M812" s="510" t="s">
        <v>2853</v>
      </c>
      <c r="N812" s="510" t="s">
        <v>2088</v>
      </c>
      <c r="O812" s="511">
        <v>44104</v>
      </c>
      <c r="P812" s="510" t="s">
        <v>3061</v>
      </c>
      <c r="Q812" s="510" t="s">
        <v>2829</v>
      </c>
      <c r="R812" s="512"/>
      <c r="S812" s="513" t="e">
        <f>Table1372[[#This Row],[DATE  CLOSED]]-Table1372[[#This Row],[INITIATION DATE]]</f>
        <v>#VALUE!</v>
      </c>
    </row>
    <row r="813" spans="1:19" ht="51" x14ac:dyDescent="0.2">
      <c r="A813" s="521" t="s">
        <v>5735</v>
      </c>
      <c r="B813" s="514">
        <v>44105</v>
      </c>
      <c r="C813" s="515" t="s">
        <v>5736</v>
      </c>
      <c r="D813" s="515" t="s">
        <v>5737</v>
      </c>
      <c r="E813" s="516" t="s">
        <v>2971</v>
      </c>
      <c r="F813" s="516">
        <v>1</v>
      </c>
      <c r="G813" s="516" t="s">
        <v>2828</v>
      </c>
      <c r="H813" s="516" t="s">
        <v>3423</v>
      </c>
      <c r="I813" s="516" t="s">
        <v>3211</v>
      </c>
      <c r="J813" s="514">
        <v>44135</v>
      </c>
      <c r="K813" s="514"/>
      <c r="L813" s="514"/>
      <c r="M813" s="516" t="s">
        <v>2853</v>
      </c>
      <c r="N813" s="516" t="s">
        <v>2088</v>
      </c>
      <c r="O813" s="517">
        <v>44109</v>
      </c>
      <c r="P813" s="516" t="s">
        <v>3061</v>
      </c>
      <c r="Q813" s="516" t="s">
        <v>2829</v>
      </c>
      <c r="R813" s="518"/>
      <c r="S813" s="519" t="e">
        <f>Table1372[[#This Row],[DATE  CLOSED]]-Table1372[[#This Row],[INITIATION DATE]]</f>
        <v>#VALUE!</v>
      </c>
    </row>
    <row r="814" spans="1:19" ht="114.75" x14ac:dyDescent="0.2">
      <c r="A814" s="520" t="s">
        <v>5738</v>
      </c>
      <c r="B814" s="508">
        <v>44106</v>
      </c>
      <c r="C814" s="343" t="s">
        <v>5739</v>
      </c>
      <c r="D814" s="343" t="s">
        <v>5740</v>
      </c>
      <c r="E814" s="344" t="s">
        <v>2971</v>
      </c>
      <c r="F814" s="510">
        <v>1</v>
      </c>
      <c r="G814" s="510" t="s">
        <v>2840</v>
      </c>
      <c r="H814" s="344" t="s">
        <v>3991</v>
      </c>
      <c r="I814" s="344" t="s">
        <v>229</v>
      </c>
      <c r="J814" s="508">
        <v>44165</v>
      </c>
      <c r="K814" s="508"/>
      <c r="L814" s="508"/>
      <c r="M814" s="344" t="s">
        <v>2853</v>
      </c>
      <c r="N814" s="510" t="s">
        <v>2088</v>
      </c>
      <c r="O814" s="511">
        <v>44106</v>
      </c>
      <c r="P814" s="510" t="s">
        <v>3061</v>
      </c>
      <c r="Q814" s="510" t="s">
        <v>2829</v>
      </c>
      <c r="R814" s="512" t="s">
        <v>5080</v>
      </c>
      <c r="S814" s="513" t="e">
        <f>Table1372[[#This Row],[DATE  CLOSED]]-Table1372[[#This Row],[INITIATION DATE]]</f>
        <v>#VALUE!</v>
      </c>
    </row>
    <row r="815" spans="1:19" ht="51" x14ac:dyDescent="0.2">
      <c r="A815" s="521" t="s">
        <v>5741</v>
      </c>
      <c r="B815" s="514">
        <v>44106</v>
      </c>
      <c r="C815" s="341" t="s">
        <v>5742</v>
      </c>
      <c r="D815" s="341" t="s">
        <v>5375</v>
      </c>
      <c r="E815" s="342" t="s">
        <v>5743</v>
      </c>
      <c r="F815" s="516">
        <v>1</v>
      </c>
      <c r="G815" s="342" t="s">
        <v>2828</v>
      </c>
      <c r="H815" s="342" t="s">
        <v>615</v>
      </c>
      <c r="I815" s="342" t="s">
        <v>3926</v>
      </c>
      <c r="J815" s="514">
        <v>44120</v>
      </c>
      <c r="K815" s="514"/>
      <c r="L815" s="514"/>
      <c r="M815" s="342" t="s">
        <v>2853</v>
      </c>
      <c r="N815" s="516" t="s">
        <v>2088</v>
      </c>
      <c r="O815" s="517">
        <v>44126</v>
      </c>
      <c r="P815" s="516" t="s">
        <v>3022</v>
      </c>
      <c r="Q815" s="516" t="s">
        <v>2829</v>
      </c>
      <c r="R815" s="439"/>
      <c r="S815" s="519" t="e">
        <f>Table1372[[#This Row],[DATE  CLOSED]]-Table1372[[#This Row],[INITIATION DATE]]</f>
        <v>#VALUE!</v>
      </c>
    </row>
    <row r="816" spans="1:19" ht="127.5" x14ac:dyDescent="0.2">
      <c r="A816" s="520" t="s">
        <v>5744</v>
      </c>
      <c r="B816" s="508">
        <v>44109</v>
      </c>
      <c r="C816" s="343" t="s">
        <v>5803</v>
      </c>
      <c r="D816" s="343" t="s">
        <v>5804</v>
      </c>
      <c r="E816" s="344" t="s">
        <v>5608</v>
      </c>
      <c r="F816" s="510">
        <v>1</v>
      </c>
      <c r="G816" s="344" t="s">
        <v>2828</v>
      </c>
      <c r="H816" s="344" t="s">
        <v>4232</v>
      </c>
      <c r="I816" s="344" t="s">
        <v>3211</v>
      </c>
      <c r="J816" s="508">
        <v>44135</v>
      </c>
      <c r="K816" s="508"/>
      <c r="L816" s="508"/>
      <c r="M816" s="344" t="s">
        <v>2853</v>
      </c>
      <c r="N816" s="510" t="s">
        <v>2088</v>
      </c>
      <c r="O816" s="511">
        <v>44131</v>
      </c>
      <c r="P816" s="510" t="s">
        <v>3061</v>
      </c>
      <c r="Q816" s="510" t="s">
        <v>2829</v>
      </c>
      <c r="R816" s="440"/>
      <c r="S816" s="513" t="e">
        <f>Table1372[[#This Row],[DATE  CLOSED]]-Table1372[[#This Row],[INITIATION DATE]]</f>
        <v>#VALUE!</v>
      </c>
    </row>
    <row r="817" spans="1:19" ht="89.25" x14ac:dyDescent="0.2">
      <c r="A817" s="521" t="s">
        <v>5745</v>
      </c>
      <c r="B817" s="514">
        <v>44113</v>
      </c>
      <c r="C817" s="515" t="s">
        <v>5747</v>
      </c>
      <c r="D817" s="515" t="s">
        <v>5748</v>
      </c>
      <c r="E817" s="516" t="s">
        <v>5746</v>
      </c>
      <c r="F817" s="516">
        <v>1</v>
      </c>
      <c r="G817" s="516" t="s">
        <v>2828</v>
      </c>
      <c r="H817" s="516" t="s">
        <v>4232</v>
      </c>
      <c r="I817" s="516" t="s">
        <v>3211</v>
      </c>
      <c r="J817" s="514">
        <v>44135</v>
      </c>
      <c r="K817" s="514"/>
      <c r="L817" s="514"/>
      <c r="M817" s="516" t="s">
        <v>2853</v>
      </c>
      <c r="N817" s="516" t="s">
        <v>2088</v>
      </c>
      <c r="O817" s="517">
        <v>44126</v>
      </c>
      <c r="P817" s="516" t="s">
        <v>3061</v>
      </c>
      <c r="Q817" s="516" t="s">
        <v>2829</v>
      </c>
      <c r="R817" s="439"/>
      <c r="S817" s="519" t="e">
        <f>Table1372[[#This Row],[DATE  CLOSED]]-Table1372[[#This Row],[INITIATION DATE]]</f>
        <v>#VALUE!</v>
      </c>
    </row>
    <row r="818" spans="1:19" ht="127.5" x14ac:dyDescent="0.2">
      <c r="A818" s="520" t="s">
        <v>5749</v>
      </c>
      <c r="B818" s="508">
        <v>44113</v>
      </c>
      <c r="C818" s="509" t="s">
        <v>5751</v>
      </c>
      <c r="D818" s="509" t="s">
        <v>5750</v>
      </c>
      <c r="E818" s="510" t="s">
        <v>2971</v>
      </c>
      <c r="F818" s="510">
        <v>1</v>
      </c>
      <c r="G818" s="510" t="s">
        <v>2840</v>
      </c>
      <c r="H818" s="510" t="s">
        <v>229</v>
      </c>
      <c r="I818" s="510" t="s">
        <v>755</v>
      </c>
      <c r="J818" s="508">
        <v>44135</v>
      </c>
      <c r="K818" s="508"/>
      <c r="L818" s="508"/>
      <c r="M818" s="510" t="s">
        <v>2853</v>
      </c>
      <c r="N818" s="510"/>
      <c r="O818" s="511">
        <v>44134</v>
      </c>
      <c r="P818" s="510" t="s">
        <v>3061</v>
      </c>
      <c r="Q818" s="510" t="s">
        <v>2829</v>
      </c>
      <c r="R818" s="512"/>
      <c r="S818" s="513" t="e">
        <f>Table1372[[#This Row],[DATE  CLOSED]]-Table1372[[#This Row],[INITIATION DATE]]</f>
        <v>#VALUE!</v>
      </c>
    </row>
    <row r="819" spans="1:19" ht="51" x14ac:dyDescent="0.2">
      <c r="A819" s="521" t="s">
        <v>5752</v>
      </c>
      <c r="B819" s="514">
        <v>44116</v>
      </c>
      <c r="C819" s="515" t="s">
        <v>5753</v>
      </c>
      <c r="D819" s="515" t="s">
        <v>3039</v>
      </c>
      <c r="E819" s="516" t="s">
        <v>2971</v>
      </c>
      <c r="F819" s="516">
        <v>1</v>
      </c>
      <c r="G819" s="516" t="s">
        <v>2841</v>
      </c>
      <c r="H819" s="516" t="s">
        <v>229</v>
      </c>
      <c r="I819" s="516" t="s">
        <v>755</v>
      </c>
      <c r="J819" s="514">
        <v>44165</v>
      </c>
      <c r="K819" s="514"/>
      <c r="L819" s="514"/>
      <c r="M819" s="516" t="s">
        <v>2853</v>
      </c>
      <c r="N819" s="516" t="s">
        <v>2088</v>
      </c>
      <c r="O819" s="517">
        <v>44146</v>
      </c>
      <c r="P819" s="516" t="s">
        <v>3061</v>
      </c>
      <c r="Q819" s="516" t="s">
        <v>2829</v>
      </c>
      <c r="R819" s="439"/>
      <c r="S819" s="519" t="e">
        <f>Table1372[[#This Row],[DATE  CLOSED]]-Table1372[[#This Row],[INITIATION DATE]]</f>
        <v>#VALUE!</v>
      </c>
    </row>
    <row r="820" spans="1:19" ht="51" x14ac:dyDescent="0.2">
      <c r="A820" s="520" t="s">
        <v>5754</v>
      </c>
      <c r="B820" s="508">
        <v>44118</v>
      </c>
      <c r="C820" s="509" t="s">
        <v>5755</v>
      </c>
      <c r="D820" s="509" t="s">
        <v>3039</v>
      </c>
      <c r="E820" s="510" t="s">
        <v>2971</v>
      </c>
      <c r="F820" s="510">
        <v>1</v>
      </c>
      <c r="G820" s="510" t="s">
        <v>2841</v>
      </c>
      <c r="H820" s="510" t="s">
        <v>229</v>
      </c>
      <c r="I820" s="510" t="s">
        <v>3645</v>
      </c>
      <c r="J820" s="508">
        <v>44165</v>
      </c>
      <c r="K820" s="508"/>
      <c r="L820" s="508"/>
      <c r="M820" s="510" t="s">
        <v>2853</v>
      </c>
      <c r="N820" s="510" t="s">
        <v>2088</v>
      </c>
      <c r="O820" s="511">
        <v>44138</v>
      </c>
      <c r="P820" s="510" t="s">
        <v>3061</v>
      </c>
      <c r="Q820" s="510" t="s">
        <v>2829</v>
      </c>
      <c r="R820" s="512"/>
      <c r="S820" s="513" t="e">
        <f>Table1372[[#This Row],[DATE  CLOSED]]-Table1372[[#This Row],[INITIATION DATE]]</f>
        <v>#VALUE!</v>
      </c>
    </row>
    <row r="821" spans="1:19" ht="89.25" x14ac:dyDescent="0.2">
      <c r="A821" s="340" t="s">
        <v>5756</v>
      </c>
      <c r="B821" s="514">
        <v>44118</v>
      </c>
      <c r="C821" s="341" t="s">
        <v>5757</v>
      </c>
      <c r="D821" s="341" t="s">
        <v>4870</v>
      </c>
      <c r="E821" s="342" t="s">
        <v>5608</v>
      </c>
      <c r="F821" s="516">
        <v>1</v>
      </c>
      <c r="G821" s="342" t="s">
        <v>2828</v>
      </c>
      <c r="H821" s="342" t="s">
        <v>4232</v>
      </c>
      <c r="I821" s="342" t="s">
        <v>3211</v>
      </c>
      <c r="J821" s="514">
        <v>44135</v>
      </c>
      <c r="K821" s="514"/>
      <c r="L821" s="514"/>
      <c r="M821" s="342" t="s">
        <v>2853</v>
      </c>
      <c r="N821" s="516" t="s">
        <v>2088</v>
      </c>
      <c r="O821" s="517">
        <v>44123</v>
      </c>
      <c r="P821" s="516" t="s">
        <v>3061</v>
      </c>
      <c r="Q821" s="516" t="s">
        <v>2829</v>
      </c>
      <c r="R821" s="518"/>
      <c r="S821" s="519" t="e">
        <f>Table1372[[#This Row],[DATE  CLOSED]]-Table1372[[#This Row],[INITIATION DATE]]</f>
        <v>#VALUE!</v>
      </c>
    </row>
    <row r="822" spans="1:19" ht="114.75" x14ac:dyDescent="0.2">
      <c r="A822" s="338" t="s">
        <v>5758</v>
      </c>
      <c r="B822" s="508">
        <v>44119</v>
      </c>
      <c r="C822" s="509" t="s">
        <v>5759</v>
      </c>
      <c r="D822" s="509" t="s">
        <v>5760</v>
      </c>
      <c r="E822" s="510" t="s">
        <v>2971</v>
      </c>
      <c r="F822" s="510">
        <v>1</v>
      </c>
      <c r="G822" s="510" t="s">
        <v>2840</v>
      </c>
      <c r="H822" s="510" t="s">
        <v>229</v>
      </c>
      <c r="I822" s="510" t="s">
        <v>3645</v>
      </c>
      <c r="J822" s="508">
        <v>44135</v>
      </c>
      <c r="K822" s="508">
        <v>44165</v>
      </c>
      <c r="L822" s="508"/>
      <c r="M822" s="510" t="s">
        <v>2853</v>
      </c>
      <c r="N822" s="510" t="s">
        <v>2088</v>
      </c>
      <c r="O822" s="511">
        <v>44144</v>
      </c>
      <c r="P822" s="510" t="s">
        <v>3061</v>
      </c>
      <c r="Q822" s="510" t="s">
        <v>2829</v>
      </c>
      <c r="R822" s="512" t="s">
        <v>5080</v>
      </c>
      <c r="S822" s="513" t="e">
        <f>Table1372[[#This Row],[DATE  CLOSED]]-Table1372[[#This Row],[INITIATION DATE]]</f>
        <v>#VALUE!</v>
      </c>
    </row>
    <row r="823" spans="1:19" ht="51" x14ac:dyDescent="0.2">
      <c r="A823" s="521" t="s">
        <v>5761</v>
      </c>
      <c r="B823" s="514">
        <v>44119</v>
      </c>
      <c r="C823" s="515" t="s">
        <v>5764</v>
      </c>
      <c r="D823" s="515" t="s">
        <v>5763</v>
      </c>
      <c r="E823" s="516" t="s">
        <v>5762</v>
      </c>
      <c r="F823" s="516">
        <v>1</v>
      </c>
      <c r="G823" s="516" t="s">
        <v>2828</v>
      </c>
      <c r="H823" s="516" t="s">
        <v>2106</v>
      </c>
      <c r="I823" s="516" t="s">
        <v>3211</v>
      </c>
      <c r="J823" s="514">
        <v>44135</v>
      </c>
      <c r="K823" s="514"/>
      <c r="L823" s="514"/>
      <c r="M823" s="516" t="s">
        <v>2853</v>
      </c>
      <c r="N823" s="516" t="s">
        <v>2088</v>
      </c>
      <c r="O823" s="517">
        <v>44120</v>
      </c>
      <c r="P823" s="516" t="s">
        <v>3061</v>
      </c>
      <c r="Q823" s="516" t="s">
        <v>2829</v>
      </c>
      <c r="R823" s="518"/>
      <c r="S823" s="519" t="e">
        <f>Table1372[[#This Row],[DATE  CLOSED]]-Table1372[[#This Row],[INITIATION DATE]]</f>
        <v>#VALUE!</v>
      </c>
    </row>
    <row r="824" spans="1:19" ht="114.75" x14ac:dyDescent="0.2">
      <c r="A824" s="520" t="s">
        <v>5765</v>
      </c>
      <c r="B824" s="508">
        <v>44119</v>
      </c>
      <c r="C824" s="509" t="s">
        <v>5766</v>
      </c>
      <c r="D824" s="509" t="s">
        <v>5767</v>
      </c>
      <c r="E824" s="510" t="s">
        <v>5746</v>
      </c>
      <c r="F824" s="510">
        <v>1</v>
      </c>
      <c r="G824" s="510" t="s">
        <v>2828</v>
      </c>
      <c r="H824" s="510" t="s">
        <v>5768</v>
      </c>
      <c r="I824" s="510" t="s">
        <v>3926</v>
      </c>
      <c r="J824" s="508">
        <v>44135</v>
      </c>
      <c r="K824" s="508"/>
      <c r="L824" s="508"/>
      <c r="M824" s="510" t="s">
        <v>2853</v>
      </c>
      <c r="N824" s="510" t="s">
        <v>2088</v>
      </c>
      <c r="O824" s="511">
        <v>44125</v>
      </c>
      <c r="P824" s="510" t="s">
        <v>3061</v>
      </c>
      <c r="Q824" s="510" t="s">
        <v>2829</v>
      </c>
      <c r="R824" s="512"/>
      <c r="S824" s="513" t="e">
        <f>Table1372[[#This Row],[DATE  CLOSED]]-Table1372[[#This Row],[INITIATION DATE]]</f>
        <v>#VALUE!</v>
      </c>
    </row>
    <row r="825" spans="1:19" ht="38.25" x14ac:dyDescent="0.2">
      <c r="A825" s="521" t="s">
        <v>5770</v>
      </c>
      <c r="B825" s="514">
        <v>44124</v>
      </c>
      <c r="C825" s="515" t="s">
        <v>5772</v>
      </c>
      <c r="D825" s="515" t="s">
        <v>5771</v>
      </c>
      <c r="E825" s="516" t="s">
        <v>2971</v>
      </c>
      <c r="F825" s="516">
        <v>1</v>
      </c>
      <c r="G825" s="516" t="s">
        <v>2828</v>
      </c>
      <c r="H825" s="516" t="s">
        <v>3227</v>
      </c>
      <c r="I825" s="516" t="s">
        <v>3211</v>
      </c>
      <c r="J825" s="514">
        <v>44165</v>
      </c>
      <c r="K825" s="514"/>
      <c r="L825" s="514"/>
      <c r="M825" s="516" t="s">
        <v>2853</v>
      </c>
      <c r="N825" s="516" t="s">
        <v>2088</v>
      </c>
      <c r="O825" s="517">
        <v>44146</v>
      </c>
      <c r="P825" s="516" t="s">
        <v>3061</v>
      </c>
      <c r="Q825" s="516" t="s">
        <v>2829</v>
      </c>
      <c r="R825" s="518"/>
      <c r="S825" s="519" t="e">
        <f>Table1372[[#This Row],[DATE  CLOSED]]-Table1372[[#This Row],[INITIATION DATE]]</f>
        <v>#VALUE!</v>
      </c>
    </row>
    <row r="826" spans="1:19" ht="63.75" x14ac:dyDescent="0.2">
      <c r="A826" s="520" t="s">
        <v>5774</v>
      </c>
      <c r="B826" s="508">
        <v>44127</v>
      </c>
      <c r="C826" s="509" t="s">
        <v>5775</v>
      </c>
      <c r="D826" s="509" t="s">
        <v>5776</v>
      </c>
      <c r="E826" s="510" t="s">
        <v>2971</v>
      </c>
      <c r="F826" s="510">
        <v>1</v>
      </c>
      <c r="G826" s="510" t="s">
        <v>2840</v>
      </c>
      <c r="H826" s="510" t="s">
        <v>481</v>
      </c>
      <c r="I826" s="510" t="s">
        <v>229</v>
      </c>
      <c r="J826" s="508">
        <v>44165</v>
      </c>
      <c r="K826" s="508"/>
      <c r="L826" s="508"/>
      <c r="M826" s="510" t="s">
        <v>2847</v>
      </c>
      <c r="N826" s="510"/>
      <c r="O826" s="511"/>
      <c r="P826" s="510"/>
      <c r="Q826" s="510"/>
      <c r="R826" s="512"/>
      <c r="S826" s="513" t="e">
        <f>Table1372[[#This Row],[DATE  CLOSED]]-Table1372[[#This Row],[INITIATION DATE]]</f>
        <v>#VALUE!</v>
      </c>
    </row>
    <row r="827" spans="1:19" ht="114.75" x14ac:dyDescent="0.2">
      <c r="A827" s="521" t="s">
        <v>5777</v>
      </c>
      <c r="B827" s="514">
        <v>44131</v>
      </c>
      <c r="C827" s="515" t="s">
        <v>5779</v>
      </c>
      <c r="D827" s="515" t="s">
        <v>5778</v>
      </c>
      <c r="E827" s="516" t="s">
        <v>2971</v>
      </c>
      <c r="F827" s="516">
        <v>1</v>
      </c>
      <c r="G827" s="516" t="s">
        <v>2840</v>
      </c>
      <c r="H827" s="516" t="s">
        <v>2106</v>
      </c>
      <c r="I827" s="516" t="s">
        <v>3211</v>
      </c>
      <c r="J827" s="514">
        <v>44316</v>
      </c>
      <c r="K827" s="514"/>
      <c r="L827" s="514"/>
      <c r="M827" s="516" t="s">
        <v>2847</v>
      </c>
      <c r="N827" s="516"/>
      <c r="O827" s="517"/>
      <c r="P827" s="516"/>
      <c r="Q827" s="516"/>
      <c r="R827" s="518"/>
      <c r="S827" s="519" t="e">
        <f>Table1372[[#This Row],[DATE  CLOSED]]-Table1372[[#This Row],[INITIATION DATE]]</f>
        <v>#VALUE!</v>
      </c>
    </row>
    <row r="828" spans="1:19" ht="51" x14ac:dyDescent="0.2">
      <c r="A828" s="520" t="s">
        <v>5780</v>
      </c>
      <c r="B828" s="508">
        <v>44131</v>
      </c>
      <c r="C828" s="509" t="s">
        <v>5781</v>
      </c>
      <c r="D828" s="509" t="s">
        <v>3039</v>
      </c>
      <c r="E828" s="510" t="s">
        <v>2971</v>
      </c>
      <c r="F828" s="510">
        <v>1</v>
      </c>
      <c r="G828" s="510" t="s">
        <v>2841</v>
      </c>
      <c r="H828" s="510" t="s">
        <v>3842</v>
      </c>
      <c r="I828" s="510" t="s">
        <v>3211</v>
      </c>
      <c r="J828" s="508">
        <v>44227</v>
      </c>
      <c r="K828" s="508"/>
      <c r="L828" s="508"/>
      <c r="M828" s="510" t="s">
        <v>2853</v>
      </c>
      <c r="N828" s="510" t="s">
        <v>2088</v>
      </c>
      <c r="O828" s="511">
        <v>44165</v>
      </c>
      <c r="P828" s="510" t="s">
        <v>3061</v>
      </c>
      <c r="Q828" s="510" t="s">
        <v>2829</v>
      </c>
      <c r="R828" s="512"/>
      <c r="S828" s="513" t="e">
        <f>Table1372[[#This Row],[DATE  CLOSED]]-Table1372[[#This Row],[INITIATION DATE]]</f>
        <v>#VALUE!</v>
      </c>
    </row>
    <row r="829" spans="1:19" ht="89.25" x14ac:dyDescent="0.2">
      <c r="A829" s="521" t="s">
        <v>5782</v>
      </c>
      <c r="B829" s="514">
        <v>44132</v>
      </c>
      <c r="C829" s="515" t="s">
        <v>5783</v>
      </c>
      <c r="D829" s="515" t="s">
        <v>5601</v>
      </c>
      <c r="E829" s="516" t="s">
        <v>5784</v>
      </c>
      <c r="F829" s="516">
        <v>1</v>
      </c>
      <c r="G829" s="516" t="s">
        <v>2828</v>
      </c>
      <c r="H829" s="516" t="s">
        <v>5796</v>
      </c>
      <c r="I829" s="516" t="s">
        <v>3926</v>
      </c>
      <c r="J829" s="514">
        <v>44196</v>
      </c>
      <c r="K829" s="514">
        <v>44227</v>
      </c>
      <c r="L829" s="345"/>
      <c r="M829" s="342" t="s">
        <v>2853</v>
      </c>
      <c r="N829" s="342" t="s">
        <v>3061</v>
      </c>
      <c r="O829" s="517">
        <v>44225</v>
      </c>
      <c r="P829" s="342" t="s">
        <v>3061</v>
      </c>
      <c r="Q829" s="516" t="s">
        <v>2832</v>
      </c>
      <c r="R829" s="518"/>
      <c r="S829" s="519" t="e">
        <f>Table1372[[#This Row],[DATE  CLOSED]]-Table1372[[#This Row],[INITIATION DATE]]</f>
        <v>#VALUE!</v>
      </c>
    </row>
    <row r="830" spans="1:19" ht="51" x14ac:dyDescent="0.2">
      <c r="A830" s="520" t="s">
        <v>5785</v>
      </c>
      <c r="B830" s="508">
        <v>44132</v>
      </c>
      <c r="C830" s="509" t="s">
        <v>5786</v>
      </c>
      <c r="D830" s="509" t="s">
        <v>3518</v>
      </c>
      <c r="E830" s="510" t="s">
        <v>5746</v>
      </c>
      <c r="F830" s="510">
        <v>1</v>
      </c>
      <c r="G830" s="510" t="s">
        <v>2828</v>
      </c>
      <c r="H830" s="510" t="s">
        <v>4232</v>
      </c>
      <c r="I830" s="510" t="s">
        <v>3211</v>
      </c>
      <c r="J830" s="508">
        <v>44196</v>
      </c>
      <c r="K830" s="508"/>
      <c r="L830" s="508"/>
      <c r="M830" s="510" t="s">
        <v>2853</v>
      </c>
      <c r="N830" s="510" t="s">
        <v>2088</v>
      </c>
      <c r="O830" s="511">
        <v>44195</v>
      </c>
      <c r="P830" s="510" t="s">
        <v>3061</v>
      </c>
      <c r="Q830" s="510" t="s">
        <v>2832</v>
      </c>
      <c r="R830" s="512"/>
      <c r="S830" s="513" t="e">
        <f>Table1372[[#This Row],[DATE  CLOSED]]-Table1372[[#This Row],[INITIATION DATE]]</f>
        <v>#VALUE!</v>
      </c>
    </row>
    <row r="831" spans="1:19" ht="51" x14ac:dyDescent="0.2">
      <c r="A831" s="521" t="s">
        <v>5787</v>
      </c>
      <c r="B831" s="514">
        <v>44132</v>
      </c>
      <c r="C831" s="515" t="s">
        <v>5788</v>
      </c>
      <c r="D831" s="515" t="s">
        <v>3039</v>
      </c>
      <c r="E831" s="516" t="s">
        <v>2971</v>
      </c>
      <c r="F831" s="516">
        <v>1</v>
      </c>
      <c r="G831" s="516" t="s">
        <v>2841</v>
      </c>
      <c r="H831" s="516" t="s">
        <v>229</v>
      </c>
      <c r="I831" s="516" t="s">
        <v>755</v>
      </c>
      <c r="J831" s="514">
        <v>44165</v>
      </c>
      <c r="K831" s="514"/>
      <c r="L831" s="514"/>
      <c r="M831" s="516" t="s">
        <v>2853</v>
      </c>
      <c r="N831" s="516" t="s">
        <v>2088</v>
      </c>
      <c r="O831" s="517">
        <v>44151</v>
      </c>
      <c r="P831" s="516" t="s">
        <v>3061</v>
      </c>
      <c r="Q831" s="516" t="s">
        <v>2829</v>
      </c>
      <c r="R831" s="518"/>
      <c r="S831" s="519" t="e">
        <f>Table1372[[#This Row],[DATE  CLOSED]]-Table1372[[#This Row],[INITIATION DATE]]</f>
        <v>#VALUE!</v>
      </c>
    </row>
    <row r="832" spans="1:19" ht="51" x14ac:dyDescent="0.2">
      <c r="A832" s="520" t="s">
        <v>5789</v>
      </c>
      <c r="B832" s="508">
        <v>44132</v>
      </c>
      <c r="C832" s="509" t="s">
        <v>5790</v>
      </c>
      <c r="D832" s="509" t="s">
        <v>3039</v>
      </c>
      <c r="E832" s="510" t="s">
        <v>2971</v>
      </c>
      <c r="F832" s="510">
        <v>1</v>
      </c>
      <c r="G832" s="510" t="s">
        <v>2841</v>
      </c>
      <c r="H832" s="510" t="s">
        <v>229</v>
      </c>
      <c r="I832" s="510" t="s">
        <v>755</v>
      </c>
      <c r="J832" s="508">
        <v>44165</v>
      </c>
      <c r="K832" s="508"/>
      <c r="L832" s="508"/>
      <c r="M832" s="510" t="s">
        <v>2853</v>
      </c>
      <c r="N832" s="510" t="s">
        <v>2088</v>
      </c>
      <c r="O832" s="511">
        <v>44151</v>
      </c>
      <c r="P832" s="510" t="s">
        <v>3061</v>
      </c>
      <c r="Q832" s="510" t="s">
        <v>2829</v>
      </c>
      <c r="R832" s="512"/>
      <c r="S832" s="513" t="e">
        <f>Table1372[[#This Row],[DATE  CLOSED]]-Table1372[[#This Row],[INITIATION DATE]]</f>
        <v>#VALUE!</v>
      </c>
    </row>
    <row r="833" spans="1:19" ht="127.5" x14ac:dyDescent="0.2">
      <c r="A833" s="521" t="s">
        <v>5791</v>
      </c>
      <c r="B833" s="514">
        <v>44133</v>
      </c>
      <c r="C833" s="515" t="s">
        <v>5792</v>
      </c>
      <c r="D833" s="515" t="s">
        <v>5793</v>
      </c>
      <c r="E833" s="516" t="s">
        <v>5743</v>
      </c>
      <c r="F833" s="516">
        <v>1</v>
      </c>
      <c r="G833" s="516" t="s">
        <v>2828</v>
      </c>
      <c r="H833" s="516" t="s">
        <v>4163</v>
      </c>
      <c r="I833" s="516" t="s">
        <v>3211</v>
      </c>
      <c r="J833" s="514">
        <v>44316</v>
      </c>
      <c r="K833" s="514">
        <v>44439</v>
      </c>
      <c r="L833" s="514"/>
      <c r="M833" s="516" t="s">
        <v>2847</v>
      </c>
      <c r="N833" s="516"/>
      <c r="O833" s="517"/>
      <c r="P833" s="516"/>
      <c r="Q833" s="516"/>
      <c r="R833" s="518"/>
      <c r="S833" s="519" t="e">
        <f>Table1372[[#This Row],[DATE  CLOSED]]-Table1372[[#This Row],[INITIATION DATE]]</f>
        <v>#VALUE!</v>
      </c>
    </row>
    <row r="834" spans="1:19" ht="51" x14ac:dyDescent="0.2">
      <c r="A834" s="520" t="s">
        <v>5794</v>
      </c>
      <c r="B834" s="508">
        <v>44134</v>
      </c>
      <c r="C834" s="509" t="s">
        <v>5795</v>
      </c>
      <c r="D834" s="509" t="s">
        <v>5697</v>
      </c>
      <c r="E834" s="510" t="s">
        <v>3764</v>
      </c>
      <c r="F834" s="510">
        <v>1</v>
      </c>
      <c r="G834" s="510" t="s">
        <v>2828</v>
      </c>
      <c r="H834" s="510" t="s">
        <v>5797</v>
      </c>
      <c r="I834" s="510" t="s">
        <v>3926</v>
      </c>
      <c r="J834" s="508">
        <v>44196</v>
      </c>
      <c r="K834" s="508"/>
      <c r="L834" s="508"/>
      <c r="M834" s="510" t="s">
        <v>2853</v>
      </c>
      <c r="N834" s="510" t="s">
        <v>2088</v>
      </c>
      <c r="O834" s="511">
        <v>44179</v>
      </c>
      <c r="P834" s="510" t="s">
        <v>3061</v>
      </c>
      <c r="Q834" s="510" t="s">
        <v>2832</v>
      </c>
      <c r="R834" s="512" t="s">
        <v>5080</v>
      </c>
      <c r="S834" s="513" t="e">
        <f>Table1372[[#This Row],[DATE  CLOSED]]-Table1372[[#This Row],[INITIATION DATE]]</f>
        <v>#VALUE!</v>
      </c>
    </row>
    <row r="835" spans="1:19" ht="165.75" x14ac:dyDescent="0.2">
      <c r="A835" s="340" t="s">
        <v>5799</v>
      </c>
      <c r="B835" s="514">
        <v>44134</v>
      </c>
      <c r="C835" s="341" t="s">
        <v>5800</v>
      </c>
      <c r="D835" s="341" t="s">
        <v>5821</v>
      </c>
      <c r="E835" s="342" t="s">
        <v>3532</v>
      </c>
      <c r="F835" s="516">
        <v>1</v>
      </c>
      <c r="G835" s="342" t="s">
        <v>2828</v>
      </c>
      <c r="H835" s="342" t="s">
        <v>3975</v>
      </c>
      <c r="I835" s="342" t="s">
        <v>3211</v>
      </c>
      <c r="J835" s="514">
        <v>44165</v>
      </c>
      <c r="K835" s="514"/>
      <c r="L835" s="514"/>
      <c r="M835" s="342" t="s">
        <v>2853</v>
      </c>
      <c r="N835" s="516" t="s">
        <v>2088</v>
      </c>
      <c r="O835" s="517">
        <v>44141</v>
      </c>
      <c r="P835" s="516" t="s">
        <v>3061</v>
      </c>
      <c r="Q835" s="516" t="s">
        <v>2829</v>
      </c>
      <c r="R835" s="518"/>
      <c r="S835" s="519" t="e">
        <f>Table1372[[#This Row],[DATE  CLOSED]]-Table1372[[#This Row],[INITIATION DATE]]</f>
        <v>#VALUE!</v>
      </c>
    </row>
    <row r="836" spans="1:19" ht="51" x14ac:dyDescent="0.2">
      <c r="A836" s="338" t="s">
        <v>5801</v>
      </c>
      <c r="B836" s="508">
        <v>44134</v>
      </c>
      <c r="C836" s="509" t="s">
        <v>5802</v>
      </c>
      <c r="D836" s="509" t="s">
        <v>3039</v>
      </c>
      <c r="E836" s="510" t="s">
        <v>2971</v>
      </c>
      <c r="F836" s="510">
        <v>1</v>
      </c>
      <c r="G836" s="510" t="s">
        <v>2841</v>
      </c>
      <c r="H836" s="510" t="s">
        <v>229</v>
      </c>
      <c r="I836" s="510" t="s">
        <v>755</v>
      </c>
      <c r="J836" s="508">
        <v>44165</v>
      </c>
      <c r="K836" s="508"/>
      <c r="L836" s="508"/>
      <c r="M836" s="510" t="s">
        <v>2853</v>
      </c>
      <c r="N836" s="510" t="s">
        <v>2088</v>
      </c>
      <c r="O836" s="511">
        <v>44154</v>
      </c>
      <c r="P836" s="510" t="s">
        <v>3061</v>
      </c>
      <c r="Q836" s="510" t="s">
        <v>2829</v>
      </c>
      <c r="R836" s="512"/>
      <c r="S836" s="513" t="e">
        <f>Table1372[[#This Row],[DATE  CLOSED]]-Table1372[[#This Row],[INITIATION DATE]]</f>
        <v>#VALUE!</v>
      </c>
    </row>
    <row r="837" spans="1:19" ht="51" x14ac:dyDescent="0.2">
      <c r="A837" s="340" t="s">
        <v>5805</v>
      </c>
      <c r="B837" s="514">
        <v>44138</v>
      </c>
      <c r="C837" s="515" t="s">
        <v>5806</v>
      </c>
      <c r="D837" s="515" t="s">
        <v>3039</v>
      </c>
      <c r="E837" s="516" t="s">
        <v>2971</v>
      </c>
      <c r="F837" s="516">
        <v>1</v>
      </c>
      <c r="G837" s="516" t="s">
        <v>2841</v>
      </c>
      <c r="H837" s="516" t="s">
        <v>229</v>
      </c>
      <c r="I837" s="516" t="s">
        <v>755</v>
      </c>
      <c r="J837" s="514">
        <v>44165</v>
      </c>
      <c r="K837" s="514"/>
      <c r="L837" s="514"/>
      <c r="M837" s="516" t="s">
        <v>2853</v>
      </c>
      <c r="N837" s="516" t="s">
        <v>2088</v>
      </c>
      <c r="O837" s="517">
        <v>44154</v>
      </c>
      <c r="P837" s="516" t="s">
        <v>3061</v>
      </c>
      <c r="Q837" s="516" t="s">
        <v>2829</v>
      </c>
      <c r="R837" s="518"/>
      <c r="S837" s="519" t="e">
        <f>Table1372[[#This Row],[DATE  CLOSED]]-Table1372[[#This Row],[INITIATION DATE]]</f>
        <v>#VALUE!</v>
      </c>
    </row>
    <row r="838" spans="1:19" ht="51" x14ac:dyDescent="0.2">
      <c r="A838" s="338" t="s">
        <v>5807</v>
      </c>
      <c r="B838" s="508">
        <v>44138</v>
      </c>
      <c r="C838" s="509" t="s">
        <v>5808</v>
      </c>
      <c r="D838" s="509" t="s">
        <v>3039</v>
      </c>
      <c r="E838" s="510" t="s">
        <v>2971</v>
      </c>
      <c r="F838" s="510">
        <v>1</v>
      </c>
      <c r="G838" s="510" t="s">
        <v>2841</v>
      </c>
      <c r="H838" s="510" t="s">
        <v>229</v>
      </c>
      <c r="I838" s="510" t="s">
        <v>755</v>
      </c>
      <c r="J838" s="508">
        <v>44165</v>
      </c>
      <c r="K838" s="508">
        <v>44196</v>
      </c>
      <c r="L838" s="508">
        <v>44255</v>
      </c>
      <c r="M838" s="510" t="s">
        <v>2853</v>
      </c>
      <c r="N838" s="510" t="s">
        <v>3061</v>
      </c>
      <c r="O838" s="511">
        <v>44246</v>
      </c>
      <c r="P838" s="510" t="s">
        <v>3061</v>
      </c>
      <c r="Q838" s="510" t="s">
        <v>6082</v>
      </c>
      <c r="R838" s="512"/>
      <c r="S838" s="513" t="e">
        <f>Table1372[[#This Row],[DATE  CLOSED]]-Table1372[[#This Row],[INITIATION DATE]]</f>
        <v>#VALUE!</v>
      </c>
    </row>
    <row r="839" spans="1:19" ht="51" x14ac:dyDescent="0.2">
      <c r="A839" s="340" t="s">
        <v>5809</v>
      </c>
      <c r="B839" s="514">
        <v>44138</v>
      </c>
      <c r="C839" s="515" t="s">
        <v>5810</v>
      </c>
      <c r="D839" s="515" t="s">
        <v>5811</v>
      </c>
      <c r="E839" s="516" t="s">
        <v>2971</v>
      </c>
      <c r="F839" s="516">
        <v>1</v>
      </c>
      <c r="G839" s="516" t="s">
        <v>2841</v>
      </c>
      <c r="H839" s="516" t="s">
        <v>229</v>
      </c>
      <c r="I839" s="516" t="s">
        <v>727</v>
      </c>
      <c r="J839" s="514">
        <v>44196</v>
      </c>
      <c r="K839" s="514"/>
      <c r="L839" s="514"/>
      <c r="M839" s="516" t="s">
        <v>2853</v>
      </c>
      <c r="N839" s="516" t="s">
        <v>2088</v>
      </c>
      <c r="O839" s="517">
        <v>44144</v>
      </c>
      <c r="P839" s="516" t="s">
        <v>3061</v>
      </c>
      <c r="Q839" s="516" t="s">
        <v>2829</v>
      </c>
      <c r="R839" s="518" t="s">
        <v>5080</v>
      </c>
      <c r="S839" s="519" t="e">
        <f>Table1372[[#This Row],[DATE  CLOSED]]-Table1372[[#This Row],[INITIATION DATE]]</f>
        <v>#VALUE!</v>
      </c>
    </row>
    <row r="840" spans="1:19" ht="63.75" x14ac:dyDescent="0.2">
      <c r="A840" s="338" t="s">
        <v>5812</v>
      </c>
      <c r="B840" s="508">
        <v>44139</v>
      </c>
      <c r="C840" s="509" t="s">
        <v>5813</v>
      </c>
      <c r="D840" s="509" t="s">
        <v>5308</v>
      </c>
      <c r="E840" s="510" t="s">
        <v>2971</v>
      </c>
      <c r="F840" s="510">
        <v>1</v>
      </c>
      <c r="G840" s="510" t="s">
        <v>2840</v>
      </c>
      <c r="H840" s="510" t="s">
        <v>229</v>
      </c>
      <c r="I840" s="510" t="s">
        <v>755</v>
      </c>
      <c r="J840" s="508">
        <v>44196</v>
      </c>
      <c r="K840" s="508"/>
      <c r="L840" s="508"/>
      <c r="M840" s="510" t="s">
        <v>2853</v>
      </c>
      <c r="N840" s="510"/>
      <c r="O840" s="511">
        <v>44177</v>
      </c>
      <c r="P840" s="510" t="s">
        <v>3061</v>
      </c>
      <c r="Q840" s="510" t="s">
        <v>4987</v>
      </c>
      <c r="R840" s="512"/>
      <c r="S840" s="513" t="e">
        <f>Table1372[[#This Row],[DATE  CLOSED]]-Table1372[[#This Row],[INITIATION DATE]]</f>
        <v>#VALUE!</v>
      </c>
    </row>
    <row r="841" spans="1:19" ht="76.5" x14ac:dyDescent="0.2">
      <c r="A841" s="340" t="s">
        <v>5814</v>
      </c>
      <c r="B841" s="514">
        <v>44140</v>
      </c>
      <c r="C841" s="341" t="s">
        <v>5815</v>
      </c>
      <c r="D841" s="341" t="s">
        <v>5816</v>
      </c>
      <c r="E841" s="342" t="s">
        <v>2971</v>
      </c>
      <c r="F841" s="516">
        <v>1</v>
      </c>
      <c r="G841" s="342" t="s">
        <v>2841</v>
      </c>
      <c r="H841" s="342" t="s">
        <v>229</v>
      </c>
      <c r="I841" s="342" t="s">
        <v>755</v>
      </c>
      <c r="J841" s="514">
        <v>44165</v>
      </c>
      <c r="K841" s="514"/>
      <c r="L841" s="514"/>
      <c r="M841" s="342" t="s">
        <v>2853</v>
      </c>
      <c r="N841" s="516" t="s">
        <v>2088</v>
      </c>
      <c r="O841" s="517">
        <v>44144</v>
      </c>
      <c r="P841" s="516" t="s">
        <v>3061</v>
      </c>
      <c r="Q841" s="516" t="s">
        <v>2829</v>
      </c>
      <c r="R841" s="518" t="s">
        <v>5080</v>
      </c>
      <c r="S841" s="519" t="e">
        <f>Table1372[[#This Row],[DATE  CLOSED]]-Table1372[[#This Row],[INITIATION DATE]]</f>
        <v>#VALUE!</v>
      </c>
    </row>
    <row r="842" spans="1:19" ht="51" x14ac:dyDescent="0.2">
      <c r="A842" s="338" t="s">
        <v>5817</v>
      </c>
      <c r="B842" s="508">
        <v>44140</v>
      </c>
      <c r="C842" s="343" t="s">
        <v>5818</v>
      </c>
      <c r="D842" s="343" t="s">
        <v>3039</v>
      </c>
      <c r="E842" s="344" t="s">
        <v>2971</v>
      </c>
      <c r="F842" s="510">
        <v>1</v>
      </c>
      <c r="G842" s="344" t="s">
        <v>2841</v>
      </c>
      <c r="H842" s="344" t="s">
        <v>229</v>
      </c>
      <c r="I842" s="344" t="s">
        <v>755</v>
      </c>
      <c r="J842" s="508">
        <v>44165</v>
      </c>
      <c r="K842" s="508"/>
      <c r="L842" s="508"/>
      <c r="M842" s="344" t="s">
        <v>2853</v>
      </c>
      <c r="N842" s="510" t="s">
        <v>2088</v>
      </c>
      <c r="O842" s="511">
        <v>44154</v>
      </c>
      <c r="P842" s="510" t="s">
        <v>3061</v>
      </c>
      <c r="Q842" s="510" t="s">
        <v>2829</v>
      </c>
      <c r="R842" s="512"/>
      <c r="S842" s="513" t="e">
        <f>Table1372[[#This Row],[DATE  CLOSED]]-Table1372[[#This Row],[INITIATION DATE]]</f>
        <v>#VALUE!</v>
      </c>
    </row>
    <row r="843" spans="1:19" ht="51" x14ac:dyDescent="0.2">
      <c r="A843" s="521" t="s">
        <v>5819</v>
      </c>
      <c r="B843" s="514">
        <v>44145</v>
      </c>
      <c r="C843" s="515" t="s">
        <v>5820</v>
      </c>
      <c r="D843" s="515" t="s">
        <v>3039</v>
      </c>
      <c r="E843" s="516" t="s">
        <v>2971</v>
      </c>
      <c r="F843" s="516">
        <v>1</v>
      </c>
      <c r="G843" s="516" t="s">
        <v>2841</v>
      </c>
      <c r="H843" s="516" t="s">
        <v>3227</v>
      </c>
      <c r="I843" s="516" t="s">
        <v>3211</v>
      </c>
      <c r="J843" s="514">
        <v>44165</v>
      </c>
      <c r="K843" s="514"/>
      <c r="L843" s="514"/>
      <c r="M843" s="516" t="s">
        <v>2853</v>
      </c>
      <c r="N843" s="516" t="s">
        <v>2088</v>
      </c>
      <c r="O843" s="517">
        <v>44165</v>
      </c>
      <c r="P843" s="516" t="s">
        <v>3061</v>
      </c>
      <c r="Q843" s="516" t="s">
        <v>2829</v>
      </c>
      <c r="R843" s="518" t="s">
        <v>5080</v>
      </c>
      <c r="S843" s="519" t="e">
        <f>Table1372[[#This Row],[DATE  CLOSED]]-Table1372[[#This Row],[INITIATION DATE]]</f>
        <v>#VALUE!</v>
      </c>
    </row>
    <row r="844" spans="1:19" ht="51" x14ac:dyDescent="0.2">
      <c r="A844" s="520" t="s">
        <v>5822</v>
      </c>
      <c r="B844" s="508">
        <v>44146</v>
      </c>
      <c r="C844" s="509" t="s">
        <v>5823</v>
      </c>
      <c r="D844" s="509" t="s">
        <v>5824</v>
      </c>
      <c r="E844" s="510" t="s">
        <v>4631</v>
      </c>
      <c r="F844" s="510">
        <v>1</v>
      </c>
      <c r="G844" s="510" t="s">
        <v>2828</v>
      </c>
      <c r="H844" s="510" t="s">
        <v>3975</v>
      </c>
      <c r="I844" s="510" t="s">
        <v>3926</v>
      </c>
      <c r="J844" s="508">
        <v>44165</v>
      </c>
      <c r="K844" s="508"/>
      <c r="L844" s="508"/>
      <c r="M844" s="510" t="s">
        <v>2853</v>
      </c>
      <c r="N844" s="510" t="s">
        <v>2088</v>
      </c>
      <c r="O844" s="511">
        <v>44158</v>
      </c>
      <c r="P844" s="510" t="s">
        <v>3061</v>
      </c>
      <c r="Q844" s="510" t="s">
        <v>2829</v>
      </c>
      <c r="R844" s="512" t="s">
        <v>5080</v>
      </c>
      <c r="S844" s="513" t="e">
        <f>Table1372[[#This Row],[DATE  CLOSED]]-Table1372[[#This Row],[INITIATION DATE]]</f>
        <v>#VALUE!</v>
      </c>
    </row>
    <row r="845" spans="1:19" ht="51" x14ac:dyDescent="0.2">
      <c r="A845" s="521" t="s">
        <v>5825</v>
      </c>
      <c r="B845" s="514">
        <v>44146</v>
      </c>
      <c r="C845" s="515" t="s">
        <v>5827</v>
      </c>
      <c r="D845" s="515" t="s">
        <v>5826</v>
      </c>
      <c r="E845" s="516" t="s">
        <v>2971</v>
      </c>
      <c r="F845" s="516">
        <v>1</v>
      </c>
      <c r="G845" s="516" t="s">
        <v>2841</v>
      </c>
      <c r="H845" s="516" t="s">
        <v>4232</v>
      </c>
      <c r="I845" s="516" t="s">
        <v>3211</v>
      </c>
      <c r="J845" s="514">
        <v>44227</v>
      </c>
      <c r="K845" s="514"/>
      <c r="L845" s="514"/>
      <c r="M845" s="516" t="s">
        <v>5769</v>
      </c>
      <c r="N845" s="516"/>
      <c r="O845" s="517"/>
      <c r="P845" s="516"/>
      <c r="Q845" s="516"/>
      <c r="R845" s="518" t="s">
        <v>5998</v>
      </c>
      <c r="S845" s="519" t="e">
        <f>Table1372[[#This Row],[DATE  CLOSED]]-Table1372[[#This Row],[INITIATION DATE]]</f>
        <v>#VALUE!</v>
      </c>
    </row>
    <row r="846" spans="1:19" ht="51" x14ac:dyDescent="0.2">
      <c r="A846" s="520" t="s">
        <v>5828</v>
      </c>
      <c r="B846" s="508">
        <v>44146</v>
      </c>
      <c r="C846" s="509" t="s">
        <v>5830</v>
      </c>
      <c r="D846" s="509" t="s">
        <v>3039</v>
      </c>
      <c r="E846" s="510" t="s">
        <v>2971</v>
      </c>
      <c r="F846" s="510">
        <v>1</v>
      </c>
      <c r="G846" s="510" t="s">
        <v>2841</v>
      </c>
      <c r="H846" s="510" t="s">
        <v>229</v>
      </c>
      <c r="I846" s="510" t="s">
        <v>755</v>
      </c>
      <c r="J846" s="508">
        <v>44165</v>
      </c>
      <c r="K846" s="508"/>
      <c r="L846" s="508"/>
      <c r="M846" s="510" t="s">
        <v>2853</v>
      </c>
      <c r="N846" s="510" t="s">
        <v>2088</v>
      </c>
      <c r="O846" s="511">
        <v>44151</v>
      </c>
      <c r="P846" s="510" t="s">
        <v>3061</v>
      </c>
      <c r="Q846" s="510" t="s">
        <v>2829</v>
      </c>
      <c r="R846" s="512"/>
      <c r="S846" s="513" t="e">
        <f>Table1372[[#This Row],[DATE  CLOSED]]-Table1372[[#This Row],[INITIATION DATE]]</f>
        <v>#VALUE!</v>
      </c>
    </row>
    <row r="847" spans="1:19" ht="51" x14ac:dyDescent="0.2">
      <c r="A847" s="521" t="s">
        <v>5829</v>
      </c>
      <c r="B847" s="514">
        <v>44146</v>
      </c>
      <c r="C847" s="515" t="s">
        <v>5831</v>
      </c>
      <c r="D847" s="515" t="s">
        <v>5832</v>
      </c>
      <c r="E847" s="516" t="s">
        <v>2971</v>
      </c>
      <c r="F847" s="516">
        <v>1</v>
      </c>
      <c r="G847" s="516" t="s">
        <v>2836</v>
      </c>
      <c r="H847" s="516" t="s">
        <v>685</v>
      </c>
      <c r="I847" s="516" t="s">
        <v>229</v>
      </c>
      <c r="J847" s="514">
        <v>44165</v>
      </c>
      <c r="K847" s="514"/>
      <c r="L847" s="514"/>
      <c r="M847" s="516" t="s">
        <v>2853</v>
      </c>
      <c r="N847" s="516" t="s">
        <v>2088</v>
      </c>
      <c r="O847" s="517">
        <v>44146</v>
      </c>
      <c r="P847" s="516" t="s">
        <v>3061</v>
      </c>
      <c r="Q847" s="516" t="s">
        <v>2829</v>
      </c>
      <c r="R847" s="518"/>
      <c r="S847" s="519" t="e">
        <f>Table1372[[#This Row],[DATE  CLOSED]]-Table1372[[#This Row],[INITIATION DATE]]</f>
        <v>#VALUE!</v>
      </c>
    </row>
    <row r="848" spans="1:19" ht="51" x14ac:dyDescent="0.2">
      <c r="A848" s="520" t="s">
        <v>5833</v>
      </c>
      <c r="B848" s="508">
        <v>44147</v>
      </c>
      <c r="C848" s="509" t="s">
        <v>5835</v>
      </c>
      <c r="D848" s="509" t="s">
        <v>5834</v>
      </c>
      <c r="E848" s="510" t="s">
        <v>4256</v>
      </c>
      <c r="F848" s="510">
        <v>1</v>
      </c>
      <c r="G848" s="510" t="s">
        <v>2828</v>
      </c>
      <c r="H848" s="510" t="s">
        <v>4232</v>
      </c>
      <c r="I848" s="510" t="s">
        <v>3926</v>
      </c>
      <c r="J848" s="508">
        <v>44165</v>
      </c>
      <c r="K848" s="508"/>
      <c r="L848" s="508"/>
      <c r="M848" s="510" t="s">
        <v>2853</v>
      </c>
      <c r="N848" s="510" t="s">
        <v>2088</v>
      </c>
      <c r="O848" s="511">
        <v>44154</v>
      </c>
      <c r="P848" s="510" t="s">
        <v>3061</v>
      </c>
      <c r="Q848" s="510" t="s">
        <v>2829</v>
      </c>
      <c r="R848" s="512" t="s">
        <v>5080</v>
      </c>
      <c r="S848" s="513" t="e">
        <f>Table1372[[#This Row],[DATE  CLOSED]]-Table1372[[#This Row],[INITIATION DATE]]</f>
        <v>#VALUE!</v>
      </c>
    </row>
    <row r="849" spans="1:19" ht="51" x14ac:dyDescent="0.2">
      <c r="A849" s="521" t="s">
        <v>5836</v>
      </c>
      <c r="B849" s="514">
        <v>44154</v>
      </c>
      <c r="C849" s="515" t="s">
        <v>5837</v>
      </c>
      <c r="D849" s="515" t="s">
        <v>3039</v>
      </c>
      <c r="E849" s="516" t="s">
        <v>2971</v>
      </c>
      <c r="F849" s="516">
        <v>1</v>
      </c>
      <c r="G849" s="516" t="s">
        <v>2841</v>
      </c>
      <c r="H849" s="516" t="s">
        <v>229</v>
      </c>
      <c r="I849" s="516" t="s">
        <v>755</v>
      </c>
      <c r="J849" s="514">
        <v>44196</v>
      </c>
      <c r="K849" s="514"/>
      <c r="L849" s="514"/>
      <c r="M849" s="516" t="s">
        <v>2853</v>
      </c>
      <c r="N849" s="516" t="s">
        <v>2088</v>
      </c>
      <c r="O849" s="517">
        <v>44179</v>
      </c>
      <c r="P849" s="516" t="s">
        <v>3061</v>
      </c>
      <c r="Q849" s="516" t="s">
        <v>4987</v>
      </c>
      <c r="R849" s="518"/>
      <c r="S849" s="519" t="e">
        <f>Table1372[[#This Row],[DATE  CLOSED]]-Table1372[[#This Row],[INITIATION DATE]]</f>
        <v>#VALUE!</v>
      </c>
    </row>
    <row r="850" spans="1:19" ht="51" x14ac:dyDescent="0.2">
      <c r="A850" s="520" t="s">
        <v>5838</v>
      </c>
      <c r="B850" s="508">
        <v>44158</v>
      </c>
      <c r="C850" s="509" t="s">
        <v>5840</v>
      </c>
      <c r="D850" s="509" t="s">
        <v>3039</v>
      </c>
      <c r="E850" s="510" t="s">
        <v>2971</v>
      </c>
      <c r="F850" s="510">
        <v>1</v>
      </c>
      <c r="G850" s="510" t="s">
        <v>2841</v>
      </c>
      <c r="H850" s="510" t="s">
        <v>229</v>
      </c>
      <c r="I850" s="510" t="s">
        <v>755</v>
      </c>
      <c r="J850" s="508">
        <v>44196</v>
      </c>
      <c r="K850" s="508"/>
      <c r="L850" s="508"/>
      <c r="M850" s="510" t="s">
        <v>2853</v>
      </c>
      <c r="N850" s="510" t="s">
        <v>2088</v>
      </c>
      <c r="O850" s="511">
        <v>44174</v>
      </c>
      <c r="P850" s="510" t="s">
        <v>3061</v>
      </c>
      <c r="Q850" s="510" t="s">
        <v>2829</v>
      </c>
      <c r="R850" s="512"/>
      <c r="S850" s="513" t="e">
        <f>Table1372[[#This Row],[DATE  CLOSED]]-Table1372[[#This Row],[INITIATION DATE]]</f>
        <v>#VALUE!</v>
      </c>
    </row>
    <row r="851" spans="1:19" ht="51" x14ac:dyDescent="0.2">
      <c r="A851" s="521" t="s">
        <v>5839</v>
      </c>
      <c r="B851" s="514">
        <v>44158</v>
      </c>
      <c r="C851" s="515" t="s">
        <v>5841</v>
      </c>
      <c r="D851" s="515" t="s">
        <v>3039</v>
      </c>
      <c r="E851" s="516" t="s">
        <v>2971</v>
      </c>
      <c r="F851" s="516">
        <v>1</v>
      </c>
      <c r="G851" s="516" t="s">
        <v>2841</v>
      </c>
      <c r="H851" s="516" t="s">
        <v>229</v>
      </c>
      <c r="I851" s="516" t="s">
        <v>755</v>
      </c>
      <c r="J851" s="514">
        <v>44196</v>
      </c>
      <c r="K851" s="514"/>
      <c r="L851" s="514"/>
      <c r="M851" s="516" t="s">
        <v>2853</v>
      </c>
      <c r="N851" s="516"/>
      <c r="O851" s="517">
        <v>44180</v>
      </c>
      <c r="P851" s="516"/>
      <c r="Q851" s="516" t="s">
        <v>4987</v>
      </c>
      <c r="R851" s="518"/>
      <c r="S851" s="519" t="e">
        <f>Table1372[[#This Row],[DATE  CLOSED]]-Table1372[[#This Row],[INITIATION DATE]]</f>
        <v>#VALUE!</v>
      </c>
    </row>
    <row r="852" spans="1:19" ht="89.25" x14ac:dyDescent="0.2">
      <c r="A852" s="520" t="s">
        <v>5842</v>
      </c>
      <c r="B852" s="508">
        <v>44159</v>
      </c>
      <c r="C852" s="509" t="s">
        <v>5843</v>
      </c>
      <c r="D852" s="509" t="s">
        <v>5844</v>
      </c>
      <c r="E852" s="510" t="s">
        <v>5845</v>
      </c>
      <c r="F852" s="510">
        <v>1</v>
      </c>
      <c r="G852" s="510" t="s">
        <v>2828</v>
      </c>
      <c r="H852" s="510" t="s">
        <v>1351</v>
      </c>
      <c r="I852" s="510" t="s">
        <v>3926</v>
      </c>
      <c r="J852" s="508">
        <v>44196</v>
      </c>
      <c r="K852" s="508"/>
      <c r="L852" s="508"/>
      <c r="M852" s="510" t="s">
        <v>2853</v>
      </c>
      <c r="N852" s="510" t="s">
        <v>2088</v>
      </c>
      <c r="O852" s="511">
        <v>44168</v>
      </c>
      <c r="P852" s="510" t="s">
        <v>3061</v>
      </c>
      <c r="Q852" s="510" t="s">
        <v>2829</v>
      </c>
      <c r="R852" s="512" t="s">
        <v>5080</v>
      </c>
      <c r="S852" s="513" t="e">
        <f>Table1372[[#This Row],[DATE  CLOSED]]-Table1372[[#This Row],[INITIATION DATE]]</f>
        <v>#VALUE!</v>
      </c>
    </row>
    <row r="853" spans="1:19" ht="51" x14ac:dyDescent="0.2">
      <c r="A853" s="521" t="s">
        <v>5846</v>
      </c>
      <c r="B853" s="514">
        <v>44159</v>
      </c>
      <c r="C853" s="341" t="s">
        <v>5847</v>
      </c>
      <c r="D853" s="341" t="s">
        <v>3039</v>
      </c>
      <c r="E853" s="342" t="s">
        <v>2971</v>
      </c>
      <c r="F853" s="516">
        <v>1</v>
      </c>
      <c r="G853" s="342" t="s">
        <v>2841</v>
      </c>
      <c r="H853" s="342" t="s">
        <v>229</v>
      </c>
      <c r="I853" s="342" t="s">
        <v>755</v>
      </c>
      <c r="J853" s="514">
        <v>44196</v>
      </c>
      <c r="K853" s="345"/>
      <c r="L853" s="345"/>
      <c r="M853" s="342" t="s">
        <v>2853</v>
      </c>
      <c r="N853" s="516"/>
      <c r="O853" s="517">
        <v>44187</v>
      </c>
      <c r="P853" s="342" t="s">
        <v>3061</v>
      </c>
      <c r="Q853" s="342" t="s">
        <v>4987</v>
      </c>
      <c r="R853" s="518"/>
      <c r="S853" s="519" t="e">
        <f>Table1372[[#This Row],[DATE  CLOSED]]-Table1372[[#This Row],[INITIATION DATE]]</f>
        <v>#VALUE!</v>
      </c>
    </row>
    <row r="854" spans="1:19" ht="51" x14ac:dyDescent="0.2">
      <c r="A854" s="520" t="s">
        <v>5848</v>
      </c>
      <c r="B854" s="508">
        <v>44165</v>
      </c>
      <c r="C854" s="509" t="s">
        <v>5849</v>
      </c>
      <c r="D854" s="509" t="s">
        <v>5850</v>
      </c>
      <c r="E854" s="510" t="s">
        <v>2971</v>
      </c>
      <c r="F854" s="510">
        <v>1</v>
      </c>
      <c r="G854" s="510" t="s">
        <v>2841</v>
      </c>
      <c r="H854" s="510" t="s">
        <v>229</v>
      </c>
      <c r="I854" s="510" t="s">
        <v>755</v>
      </c>
      <c r="J854" s="508">
        <v>44196</v>
      </c>
      <c r="K854" s="508"/>
      <c r="L854" s="508"/>
      <c r="M854" s="510" t="s">
        <v>2853</v>
      </c>
      <c r="N854" s="510"/>
      <c r="O854" s="511">
        <v>44194</v>
      </c>
      <c r="P854" s="510" t="s">
        <v>3061</v>
      </c>
      <c r="Q854" s="510" t="s">
        <v>4987</v>
      </c>
      <c r="R854" s="512"/>
      <c r="S854" s="513" t="e">
        <f>Table1372[[#This Row],[DATE  CLOSED]]-Table1372[[#This Row],[INITIATION DATE]]</f>
        <v>#VALUE!</v>
      </c>
    </row>
    <row r="855" spans="1:19" ht="51" x14ac:dyDescent="0.2">
      <c r="A855" s="521" t="s">
        <v>5851</v>
      </c>
      <c r="B855" s="514">
        <v>44165</v>
      </c>
      <c r="C855" s="515" t="s">
        <v>5852</v>
      </c>
      <c r="D855" s="515" t="s">
        <v>3039</v>
      </c>
      <c r="E855" s="516" t="s">
        <v>2971</v>
      </c>
      <c r="F855" s="516">
        <v>1</v>
      </c>
      <c r="G855" s="516" t="s">
        <v>2841</v>
      </c>
      <c r="H855" s="516" t="s">
        <v>229</v>
      </c>
      <c r="I855" s="516" t="s">
        <v>755</v>
      </c>
      <c r="J855" s="514">
        <v>44196</v>
      </c>
      <c r="K855" s="514"/>
      <c r="L855" s="514"/>
      <c r="M855" s="342" t="s">
        <v>2853</v>
      </c>
      <c r="N855" s="516"/>
      <c r="O855" s="517">
        <v>44187</v>
      </c>
      <c r="P855" s="342" t="s">
        <v>3061</v>
      </c>
      <c r="Q855" s="342" t="s">
        <v>4987</v>
      </c>
      <c r="R855" s="518"/>
      <c r="S855" s="519" t="e">
        <f>Table1372[[#This Row],[DATE  CLOSED]]-Table1372[[#This Row],[INITIATION DATE]]</f>
        <v>#VALUE!</v>
      </c>
    </row>
    <row r="856" spans="1:19" ht="63.75" x14ac:dyDescent="0.2">
      <c r="A856" s="520" t="s">
        <v>5853</v>
      </c>
      <c r="B856" s="508">
        <v>44165</v>
      </c>
      <c r="C856" s="509" t="s">
        <v>5854</v>
      </c>
      <c r="D856" s="441" t="s">
        <v>5855</v>
      </c>
      <c r="E856" s="344" t="s">
        <v>2971</v>
      </c>
      <c r="F856" s="510">
        <v>1</v>
      </c>
      <c r="G856" s="344" t="s">
        <v>2841</v>
      </c>
      <c r="H856" s="344" t="s">
        <v>229</v>
      </c>
      <c r="I856" s="344" t="s">
        <v>755</v>
      </c>
      <c r="J856" s="508">
        <v>44196</v>
      </c>
      <c r="K856" s="508"/>
      <c r="L856" s="508"/>
      <c r="M856" s="344" t="s">
        <v>2853</v>
      </c>
      <c r="N856" s="510"/>
      <c r="O856" s="511">
        <v>44188</v>
      </c>
      <c r="P856" s="344" t="s">
        <v>3061</v>
      </c>
      <c r="Q856" s="344" t="s">
        <v>4987</v>
      </c>
      <c r="R856" s="512"/>
      <c r="S856" s="513" t="e">
        <f>Table1372[[#This Row],[DATE  CLOSED]]-Table1372[[#This Row],[INITIATION DATE]]</f>
        <v>#VALUE!</v>
      </c>
    </row>
    <row r="857" spans="1:19" ht="51" x14ac:dyDescent="0.2">
      <c r="A857" s="521" t="s">
        <v>5856</v>
      </c>
      <c r="B857" s="514">
        <v>44165</v>
      </c>
      <c r="C857" s="515" t="s">
        <v>5857</v>
      </c>
      <c r="D857" s="515" t="s">
        <v>5858</v>
      </c>
      <c r="E857" s="516" t="s">
        <v>5743</v>
      </c>
      <c r="F857" s="516">
        <v>1</v>
      </c>
      <c r="G857" s="516" t="s">
        <v>2828</v>
      </c>
      <c r="H857" s="516" t="s">
        <v>615</v>
      </c>
      <c r="I857" s="516" t="s">
        <v>3211</v>
      </c>
      <c r="J857" s="514">
        <v>44196</v>
      </c>
      <c r="K857" s="514" t="s">
        <v>2088</v>
      </c>
      <c r="L857" s="514" t="s">
        <v>2088</v>
      </c>
      <c r="M857" s="516" t="s">
        <v>2853</v>
      </c>
      <c r="N857" s="516" t="s">
        <v>2912</v>
      </c>
      <c r="O857" s="517">
        <v>44272</v>
      </c>
      <c r="P857" s="516" t="s">
        <v>3022</v>
      </c>
      <c r="Q857" s="516" t="s">
        <v>2835</v>
      </c>
      <c r="R857" s="518" t="s">
        <v>5080</v>
      </c>
      <c r="S857" s="519" t="e">
        <f>Table1372[[#This Row],[DATE  CLOSED]]-Table1372[[#This Row],[INITIATION DATE]]</f>
        <v>#VALUE!</v>
      </c>
    </row>
    <row r="858" spans="1:19" ht="51" x14ac:dyDescent="0.2">
      <c r="A858" s="520" t="s">
        <v>5859</v>
      </c>
      <c r="B858" s="508">
        <v>44166</v>
      </c>
      <c r="C858" s="509" t="s">
        <v>5860</v>
      </c>
      <c r="D858" s="509" t="s">
        <v>5861</v>
      </c>
      <c r="E858" s="510" t="s">
        <v>4256</v>
      </c>
      <c r="F858" s="510">
        <v>1</v>
      </c>
      <c r="G858" s="510" t="s">
        <v>2828</v>
      </c>
      <c r="H858" s="510" t="s">
        <v>4232</v>
      </c>
      <c r="I858" s="510" t="s">
        <v>3211</v>
      </c>
      <c r="J858" s="508">
        <v>44196</v>
      </c>
      <c r="K858" s="508"/>
      <c r="L858" s="508"/>
      <c r="M858" s="510" t="s">
        <v>2853</v>
      </c>
      <c r="N858" s="510" t="s">
        <v>2088</v>
      </c>
      <c r="O858" s="511">
        <v>44174</v>
      </c>
      <c r="P858" s="510" t="s">
        <v>3061</v>
      </c>
      <c r="Q858" s="510" t="s">
        <v>2829</v>
      </c>
      <c r="R858" s="512" t="s">
        <v>5080</v>
      </c>
      <c r="S858" s="513" t="e">
        <f>Table1372[[#This Row],[DATE  CLOSED]]-Table1372[[#This Row],[INITIATION DATE]]</f>
        <v>#VALUE!</v>
      </c>
    </row>
    <row r="859" spans="1:19" ht="51" x14ac:dyDescent="0.2">
      <c r="A859" s="521" t="s">
        <v>5862</v>
      </c>
      <c r="B859" s="514">
        <v>44167</v>
      </c>
      <c r="C859" s="515" t="s">
        <v>5863</v>
      </c>
      <c r="D859" s="515" t="s">
        <v>5864</v>
      </c>
      <c r="E859" s="516" t="s">
        <v>3764</v>
      </c>
      <c r="F859" s="516">
        <v>1</v>
      </c>
      <c r="G859" s="516" t="s">
        <v>2828</v>
      </c>
      <c r="H859" s="516" t="s">
        <v>4163</v>
      </c>
      <c r="I859" s="516" t="s">
        <v>3211</v>
      </c>
      <c r="J859" s="514">
        <v>44561</v>
      </c>
      <c r="K859" s="514"/>
      <c r="L859" s="514"/>
      <c r="M859" s="516" t="s">
        <v>2847</v>
      </c>
      <c r="N859" s="516"/>
      <c r="O859" s="517"/>
      <c r="P859" s="516"/>
      <c r="Q859" s="516"/>
      <c r="R859" s="518"/>
      <c r="S859" s="519" t="e">
        <f>Table1372[[#This Row],[DATE  CLOSED]]-Table1372[[#This Row],[INITIATION DATE]]</f>
        <v>#VALUE!</v>
      </c>
    </row>
    <row r="860" spans="1:19" ht="76.5" x14ac:dyDescent="0.2">
      <c r="A860" s="520" t="s">
        <v>5865</v>
      </c>
      <c r="B860" s="508">
        <v>44166</v>
      </c>
      <c r="C860" s="509" t="s">
        <v>5866</v>
      </c>
      <c r="D860" s="509" t="s">
        <v>5661</v>
      </c>
      <c r="E860" s="510" t="s">
        <v>2971</v>
      </c>
      <c r="F860" s="510">
        <v>2</v>
      </c>
      <c r="G860" s="510" t="s">
        <v>2838</v>
      </c>
      <c r="H860" s="510" t="s">
        <v>685</v>
      </c>
      <c r="I860" s="510" t="s">
        <v>755</v>
      </c>
      <c r="J860" s="508">
        <v>44316</v>
      </c>
      <c r="K860" s="508">
        <v>44407</v>
      </c>
      <c r="L860" s="508"/>
      <c r="M860" s="510" t="s">
        <v>2853</v>
      </c>
      <c r="N860" s="510" t="s">
        <v>3061</v>
      </c>
      <c r="O860" s="511">
        <v>44334</v>
      </c>
      <c r="P860" s="510" t="s">
        <v>3061</v>
      </c>
      <c r="Q860" s="510" t="s">
        <v>2835</v>
      </c>
      <c r="R860" s="512"/>
      <c r="S860" s="513" t="e">
        <f>Table1372[[#This Row],[DATE  CLOSED]]-Table1372[[#This Row],[INITIATION DATE]]</f>
        <v>#VALUE!</v>
      </c>
    </row>
    <row r="861" spans="1:19" ht="89.25" x14ac:dyDescent="0.2">
      <c r="A861" s="521" t="s">
        <v>5867</v>
      </c>
      <c r="B861" s="514">
        <v>44169</v>
      </c>
      <c r="C861" s="515" t="s">
        <v>5868</v>
      </c>
      <c r="D861" s="515" t="s">
        <v>4019</v>
      </c>
      <c r="E861" s="516" t="s">
        <v>4256</v>
      </c>
      <c r="F861" s="516">
        <v>1</v>
      </c>
      <c r="G861" s="516" t="s">
        <v>2828</v>
      </c>
      <c r="H861" s="516" t="s">
        <v>1351</v>
      </c>
      <c r="I861" s="516" t="s">
        <v>3926</v>
      </c>
      <c r="J861" s="514">
        <v>44196</v>
      </c>
      <c r="K861" s="514"/>
      <c r="L861" s="514"/>
      <c r="M861" s="516" t="s">
        <v>2853</v>
      </c>
      <c r="N861" s="516" t="s">
        <v>2088</v>
      </c>
      <c r="O861" s="517">
        <v>44173</v>
      </c>
      <c r="P861" s="516" t="s">
        <v>3061</v>
      </c>
      <c r="Q861" s="516" t="s">
        <v>2829</v>
      </c>
      <c r="R861" s="518" t="s">
        <v>5080</v>
      </c>
      <c r="S861" s="519" t="e">
        <f>Table1372[[#This Row],[DATE  CLOSED]]-Table1372[[#This Row],[INITIATION DATE]]</f>
        <v>#VALUE!</v>
      </c>
    </row>
    <row r="862" spans="1:19" ht="38.25" x14ac:dyDescent="0.2">
      <c r="A862" s="520" t="s">
        <v>5873</v>
      </c>
      <c r="B862" s="508">
        <v>44169</v>
      </c>
      <c r="C862" s="509" t="s">
        <v>5874</v>
      </c>
      <c r="D862" s="509" t="s">
        <v>5875</v>
      </c>
      <c r="E862" s="510" t="s">
        <v>2971</v>
      </c>
      <c r="F862" s="510">
        <v>1</v>
      </c>
      <c r="G862" s="510" t="s">
        <v>2828</v>
      </c>
      <c r="H862" s="510" t="s">
        <v>3227</v>
      </c>
      <c r="I862" s="510" t="s">
        <v>3211</v>
      </c>
      <c r="J862" s="508">
        <v>44196</v>
      </c>
      <c r="K862" s="508"/>
      <c r="L862" s="508"/>
      <c r="M862" s="510" t="s">
        <v>2853</v>
      </c>
      <c r="N862" s="510" t="s">
        <v>2088</v>
      </c>
      <c r="O862" s="511">
        <v>44186</v>
      </c>
      <c r="P862" s="510" t="s">
        <v>3061</v>
      </c>
      <c r="Q862" s="510" t="s">
        <v>2829</v>
      </c>
      <c r="R862" s="512" t="s">
        <v>5080</v>
      </c>
      <c r="S862" s="513" t="e">
        <f>Table1372[[#This Row],[DATE  CLOSED]]-Table1372[[#This Row],[INITIATION DATE]]</f>
        <v>#VALUE!</v>
      </c>
    </row>
    <row r="863" spans="1:19" ht="153" x14ac:dyDescent="0.2">
      <c r="A863" s="521" t="s">
        <v>5876</v>
      </c>
      <c r="B863" s="514">
        <v>44172</v>
      </c>
      <c r="C863" s="341" t="s">
        <v>5877</v>
      </c>
      <c r="D863" s="341" t="s">
        <v>5878</v>
      </c>
      <c r="E863" s="342" t="s">
        <v>2971</v>
      </c>
      <c r="F863" s="516">
        <v>1</v>
      </c>
      <c r="G863" s="342" t="s">
        <v>2836</v>
      </c>
      <c r="H863" s="342" t="s">
        <v>3991</v>
      </c>
      <c r="I863" s="342" t="s">
        <v>229</v>
      </c>
      <c r="J863" s="514">
        <v>44196</v>
      </c>
      <c r="K863" s="514"/>
      <c r="L863" s="514"/>
      <c r="M863" s="342" t="s">
        <v>2853</v>
      </c>
      <c r="N863" s="516" t="s">
        <v>2088</v>
      </c>
      <c r="O863" s="517">
        <v>44193</v>
      </c>
      <c r="P863" s="516" t="s">
        <v>3061</v>
      </c>
      <c r="Q863" s="516" t="s">
        <v>2829</v>
      </c>
      <c r="R863" s="518"/>
      <c r="S863" s="519" t="e">
        <f>Table1372[[#This Row],[DATE  CLOSED]]-Table1372[[#This Row],[INITIATION DATE]]</f>
        <v>#VALUE!</v>
      </c>
    </row>
    <row r="864" spans="1:19" ht="89.25" x14ac:dyDescent="0.2">
      <c r="A864" s="520" t="s">
        <v>5879</v>
      </c>
      <c r="B864" s="508">
        <v>44174</v>
      </c>
      <c r="C864" s="509" t="s">
        <v>5880</v>
      </c>
      <c r="D864" s="509" t="s">
        <v>5881</v>
      </c>
      <c r="E864" s="510" t="s">
        <v>2971</v>
      </c>
      <c r="F864" s="510">
        <v>1</v>
      </c>
      <c r="G864" s="510" t="s">
        <v>2838</v>
      </c>
      <c r="H864" s="510" t="s">
        <v>685</v>
      </c>
      <c r="I864" s="510" t="s">
        <v>229</v>
      </c>
      <c r="J864" s="508">
        <v>44196</v>
      </c>
      <c r="K864" s="508"/>
      <c r="L864" s="508"/>
      <c r="M864" s="510" t="s">
        <v>2853</v>
      </c>
      <c r="N864" s="510" t="s">
        <v>2088</v>
      </c>
      <c r="O864" s="511">
        <v>44175</v>
      </c>
      <c r="P864" s="510" t="s">
        <v>3061</v>
      </c>
      <c r="Q864" s="510" t="s">
        <v>2829</v>
      </c>
      <c r="R864" s="512"/>
      <c r="S864" s="513" t="e">
        <f>Table1372[[#This Row],[DATE  CLOSED]]-Table1372[[#This Row],[INITIATION DATE]]</f>
        <v>#VALUE!</v>
      </c>
    </row>
    <row r="865" spans="1:19" ht="140.25" x14ac:dyDescent="0.2">
      <c r="A865" s="521" t="s">
        <v>5882</v>
      </c>
      <c r="B865" s="514">
        <v>44175</v>
      </c>
      <c r="C865" s="515" t="s">
        <v>5883</v>
      </c>
      <c r="D865" s="515" t="s">
        <v>5750</v>
      </c>
      <c r="E865" s="516" t="s">
        <v>2971</v>
      </c>
      <c r="F865" s="516">
        <v>1</v>
      </c>
      <c r="G865" s="516" t="s">
        <v>2840</v>
      </c>
      <c r="H865" s="516" t="s">
        <v>229</v>
      </c>
      <c r="I865" s="516" t="s">
        <v>4261</v>
      </c>
      <c r="J865" s="514">
        <v>44196</v>
      </c>
      <c r="K865" s="514"/>
      <c r="L865" s="514"/>
      <c r="M865" s="342" t="s">
        <v>2853</v>
      </c>
      <c r="N865" s="516"/>
      <c r="O865" s="517">
        <v>44193</v>
      </c>
      <c r="P865" s="342" t="s">
        <v>3061</v>
      </c>
      <c r="Q865" s="342" t="s">
        <v>4987</v>
      </c>
      <c r="R865" s="518"/>
      <c r="S865" s="522" t="e">
        <f>Table1372[[#This Row],[DATE  CLOSED]]-Table1372[[#This Row],[INITIATION DATE]]</f>
        <v>#VALUE!</v>
      </c>
    </row>
    <row r="866" spans="1:19" ht="51" x14ac:dyDescent="0.2">
      <c r="A866" s="520" t="s">
        <v>5884</v>
      </c>
      <c r="B866" s="508">
        <v>44175</v>
      </c>
      <c r="C866" s="509" t="s">
        <v>5885</v>
      </c>
      <c r="D866" s="509" t="s">
        <v>5886</v>
      </c>
      <c r="E866" s="510" t="s">
        <v>4033</v>
      </c>
      <c r="F866" s="510">
        <v>1</v>
      </c>
      <c r="G866" s="510" t="s">
        <v>2841</v>
      </c>
      <c r="H866" s="510" t="s">
        <v>1351</v>
      </c>
      <c r="I866" s="510" t="s">
        <v>3926</v>
      </c>
      <c r="J866" s="508">
        <v>44196</v>
      </c>
      <c r="K866" s="508"/>
      <c r="L866" s="508"/>
      <c r="M866" s="510" t="s">
        <v>2853</v>
      </c>
      <c r="N866" s="510" t="s">
        <v>2088</v>
      </c>
      <c r="O866" s="511">
        <v>44179</v>
      </c>
      <c r="P866" s="510" t="s">
        <v>3061</v>
      </c>
      <c r="Q866" s="510" t="s">
        <v>2829</v>
      </c>
      <c r="R866" s="512" t="s">
        <v>5080</v>
      </c>
      <c r="S866" s="523" t="e">
        <f>Table1372[[#This Row],[DATE  CLOSED]]-Table1372[[#This Row],[INITIATION DATE]]</f>
        <v>#VALUE!</v>
      </c>
    </row>
    <row r="867" spans="1:19" ht="51" x14ac:dyDescent="0.2">
      <c r="A867" s="521" t="s">
        <v>5887</v>
      </c>
      <c r="B867" s="514">
        <v>44175</v>
      </c>
      <c r="C867" s="515" t="s">
        <v>5888</v>
      </c>
      <c r="D867" s="515" t="s">
        <v>5889</v>
      </c>
      <c r="E867" s="516" t="s">
        <v>2971</v>
      </c>
      <c r="F867" s="516">
        <v>1</v>
      </c>
      <c r="G867" s="516" t="s">
        <v>2836</v>
      </c>
      <c r="H867" s="516" t="s">
        <v>3423</v>
      </c>
      <c r="I867" s="516" t="s">
        <v>3211</v>
      </c>
      <c r="J867" s="514">
        <v>44196</v>
      </c>
      <c r="K867" s="514"/>
      <c r="L867" s="514"/>
      <c r="M867" s="516" t="s">
        <v>2853</v>
      </c>
      <c r="N867" s="516" t="s">
        <v>2088</v>
      </c>
      <c r="O867" s="517">
        <v>44176</v>
      </c>
      <c r="P867" s="516" t="s">
        <v>3061</v>
      </c>
      <c r="Q867" s="516" t="s">
        <v>2829</v>
      </c>
      <c r="R867" s="518" t="s">
        <v>5080</v>
      </c>
      <c r="S867" s="522" t="e">
        <f>Table1372[[#This Row],[DATE  CLOSED]]-Table1372[[#This Row],[INITIATION DATE]]</f>
        <v>#VALUE!</v>
      </c>
    </row>
    <row r="868" spans="1:19" ht="89.25" x14ac:dyDescent="0.2">
      <c r="A868" s="520" t="s">
        <v>5890</v>
      </c>
      <c r="B868" s="508">
        <v>44179</v>
      </c>
      <c r="C868" s="509" t="s">
        <v>5891</v>
      </c>
      <c r="D868" s="509" t="s">
        <v>5892</v>
      </c>
      <c r="E868" s="510" t="s">
        <v>2971</v>
      </c>
      <c r="F868" s="510">
        <v>1</v>
      </c>
      <c r="G868" s="510" t="s">
        <v>2840</v>
      </c>
      <c r="H868" s="510" t="s">
        <v>3842</v>
      </c>
      <c r="I868" s="510" t="s">
        <v>229</v>
      </c>
      <c r="J868" s="508">
        <v>44196</v>
      </c>
      <c r="K868" s="508"/>
      <c r="L868" s="508"/>
      <c r="M868" s="510" t="s">
        <v>2853</v>
      </c>
      <c r="N868" s="510" t="s">
        <v>2088</v>
      </c>
      <c r="O868" s="511">
        <v>44180</v>
      </c>
      <c r="P868" s="510" t="s">
        <v>3061</v>
      </c>
      <c r="Q868" s="510" t="s">
        <v>4987</v>
      </c>
      <c r="R868" s="512" t="s">
        <v>5080</v>
      </c>
      <c r="S868" s="523" t="e">
        <f>Table1372[[#This Row],[DATE  CLOSED]]-Table1372[[#This Row],[INITIATION DATE]]</f>
        <v>#VALUE!</v>
      </c>
    </row>
    <row r="869" spans="1:19" ht="76.5" x14ac:dyDescent="0.2">
      <c r="A869" s="521" t="s">
        <v>5893</v>
      </c>
      <c r="B869" s="514">
        <v>44179</v>
      </c>
      <c r="C869" s="515" t="s">
        <v>5894</v>
      </c>
      <c r="D869" s="515" t="s">
        <v>3039</v>
      </c>
      <c r="E869" s="516" t="s">
        <v>2971</v>
      </c>
      <c r="F869" s="516">
        <v>1</v>
      </c>
      <c r="G869" s="516" t="s">
        <v>2841</v>
      </c>
      <c r="H869" s="516" t="s">
        <v>685</v>
      </c>
      <c r="I869" s="516" t="s">
        <v>229</v>
      </c>
      <c r="J869" s="514">
        <v>44196</v>
      </c>
      <c r="K869" s="514"/>
      <c r="L869" s="514"/>
      <c r="M869" s="516" t="s">
        <v>2853</v>
      </c>
      <c r="N869" s="516" t="s">
        <v>2088</v>
      </c>
      <c r="O869" s="517">
        <v>44186</v>
      </c>
      <c r="P869" s="516" t="s">
        <v>3061</v>
      </c>
      <c r="Q869" s="516" t="s">
        <v>2829</v>
      </c>
      <c r="R869" s="518"/>
      <c r="S869" s="522" t="e">
        <f>Table1372[[#This Row],[DATE  CLOSED]]-Table1372[[#This Row],[INITIATION DATE]]</f>
        <v>#VALUE!</v>
      </c>
    </row>
    <row r="870" spans="1:19" ht="89.25" x14ac:dyDescent="0.2">
      <c r="A870" s="520" t="s">
        <v>5895</v>
      </c>
      <c r="B870" s="508">
        <v>44179</v>
      </c>
      <c r="C870" s="509" t="s">
        <v>5896</v>
      </c>
      <c r="D870" s="509" t="s">
        <v>3039</v>
      </c>
      <c r="E870" s="510" t="s">
        <v>2971</v>
      </c>
      <c r="F870" s="510">
        <v>1</v>
      </c>
      <c r="G870" s="510" t="s">
        <v>2841</v>
      </c>
      <c r="H870" s="510" t="s">
        <v>229</v>
      </c>
      <c r="I870" s="510" t="s">
        <v>4261</v>
      </c>
      <c r="J870" s="508">
        <v>44227</v>
      </c>
      <c r="K870" s="508"/>
      <c r="L870" s="508"/>
      <c r="M870" s="344" t="s">
        <v>2853</v>
      </c>
      <c r="N870" s="510"/>
      <c r="O870" s="511">
        <v>44195</v>
      </c>
      <c r="P870" s="344" t="s">
        <v>3061</v>
      </c>
      <c r="Q870" s="344" t="s">
        <v>4987</v>
      </c>
      <c r="R870" s="512"/>
      <c r="S870" s="523" t="e">
        <f>Table1372[[#This Row],[DATE  CLOSED]]-Table1372[[#This Row],[INITIATION DATE]]</f>
        <v>#VALUE!</v>
      </c>
    </row>
    <row r="871" spans="1:19" ht="51" x14ac:dyDescent="0.2">
      <c r="A871" s="521" t="s">
        <v>5897</v>
      </c>
      <c r="B871" s="514">
        <v>44179</v>
      </c>
      <c r="C871" s="515" t="s">
        <v>5899</v>
      </c>
      <c r="D871" s="515" t="s">
        <v>5900</v>
      </c>
      <c r="E871" s="516" t="s">
        <v>5898</v>
      </c>
      <c r="F871" s="516">
        <v>1</v>
      </c>
      <c r="G871" s="516" t="s">
        <v>2828</v>
      </c>
      <c r="H871" s="516" t="s">
        <v>3211</v>
      </c>
      <c r="I871" s="516" t="s">
        <v>615</v>
      </c>
      <c r="J871" s="514">
        <v>44196</v>
      </c>
      <c r="K871" s="514"/>
      <c r="L871" s="514"/>
      <c r="M871" s="516" t="s">
        <v>2853</v>
      </c>
      <c r="N871" s="516" t="s">
        <v>2088</v>
      </c>
      <c r="O871" s="517">
        <v>44187</v>
      </c>
      <c r="P871" s="516" t="s">
        <v>3061</v>
      </c>
      <c r="Q871" s="516" t="s">
        <v>2829</v>
      </c>
      <c r="R871" s="518" t="s">
        <v>5080</v>
      </c>
      <c r="S871" s="522" t="e">
        <f>Table1372[[#This Row],[DATE  CLOSED]]-Table1372[[#This Row],[INITIATION DATE]]</f>
        <v>#VALUE!</v>
      </c>
    </row>
    <row r="872" spans="1:19" ht="38.25" x14ac:dyDescent="0.2">
      <c r="A872" s="520" t="s">
        <v>5901</v>
      </c>
      <c r="B872" s="508">
        <v>44179</v>
      </c>
      <c r="C872" s="509" t="s">
        <v>5902</v>
      </c>
      <c r="D872" s="509" t="s">
        <v>5826</v>
      </c>
      <c r="E872" s="510" t="s">
        <v>2971</v>
      </c>
      <c r="F872" s="510">
        <v>1</v>
      </c>
      <c r="G872" s="510" t="s">
        <v>2841</v>
      </c>
      <c r="H872" s="510" t="s">
        <v>3211</v>
      </c>
      <c r="I872" s="510" t="s">
        <v>4021</v>
      </c>
      <c r="J872" s="508">
        <v>44196</v>
      </c>
      <c r="K872" s="508"/>
      <c r="L872" s="508"/>
      <c r="M872" s="510" t="s">
        <v>2853</v>
      </c>
      <c r="N872" s="510" t="s">
        <v>2088</v>
      </c>
      <c r="O872" s="511">
        <v>44196</v>
      </c>
      <c r="P872" s="510" t="s">
        <v>3061</v>
      </c>
      <c r="Q872" s="510" t="s">
        <v>2829</v>
      </c>
      <c r="R872" s="512" t="s">
        <v>5080</v>
      </c>
      <c r="S872" s="523" t="e">
        <f>Table1372[[#This Row],[DATE  CLOSED]]-Table1372[[#This Row],[INITIATION DATE]]</f>
        <v>#VALUE!</v>
      </c>
    </row>
    <row r="873" spans="1:19" ht="114.75" x14ac:dyDescent="0.2">
      <c r="A873" s="521" t="s">
        <v>5903</v>
      </c>
      <c r="B873" s="514">
        <v>44181</v>
      </c>
      <c r="C873" s="515" t="s">
        <v>5904</v>
      </c>
      <c r="D873" s="515" t="s">
        <v>5905</v>
      </c>
      <c r="E873" s="516" t="s">
        <v>2971</v>
      </c>
      <c r="F873" s="516">
        <v>1</v>
      </c>
      <c r="G873" s="516" t="s">
        <v>2840</v>
      </c>
      <c r="H873" s="516" t="s">
        <v>814</v>
      </c>
      <c r="I873" s="516" t="s">
        <v>229</v>
      </c>
      <c r="J873" s="514">
        <v>44255</v>
      </c>
      <c r="K873" s="514"/>
      <c r="L873" s="514"/>
      <c r="M873" s="342" t="s">
        <v>2853</v>
      </c>
      <c r="N873" s="516"/>
      <c r="O873" s="517">
        <v>44181</v>
      </c>
      <c r="P873" s="342" t="s">
        <v>3061</v>
      </c>
      <c r="Q873" s="342" t="s">
        <v>4987</v>
      </c>
      <c r="R873" s="518"/>
      <c r="S873" s="522" t="e">
        <f>Table1372[[#This Row],[DATE  CLOSED]]-Table1372[[#This Row],[INITIATION DATE]]</f>
        <v>#VALUE!</v>
      </c>
    </row>
    <row r="874" spans="1:19" ht="114.75" x14ac:dyDescent="0.2">
      <c r="A874" s="338" t="s">
        <v>6116</v>
      </c>
      <c r="B874" s="508">
        <v>44182</v>
      </c>
      <c r="C874" s="509" t="s">
        <v>5906</v>
      </c>
      <c r="D874" s="509" t="s">
        <v>3039</v>
      </c>
      <c r="E874" s="510" t="s">
        <v>2971</v>
      </c>
      <c r="F874" s="510">
        <v>1</v>
      </c>
      <c r="G874" s="510" t="s">
        <v>2841</v>
      </c>
      <c r="H874" s="510" t="s">
        <v>229</v>
      </c>
      <c r="I874" s="510" t="s">
        <v>4261</v>
      </c>
      <c r="J874" s="508">
        <v>44227</v>
      </c>
      <c r="K874" s="508">
        <v>44255</v>
      </c>
      <c r="L874" s="508">
        <v>44286</v>
      </c>
      <c r="M874" s="344" t="s">
        <v>2853</v>
      </c>
      <c r="N874" s="510"/>
      <c r="O874" s="511">
        <v>44288</v>
      </c>
      <c r="P874" s="344" t="s">
        <v>3022</v>
      </c>
      <c r="Q874" s="344" t="s">
        <v>6082</v>
      </c>
      <c r="R874" s="440" t="s">
        <v>6117</v>
      </c>
      <c r="S874" s="523" t="e">
        <f>Table1372[[#This Row],[DATE  CLOSED]]-Table1372[[#This Row],[INITIATION DATE]]</f>
        <v>#VALUE!</v>
      </c>
    </row>
    <row r="875" spans="1:19" ht="51" x14ac:dyDescent="0.2">
      <c r="A875" s="521" t="s">
        <v>5907</v>
      </c>
      <c r="B875" s="514">
        <v>44186</v>
      </c>
      <c r="C875" s="341" t="s">
        <v>5908</v>
      </c>
      <c r="D875" s="341" t="s">
        <v>3039</v>
      </c>
      <c r="E875" s="342" t="s">
        <v>2971</v>
      </c>
      <c r="F875" s="516">
        <v>1</v>
      </c>
      <c r="G875" s="342" t="s">
        <v>2841</v>
      </c>
      <c r="H875" s="342" t="s">
        <v>229</v>
      </c>
      <c r="I875" s="342" t="s">
        <v>4261</v>
      </c>
      <c r="J875" s="514">
        <v>44227</v>
      </c>
      <c r="K875" s="514"/>
      <c r="L875" s="514"/>
      <c r="M875" s="342" t="s">
        <v>2853</v>
      </c>
      <c r="N875" s="516" t="s">
        <v>2088</v>
      </c>
      <c r="O875" s="517">
        <v>44215</v>
      </c>
      <c r="P875" s="516" t="s">
        <v>3061</v>
      </c>
      <c r="Q875" s="516" t="s">
        <v>5991</v>
      </c>
      <c r="R875" s="518" t="s">
        <v>5080</v>
      </c>
      <c r="S875" s="522" t="e">
        <f>Table1372[[#This Row],[DATE  CLOSED]]-Table1372[[#This Row],[INITIATION DATE]]</f>
        <v>#VALUE!</v>
      </c>
    </row>
    <row r="876" spans="1:19" ht="63.75" x14ac:dyDescent="0.2">
      <c r="A876" s="520" t="s">
        <v>5909</v>
      </c>
      <c r="B876" s="508">
        <v>44188</v>
      </c>
      <c r="C876" s="509" t="s">
        <v>5910</v>
      </c>
      <c r="D876" s="509" t="s">
        <v>5911</v>
      </c>
      <c r="E876" s="510" t="s">
        <v>2971</v>
      </c>
      <c r="F876" s="510">
        <v>1</v>
      </c>
      <c r="G876" s="510" t="s">
        <v>2836</v>
      </c>
      <c r="H876" s="510" t="s">
        <v>3423</v>
      </c>
      <c r="I876" s="510" t="s">
        <v>3211</v>
      </c>
      <c r="J876" s="508">
        <v>44227</v>
      </c>
      <c r="K876" s="508"/>
      <c r="L876" s="508"/>
      <c r="M876" s="510" t="s">
        <v>2853</v>
      </c>
      <c r="N876" s="510" t="s">
        <v>2088</v>
      </c>
      <c r="O876" s="511">
        <v>44188</v>
      </c>
      <c r="P876" s="510" t="s">
        <v>3061</v>
      </c>
      <c r="Q876" s="510" t="s">
        <v>2829</v>
      </c>
      <c r="R876" s="512" t="s">
        <v>5080</v>
      </c>
      <c r="S876" s="523" t="e">
        <f>Table1372[[#This Row],[DATE  CLOSED]]-Table1372[[#This Row],[INITIATION DATE]]</f>
        <v>#VALUE!</v>
      </c>
    </row>
    <row r="877" spans="1:19" x14ac:dyDescent="0.2">
      <c r="A877" s="521"/>
      <c r="B877" s="514"/>
      <c r="C877" s="515"/>
      <c r="D877" s="515"/>
      <c r="E877" s="516"/>
      <c r="F877" s="516"/>
      <c r="G877" s="516"/>
      <c r="H877" s="516"/>
      <c r="I877" s="516"/>
      <c r="J877" s="514"/>
      <c r="K877" s="514"/>
      <c r="L877" s="514"/>
      <c r="M877" s="516"/>
      <c r="N877" s="516"/>
      <c r="O877" s="517"/>
      <c r="P877" s="516"/>
      <c r="Q877" s="516"/>
      <c r="R877" s="518"/>
      <c r="S877" s="522" t="e">
        <f>Table1372[[#This Row],[DATE  CLOSED]]-Table1372[[#This Row],[INITIATION DATE]]</f>
        <v>#VALUE!</v>
      </c>
    </row>
    <row r="878" spans="1:19" x14ac:dyDescent="0.2">
      <c r="A878" s="520"/>
      <c r="B878" s="508"/>
      <c r="C878" s="509"/>
      <c r="D878" s="509"/>
      <c r="E878" s="510"/>
      <c r="F878" s="510"/>
      <c r="G878" s="510"/>
      <c r="H878" s="510"/>
      <c r="I878" s="510"/>
      <c r="J878" s="508"/>
      <c r="K878" s="508"/>
      <c r="L878" s="508"/>
      <c r="M878" s="510"/>
      <c r="N878" s="510"/>
      <c r="O878" s="511"/>
      <c r="P878" s="510"/>
      <c r="Q878" s="510"/>
      <c r="R878" s="512"/>
      <c r="S878" s="523" t="e">
        <f>Table1372[[#This Row],[DATE  CLOSED]]-Table1372[[#This Row],[INITIATION DATE]]</f>
        <v>#VALUE!</v>
      </c>
    </row>
    <row r="879" spans="1:19" ht="89.25" x14ac:dyDescent="0.2">
      <c r="A879" s="338" t="s">
        <v>5912</v>
      </c>
      <c r="B879" s="508">
        <v>44200</v>
      </c>
      <c r="C879" s="509" t="s">
        <v>5913</v>
      </c>
      <c r="D879" s="343" t="s">
        <v>5914</v>
      </c>
      <c r="E879" s="510" t="s">
        <v>5746</v>
      </c>
      <c r="F879" s="510">
        <v>1</v>
      </c>
      <c r="G879" s="510" t="s">
        <v>2828</v>
      </c>
      <c r="H879" s="510" t="s">
        <v>5915</v>
      </c>
      <c r="I879" s="510" t="s">
        <v>3211</v>
      </c>
      <c r="J879" s="508">
        <v>44227</v>
      </c>
      <c r="K879" s="508" t="s">
        <v>2088</v>
      </c>
      <c r="L879" s="508" t="s">
        <v>2088</v>
      </c>
      <c r="M879" s="510" t="s">
        <v>2853</v>
      </c>
      <c r="N879" s="510" t="s">
        <v>2088</v>
      </c>
      <c r="O879" s="511">
        <v>44224</v>
      </c>
      <c r="P879" s="510" t="s">
        <v>4224</v>
      </c>
      <c r="Q879" s="510" t="s">
        <v>2829</v>
      </c>
      <c r="R879" s="512" t="s">
        <v>5080</v>
      </c>
      <c r="S879" s="513" t="e">
        <f>Table13723[[#This Row],[DATE  CLOSED]]-Table13723[[#This Row],[INITIATION DATE]]</f>
        <v>#VALUE!</v>
      </c>
    </row>
    <row r="880" spans="1:19" ht="102" x14ac:dyDescent="0.2">
      <c r="A880" s="340" t="s">
        <v>5916</v>
      </c>
      <c r="B880" s="514">
        <v>44202</v>
      </c>
      <c r="C880" s="515" t="s">
        <v>5917</v>
      </c>
      <c r="D880" s="515" t="s">
        <v>5918</v>
      </c>
      <c r="E880" s="516" t="s">
        <v>2971</v>
      </c>
      <c r="F880" s="516">
        <v>1</v>
      </c>
      <c r="G880" s="516" t="s">
        <v>2836</v>
      </c>
      <c r="H880" s="516" t="s">
        <v>229</v>
      </c>
      <c r="I880" s="516" t="s">
        <v>4261</v>
      </c>
      <c r="J880" s="514">
        <v>44227</v>
      </c>
      <c r="K880" s="514"/>
      <c r="L880" s="514"/>
      <c r="M880" s="342" t="s">
        <v>2853</v>
      </c>
      <c r="N880" s="342"/>
      <c r="O880" s="517">
        <v>44209</v>
      </c>
      <c r="P880" s="342" t="s">
        <v>4224</v>
      </c>
      <c r="Q880" s="342" t="s">
        <v>4987</v>
      </c>
      <c r="R880" s="518"/>
      <c r="S880" s="519" t="e">
        <f>Table13723[[#This Row],[DATE  CLOSED]]-Table13723[[#This Row],[INITIATION DATE]]</f>
        <v>#VALUE!</v>
      </c>
    </row>
    <row r="881" spans="1:19" ht="38.25" x14ac:dyDescent="0.2">
      <c r="A881" s="520" t="s">
        <v>5928</v>
      </c>
      <c r="B881" s="508">
        <v>44204</v>
      </c>
      <c r="C881" s="509" t="s">
        <v>5929</v>
      </c>
      <c r="D881" s="509" t="s">
        <v>5930</v>
      </c>
      <c r="E881" s="510" t="s">
        <v>5606</v>
      </c>
      <c r="F881" s="510">
        <v>1</v>
      </c>
      <c r="G881" s="510" t="s">
        <v>2828</v>
      </c>
      <c r="H881" s="510" t="s">
        <v>1351</v>
      </c>
      <c r="I881" s="510" t="s">
        <v>3211</v>
      </c>
      <c r="J881" s="508">
        <v>44255</v>
      </c>
      <c r="K881" s="508" t="s">
        <v>2088</v>
      </c>
      <c r="L881" s="508" t="s">
        <v>2088</v>
      </c>
      <c r="M881" s="510" t="s">
        <v>2853</v>
      </c>
      <c r="N881" s="510" t="s">
        <v>2088</v>
      </c>
      <c r="O881" s="511">
        <v>44235</v>
      </c>
      <c r="P881" s="510" t="s">
        <v>4224</v>
      </c>
      <c r="Q881" s="510" t="s">
        <v>2829</v>
      </c>
      <c r="R881" s="512" t="s">
        <v>5080</v>
      </c>
      <c r="S881" s="513" t="e">
        <f>Table13723[[#This Row],[DATE  CLOSED]]-Table13723[[#This Row],[INITIATION DATE]]</f>
        <v>#VALUE!</v>
      </c>
    </row>
    <row r="882" spans="1:19" ht="38.25" x14ac:dyDescent="0.2">
      <c r="A882" s="521" t="s">
        <v>5931</v>
      </c>
      <c r="B882" s="514">
        <v>44208</v>
      </c>
      <c r="C882" s="341" t="s">
        <v>5933</v>
      </c>
      <c r="D882" s="341" t="s">
        <v>5932</v>
      </c>
      <c r="E882" s="342" t="s">
        <v>2971</v>
      </c>
      <c r="F882" s="516">
        <v>1</v>
      </c>
      <c r="G882" s="516" t="s">
        <v>2838</v>
      </c>
      <c r="H882" s="342" t="s">
        <v>685</v>
      </c>
      <c r="I882" s="342" t="s">
        <v>229</v>
      </c>
      <c r="J882" s="345" t="s">
        <v>2088</v>
      </c>
      <c r="K882" s="345" t="s">
        <v>2088</v>
      </c>
      <c r="L882" s="345" t="s">
        <v>2088</v>
      </c>
      <c r="M882" s="516" t="s">
        <v>2853</v>
      </c>
      <c r="N882" s="516" t="s">
        <v>2088</v>
      </c>
      <c r="O882" s="517">
        <v>44208</v>
      </c>
      <c r="P882" s="516" t="s">
        <v>2088</v>
      </c>
      <c r="Q882" s="516" t="s">
        <v>2088</v>
      </c>
      <c r="R882" s="439" t="s">
        <v>5934</v>
      </c>
      <c r="S882" s="522" t="e">
        <f>Table13723[[#This Row],[DATE  CLOSED]]-Table13723[[#This Row],[INITIATION DATE]]</f>
        <v>#VALUE!</v>
      </c>
    </row>
    <row r="883" spans="1:19" ht="38.25" x14ac:dyDescent="0.2">
      <c r="A883" s="520" t="s">
        <v>5935</v>
      </c>
      <c r="B883" s="508">
        <v>44209</v>
      </c>
      <c r="C883" s="509" t="s">
        <v>5422</v>
      </c>
      <c r="D883" s="509" t="s">
        <v>5936</v>
      </c>
      <c r="E883" s="510" t="s">
        <v>2971</v>
      </c>
      <c r="F883" s="510">
        <v>1</v>
      </c>
      <c r="G883" s="510" t="s">
        <v>2836</v>
      </c>
      <c r="H883" s="510" t="s">
        <v>685</v>
      </c>
      <c r="I883" s="510" t="s">
        <v>229</v>
      </c>
      <c r="J883" s="508">
        <v>44227</v>
      </c>
      <c r="K883" s="508"/>
      <c r="L883" s="508"/>
      <c r="M883" s="510" t="s">
        <v>2853</v>
      </c>
      <c r="N883" s="510"/>
      <c r="O883" s="511">
        <v>44211</v>
      </c>
      <c r="P883" s="510" t="s">
        <v>3061</v>
      </c>
      <c r="Q883" s="510" t="s">
        <v>2829</v>
      </c>
      <c r="R883" s="512"/>
      <c r="S883" s="523" t="e">
        <f>Table13723[[#This Row],[DATE  CLOSED]]-Table13723[[#This Row],[INITIATION DATE]]</f>
        <v>#VALUE!</v>
      </c>
    </row>
    <row r="884" spans="1:19" ht="51" x14ac:dyDescent="0.2">
      <c r="A884" s="521" t="s">
        <v>5937</v>
      </c>
      <c r="B884" s="514">
        <v>44211</v>
      </c>
      <c r="C884" s="515" t="s">
        <v>5938</v>
      </c>
      <c r="D884" s="515" t="s">
        <v>5939</v>
      </c>
      <c r="E884" s="516" t="s">
        <v>2971</v>
      </c>
      <c r="F884" s="516">
        <v>1</v>
      </c>
      <c r="G884" s="516" t="s">
        <v>2836</v>
      </c>
      <c r="H884" s="516" t="s">
        <v>3842</v>
      </c>
      <c r="I884" s="516" t="s">
        <v>3211</v>
      </c>
      <c r="J884" s="514">
        <v>44286</v>
      </c>
      <c r="K884" s="514" t="s">
        <v>2088</v>
      </c>
      <c r="L884" s="514" t="s">
        <v>2088</v>
      </c>
      <c r="M884" s="516" t="s">
        <v>2853</v>
      </c>
      <c r="N884" s="516" t="s">
        <v>2088</v>
      </c>
      <c r="O884" s="517">
        <v>44252</v>
      </c>
      <c r="P884" s="516" t="s">
        <v>4224</v>
      </c>
      <c r="Q884" s="516" t="s">
        <v>2832</v>
      </c>
      <c r="R884" s="518" t="s">
        <v>5080</v>
      </c>
      <c r="S884" s="522" t="e">
        <f>Table13723[[#This Row],[DATE  CLOSED]]-Table13723[[#This Row],[INITIATION DATE]]</f>
        <v>#VALUE!</v>
      </c>
    </row>
    <row r="885" spans="1:19" ht="51" x14ac:dyDescent="0.2">
      <c r="A885" s="520" t="s">
        <v>5940</v>
      </c>
      <c r="B885" s="508">
        <v>44211</v>
      </c>
      <c r="C885" s="509" t="s">
        <v>5941</v>
      </c>
      <c r="D885" s="509" t="s">
        <v>5942</v>
      </c>
      <c r="E885" s="510" t="s">
        <v>2971</v>
      </c>
      <c r="F885" s="510">
        <v>1</v>
      </c>
      <c r="G885" s="510" t="s">
        <v>2836</v>
      </c>
      <c r="H885" s="510" t="s">
        <v>3842</v>
      </c>
      <c r="I885" s="510" t="s">
        <v>3211</v>
      </c>
      <c r="J885" s="508">
        <v>44286</v>
      </c>
      <c r="K885" s="508" t="s">
        <v>2088</v>
      </c>
      <c r="L885" s="508" t="s">
        <v>2088</v>
      </c>
      <c r="M885" s="510" t="s">
        <v>2853</v>
      </c>
      <c r="N885" s="510" t="s">
        <v>2088</v>
      </c>
      <c r="O885" s="511">
        <v>44229</v>
      </c>
      <c r="P885" s="510" t="s">
        <v>4224</v>
      </c>
      <c r="Q885" s="510" t="s">
        <v>2829</v>
      </c>
      <c r="R885" s="512" t="s">
        <v>5080</v>
      </c>
      <c r="S885" s="523" t="e">
        <f>Table13723[[#This Row],[DATE  CLOSED]]-Table13723[[#This Row],[INITIATION DATE]]</f>
        <v>#VALUE!</v>
      </c>
    </row>
    <row r="886" spans="1:19" ht="114.75" x14ac:dyDescent="0.2">
      <c r="A886" s="521" t="s">
        <v>5943</v>
      </c>
      <c r="B886" s="514">
        <v>44214</v>
      </c>
      <c r="C886" s="341" t="s">
        <v>6036</v>
      </c>
      <c r="D886" s="341" t="s">
        <v>5944</v>
      </c>
      <c r="E886" s="342" t="s">
        <v>2971</v>
      </c>
      <c r="F886" s="516">
        <v>1</v>
      </c>
      <c r="G886" s="516" t="s">
        <v>2840</v>
      </c>
      <c r="H886" s="342" t="s">
        <v>4021</v>
      </c>
      <c r="I886" s="342" t="s">
        <v>229</v>
      </c>
      <c r="J886" s="514">
        <v>44227</v>
      </c>
      <c r="K886" s="514"/>
      <c r="L886" s="514"/>
      <c r="M886" s="342" t="s">
        <v>2853</v>
      </c>
      <c r="N886" s="516"/>
      <c r="O886" s="517">
        <v>44217</v>
      </c>
      <c r="P886" s="516" t="s">
        <v>4224</v>
      </c>
      <c r="Q886" s="516" t="s">
        <v>4987</v>
      </c>
      <c r="R886" s="518"/>
      <c r="S886" s="522" t="e">
        <f>Table13723[[#This Row],[DATE  CLOSED]]-Table13723[[#This Row],[INITIATION DATE]]</f>
        <v>#VALUE!</v>
      </c>
    </row>
    <row r="887" spans="1:19" ht="25.5" x14ac:dyDescent="0.2">
      <c r="A887" s="520" t="s">
        <v>5945</v>
      </c>
      <c r="B887" s="508">
        <v>44214</v>
      </c>
      <c r="C887" s="509" t="s">
        <v>5946</v>
      </c>
      <c r="D887" s="509" t="s">
        <v>5947</v>
      </c>
      <c r="E887" s="510" t="s">
        <v>2971</v>
      </c>
      <c r="F887" s="510">
        <v>1</v>
      </c>
      <c r="G887" s="510" t="s">
        <v>2836</v>
      </c>
      <c r="H887" s="510" t="s">
        <v>3842</v>
      </c>
      <c r="I887" s="510" t="s">
        <v>3211</v>
      </c>
      <c r="J887" s="508">
        <v>44246</v>
      </c>
      <c r="K887" s="508" t="s">
        <v>2088</v>
      </c>
      <c r="L887" s="508" t="s">
        <v>2088</v>
      </c>
      <c r="M887" s="510" t="s">
        <v>2853</v>
      </c>
      <c r="N887" s="510" t="s">
        <v>2088</v>
      </c>
      <c r="O887" s="511">
        <v>44244</v>
      </c>
      <c r="P887" s="510" t="s">
        <v>3061</v>
      </c>
      <c r="Q887" s="510" t="s">
        <v>2829</v>
      </c>
      <c r="R887" s="512" t="s">
        <v>5080</v>
      </c>
      <c r="S887" s="523" t="e">
        <f>Table13723[[#This Row],[DATE  CLOSED]]-Table13723[[#This Row],[INITIATION DATE]]</f>
        <v>#VALUE!</v>
      </c>
    </row>
    <row r="888" spans="1:19" ht="102" x14ac:dyDescent="0.2">
      <c r="A888" s="521" t="s">
        <v>5948</v>
      </c>
      <c r="B888" s="514">
        <v>44215</v>
      </c>
      <c r="C888" s="515" t="s">
        <v>5949</v>
      </c>
      <c r="D888" s="515" t="s">
        <v>5950</v>
      </c>
      <c r="E888" s="516" t="s">
        <v>2971</v>
      </c>
      <c r="F888" s="516">
        <v>1</v>
      </c>
      <c r="G888" s="516" t="s">
        <v>2841</v>
      </c>
      <c r="H888" s="516" t="s">
        <v>3645</v>
      </c>
      <c r="I888" s="516" t="s">
        <v>229</v>
      </c>
      <c r="J888" s="514">
        <v>44255</v>
      </c>
      <c r="K888" s="514"/>
      <c r="L888" s="514"/>
      <c r="M888" s="516" t="s">
        <v>2853</v>
      </c>
      <c r="N888" s="516"/>
      <c r="O888" s="517">
        <v>44232</v>
      </c>
      <c r="P888" s="516" t="s">
        <v>4224</v>
      </c>
      <c r="Q888" s="516" t="s">
        <v>2829</v>
      </c>
      <c r="R888" s="518"/>
      <c r="S888" s="522" t="e">
        <f>Table13723[[#This Row],[DATE  CLOSED]]-Table13723[[#This Row],[INITIATION DATE]]</f>
        <v>#VALUE!</v>
      </c>
    </row>
    <row r="889" spans="1:19" ht="140.25" x14ac:dyDescent="0.2">
      <c r="A889" s="520" t="s">
        <v>5951</v>
      </c>
      <c r="B889" s="508">
        <v>44215</v>
      </c>
      <c r="C889" s="509" t="s">
        <v>5952</v>
      </c>
      <c r="D889" s="509" t="s">
        <v>5953</v>
      </c>
      <c r="E889" s="510" t="s">
        <v>2971</v>
      </c>
      <c r="F889" s="510">
        <v>1</v>
      </c>
      <c r="G889" s="510" t="s">
        <v>2841</v>
      </c>
      <c r="H889" s="510" t="s">
        <v>229</v>
      </c>
      <c r="I889" s="510" t="s">
        <v>4261</v>
      </c>
      <c r="J889" s="508">
        <v>44255</v>
      </c>
      <c r="K889" s="508"/>
      <c r="L889" s="508"/>
      <c r="M889" s="344" t="s">
        <v>2853</v>
      </c>
      <c r="N889" s="510"/>
      <c r="O889" s="511">
        <v>44236</v>
      </c>
      <c r="P889" s="510" t="s">
        <v>4224</v>
      </c>
      <c r="Q889" s="510" t="s">
        <v>2829</v>
      </c>
      <c r="R889" s="512"/>
      <c r="S889" s="523" t="e">
        <f>Table13723[[#This Row],[DATE  CLOSED]]-Table13723[[#This Row],[INITIATION DATE]]</f>
        <v>#VALUE!</v>
      </c>
    </row>
    <row r="890" spans="1:19" ht="216.75" x14ac:dyDescent="0.2">
      <c r="A890" s="521" t="s">
        <v>5954</v>
      </c>
      <c r="B890" s="514">
        <v>44216</v>
      </c>
      <c r="C890" s="515" t="s">
        <v>5955</v>
      </c>
      <c r="D890" s="515" t="s">
        <v>5956</v>
      </c>
      <c r="E890" s="516" t="s">
        <v>2971</v>
      </c>
      <c r="F890" s="516">
        <v>1</v>
      </c>
      <c r="G890" s="516" t="s">
        <v>2840</v>
      </c>
      <c r="H890" s="516" t="s">
        <v>229</v>
      </c>
      <c r="I890" s="516" t="s">
        <v>4261</v>
      </c>
      <c r="J890" s="514">
        <v>44227</v>
      </c>
      <c r="K890" s="514">
        <v>44286</v>
      </c>
      <c r="L890" s="514"/>
      <c r="M890" s="516" t="s">
        <v>2853</v>
      </c>
      <c r="N890" s="516" t="s">
        <v>4224</v>
      </c>
      <c r="O890" s="517">
        <v>44256</v>
      </c>
      <c r="P890" s="516" t="s">
        <v>4224</v>
      </c>
      <c r="Q890" s="516" t="s">
        <v>5991</v>
      </c>
      <c r="R890" s="518"/>
      <c r="S890" s="522" t="e">
        <f>Table13723[[#This Row],[DATE  CLOSED]]-Table13723[[#This Row],[INITIATION DATE]]</f>
        <v>#VALUE!</v>
      </c>
    </row>
    <row r="891" spans="1:19" ht="89.25" x14ac:dyDescent="0.2">
      <c r="A891" s="520" t="s">
        <v>5957</v>
      </c>
      <c r="B891" s="508">
        <v>44253</v>
      </c>
      <c r="C891" s="509" t="s">
        <v>5958</v>
      </c>
      <c r="D891" s="509" t="s">
        <v>5959</v>
      </c>
      <c r="E891" s="510" t="s">
        <v>2971</v>
      </c>
      <c r="F891" s="510">
        <v>1</v>
      </c>
      <c r="G891" s="510" t="s">
        <v>2841</v>
      </c>
      <c r="H891" s="510" t="s">
        <v>4021</v>
      </c>
      <c r="I891" s="510" t="s">
        <v>229</v>
      </c>
      <c r="J891" s="508">
        <v>44286</v>
      </c>
      <c r="K891" s="508"/>
      <c r="L891" s="508"/>
      <c r="M891" s="510" t="s">
        <v>2853</v>
      </c>
      <c r="N891" s="510"/>
      <c r="O891" s="511">
        <v>44256</v>
      </c>
      <c r="P891" s="510" t="s">
        <v>4224</v>
      </c>
      <c r="Q891" s="510" t="s">
        <v>4987</v>
      </c>
      <c r="R891" s="512"/>
      <c r="S891" s="523" t="e">
        <f>Table13723[[#This Row],[DATE  CLOSED]]-Table13723[[#This Row],[INITIATION DATE]]</f>
        <v>#VALUE!</v>
      </c>
    </row>
    <row r="892" spans="1:19" ht="51" x14ac:dyDescent="0.2">
      <c r="A892" s="521" t="s">
        <v>5960</v>
      </c>
      <c r="B892" s="514">
        <v>44218</v>
      </c>
      <c r="C892" s="341" t="s">
        <v>5961</v>
      </c>
      <c r="D892" s="341" t="s">
        <v>5962</v>
      </c>
      <c r="E892" s="342" t="s">
        <v>5606</v>
      </c>
      <c r="F892" s="516">
        <v>1</v>
      </c>
      <c r="G892" s="342" t="s">
        <v>2828</v>
      </c>
      <c r="H892" s="342" t="s">
        <v>3975</v>
      </c>
      <c r="I892" s="342" t="s">
        <v>3926</v>
      </c>
      <c r="J892" s="514">
        <v>44227</v>
      </c>
      <c r="K892" s="345" t="s">
        <v>2088</v>
      </c>
      <c r="L892" s="345" t="s">
        <v>2088</v>
      </c>
      <c r="M892" s="342" t="s">
        <v>2853</v>
      </c>
      <c r="N892" s="342" t="s">
        <v>2088</v>
      </c>
      <c r="O892" s="517">
        <v>44221</v>
      </c>
      <c r="P892" s="342" t="s">
        <v>4224</v>
      </c>
      <c r="Q892" s="516" t="s">
        <v>2829</v>
      </c>
      <c r="R892" s="439" t="s">
        <v>5080</v>
      </c>
      <c r="S892" s="522" t="e">
        <f>Table13723[[#This Row],[DATE  CLOSED]]-Table13723[[#This Row],[INITIATION DATE]]</f>
        <v>#VALUE!</v>
      </c>
    </row>
    <row r="893" spans="1:19" ht="51" x14ac:dyDescent="0.2">
      <c r="A893" s="520" t="s">
        <v>5963</v>
      </c>
      <c r="B893" s="508">
        <v>44218</v>
      </c>
      <c r="C893" s="509" t="s">
        <v>5965</v>
      </c>
      <c r="D893" s="509" t="s">
        <v>5964</v>
      </c>
      <c r="E893" s="510" t="s">
        <v>4610</v>
      </c>
      <c r="F893" s="510">
        <v>1</v>
      </c>
      <c r="G893" s="510" t="s">
        <v>2828</v>
      </c>
      <c r="H893" s="510" t="s">
        <v>4021</v>
      </c>
      <c r="I893" s="510" t="s">
        <v>3211</v>
      </c>
      <c r="J893" s="508">
        <v>44227</v>
      </c>
      <c r="K893" s="508" t="s">
        <v>2088</v>
      </c>
      <c r="L893" s="508" t="s">
        <v>2088</v>
      </c>
      <c r="M893" s="510" t="s">
        <v>2853</v>
      </c>
      <c r="N893" s="510" t="s">
        <v>2088</v>
      </c>
      <c r="O893" s="511">
        <v>44224</v>
      </c>
      <c r="P893" s="510" t="s">
        <v>4224</v>
      </c>
      <c r="Q893" s="510" t="s">
        <v>2829</v>
      </c>
      <c r="R893" s="512" t="s">
        <v>5080</v>
      </c>
      <c r="S893" s="523" t="e">
        <f>Table13723[[#This Row],[DATE  CLOSED]]-Table13723[[#This Row],[INITIATION DATE]]</f>
        <v>#VALUE!</v>
      </c>
    </row>
    <row r="894" spans="1:19" ht="76.5" x14ac:dyDescent="0.2">
      <c r="A894" s="521" t="s">
        <v>5966</v>
      </c>
      <c r="B894" s="514">
        <v>44221</v>
      </c>
      <c r="C894" s="515" t="s">
        <v>5967</v>
      </c>
      <c r="D894" s="515" t="s">
        <v>5968</v>
      </c>
      <c r="E894" s="516" t="s">
        <v>4675</v>
      </c>
      <c r="F894" s="516">
        <v>1</v>
      </c>
      <c r="G894" s="516" t="s">
        <v>2828</v>
      </c>
      <c r="H894" s="516" t="s">
        <v>3975</v>
      </c>
      <c r="I894" s="516" t="s">
        <v>3211</v>
      </c>
      <c r="J894" s="514">
        <v>44255</v>
      </c>
      <c r="K894" s="514" t="s">
        <v>2088</v>
      </c>
      <c r="L894" s="514" t="s">
        <v>2088</v>
      </c>
      <c r="M894" s="516" t="s">
        <v>2853</v>
      </c>
      <c r="N894" s="516" t="s">
        <v>2088</v>
      </c>
      <c r="O894" s="517">
        <v>44224</v>
      </c>
      <c r="P894" s="516" t="s">
        <v>4224</v>
      </c>
      <c r="Q894" s="516" t="s">
        <v>2829</v>
      </c>
      <c r="R894" s="518" t="s">
        <v>5080</v>
      </c>
      <c r="S894" s="522" t="e">
        <f>Table13723[[#This Row],[DATE  CLOSED]]-Table13723[[#This Row],[INITIATION DATE]]</f>
        <v>#VALUE!</v>
      </c>
    </row>
    <row r="895" spans="1:19" ht="89.25" x14ac:dyDescent="0.2">
      <c r="A895" s="520" t="s">
        <v>5971</v>
      </c>
      <c r="B895" s="508">
        <v>44223</v>
      </c>
      <c r="C895" s="343" t="s">
        <v>5974</v>
      </c>
      <c r="D895" s="343" t="s">
        <v>5972</v>
      </c>
      <c r="E895" s="344" t="s">
        <v>5973</v>
      </c>
      <c r="F895" s="510">
        <v>1</v>
      </c>
      <c r="G895" s="344" t="s">
        <v>2828</v>
      </c>
      <c r="H895" s="510" t="s">
        <v>3975</v>
      </c>
      <c r="I895" s="344" t="s">
        <v>3926</v>
      </c>
      <c r="J895" s="339">
        <v>44255</v>
      </c>
      <c r="K895" s="508" t="s">
        <v>2088</v>
      </c>
      <c r="L895" s="508" t="s">
        <v>2088</v>
      </c>
      <c r="M895" s="344" t="s">
        <v>2853</v>
      </c>
      <c r="N895" s="510" t="s">
        <v>2088</v>
      </c>
      <c r="O895" s="511">
        <v>44232</v>
      </c>
      <c r="P895" s="510" t="s">
        <v>4224</v>
      </c>
      <c r="Q895" s="510" t="s">
        <v>2829</v>
      </c>
      <c r="R895" s="512" t="s">
        <v>5080</v>
      </c>
      <c r="S895" s="523" t="e">
        <f>Table13723[[#This Row],[DATE  CLOSED]]-Table13723[[#This Row],[INITIATION DATE]]</f>
        <v>#VALUE!</v>
      </c>
    </row>
    <row r="896" spans="1:19" ht="79.5" x14ac:dyDescent="0.2">
      <c r="A896" s="521" t="s">
        <v>5975</v>
      </c>
      <c r="B896" s="514">
        <v>44223</v>
      </c>
      <c r="C896" s="515" t="s">
        <v>5976</v>
      </c>
      <c r="D896" s="448" t="s">
        <v>5979</v>
      </c>
      <c r="E896" s="342" t="s">
        <v>5743</v>
      </c>
      <c r="F896" s="516">
        <v>1</v>
      </c>
      <c r="G896" s="342" t="s">
        <v>2828</v>
      </c>
      <c r="H896" s="342" t="s">
        <v>615</v>
      </c>
      <c r="I896" s="342" t="s">
        <v>3211</v>
      </c>
      <c r="J896" s="514">
        <v>44377</v>
      </c>
      <c r="K896" s="514" t="s">
        <v>2088</v>
      </c>
      <c r="L896" s="514" t="s">
        <v>2088</v>
      </c>
      <c r="M896" s="342" t="s">
        <v>2853</v>
      </c>
      <c r="N896" s="516" t="s">
        <v>2088</v>
      </c>
      <c r="O896" s="517">
        <v>44239</v>
      </c>
      <c r="P896" s="516" t="s">
        <v>4224</v>
      </c>
      <c r="Q896" s="516" t="s">
        <v>2829</v>
      </c>
      <c r="R896" s="518" t="s">
        <v>5080</v>
      </c>
      <c r="S896" s="522" t="e">
        <f>Table13723[[#This Row],[DATE  CLOSED]]-Table13723[[#This Row],[INITIATION DATE]]</f>
        <v>#VALUE!</v>
      </c>
    </row>
    <row r="897" spans="1:19" ht="51" x14ac:dyDescent="0.2">
      <c r="A897" s="520" t="s">
        <v>5977</v>
      </c>
      <c r="B897" s="508">
        <v>44223</v>
      </c>
      <c r="C897" s="343" t="s">
        <v>5978</v>
      </c>
      <c r="D897" s="343" t="s">
        <v>5697</v>
      </c>
      <c r="E897" s="344" t="s">
        <v>5743</v>
      </c>
      <c r="F897" s="510">
        <v>1</v>
      </c>
      <c r="G897" s="344" t="s">
        <v>2828</v>
      </c>
      <c r="H897" s="344" t="s">
        <v>1351</v>
      </c>
      <c r="I897" s="344" t="s">
        <v>3926</v>
      </c>
      <c r="J897" s="508">
        <v>44255</v>
      </c>
      <c r="K897" s="508" t="s">
        <v>2088</v>
      </c>
      <c r="L897" s="508" t="s">
        <v>2088</v>
      </c>
      <c r="M897" s="344" t="s">
        <v>2853</v>
      </c>
      <c r="N897" s="510" t="s">
        <v>2088</v>
      </c>
      <c r="O897" s="511">
        <v>44253</v>
      </c>
      <c r="P897" s="510" t="s">
        <v>4224</v>
      </c>
      <c r="Q897" s="510" t="s">
        <v>2829</v>
      </c>
      <c r="R897" s="512" t="s">
        <v>5080</v>
      </c>
      <c r="S897" s="523" t="e">
        <f>Table13723[[#This Row],[DATE  CLOSED]]-Table13723[[#This Row],[INITIATION DATE]]</f>
        <v>#VALUE!</v>
      </c>
    </row>
    <row r="898" spans="1:19" ht="51" x14ac:dyDescent="0.2">
      <c r="A898" s="521" t="s">
        <v>5980</v>
      </c>
      <c r="B898" s="514">
        <v>44225</v>
      </c>
      <c r="C898" s="515" t="s">
        <v>5981</v>
      </c>
      <c r="D898" s="515" t="s">
        <v>5982</v>
      </c>
      <c r="E898" s="516" t="s">
        <v>2971</v>
      </c>
      <c r="F898" s="516">
        <v>1</v>
      </c>
      <c r="G898" s="516" t="s">
        <v>2836</v>
      </c>
      <c r="H898" s="516" t="s">
        <v>3423</v>
      </c>
      <c r="I898" s="516" t="s">
        <v>3211</v>
      </c>
      <c r="J898" s="514">
        <v>44286</v>
      </c>
      <c r="K898" s="514" t="s">
        <v>2088</v>
      </c>
      <c r="L898" s="514" t="s">
        <v>2088</v>
      </c>
      <c r="M898" s="516" t="s">
        <v>2853</v>
      </c>
      <c r="N898" s="516" t="s">
        <v>2088</v>
      </c>
      <c r="O898" s="517">
        <v>44259</v>
      </c>
      <c r="P898" s="516" t="s">
        <v>4224</v>
      </c>
      <c r="Q898" s="516" t="s">
        <v>2829</v>
      </c>
      <c r="R898" s="518" t="s">
        <v>5080</v>
      </c>
      <c r="S898" s="522" t="e">
        <f>Table13723[[#This Row],[DATE  CLOSED]]-Table13723[[#This Row],[INITIATION DATE]]</f>
        <v>#VALUE!</v>
      </c>
    </row>
    <row r="899" spans="1:19" ht="89.25" x14ac:dyDescent="0.2">
      <c r="A899" s="520" t="s">
        <v>5983</v>
      </c>
      <c r="B899" s="508">
        <v>44228</v>
      </c>
      <c r="C899" s="509" t="s">
        <v>5984</v>
      </c>
      <c r="D899" s="509" t="s">
        <v>5985</v>
      </c>
      <c r="E899" s="510" t="s">
        <v>3532</v>
      </c>
      <c r="F899" s="510">
        <v>1</v>
      </c>
      <c r="G899" s="510" t="s">
        <v>2828</v>
      </c>
      <c r="H899" s="510" t="s">
        <v>3975</v>
      </c>
      <c r="I899" s="510" t="s">
        <v>3211</v>
      </c>
      <c r="J899" s="508">
        <v>44316</v>
      </c>
      <c r="K899" s="508" t="s">
        <v>2088</v>
      </c>
      <c r="L899" s="508" t="s">
        <v>2088</v>
      </c>
      <c r="M899" s="510" t="s">
        <v>2853</v>
      </c>
      <c r="N899" s="510" t="s">
        <v>2088</v>
      </c>
      <c r="O899" s="511">
        <v>44302</v>
      </c>
      <c r="P899" s="510" t="s">
        <v>4224</v>
      </c>
      <c r="Q899" s="510" t="s">
        <v>2832</v>
      </c>
      <c r="R899" s="512" t="s">
        <v>5080</v>
      </c>
      <c r="S899" s="523" t="e">
        <f>Table13723[[#This Row],[DATE  CLOSED]]-Table13723[[#This Row],[INITIATION DATE]]</f>
        <v>#VALUE!</v>
      </c>
    </row>
    <row r="900" spans="1:19" ht="63.75" x14ac:dyDescent="0.2">
      <c r="A900" s="521" t="s">
        <v>5992</v>
      </c>
      <c r="B900" s="514">
        <v>44232</v>
      </c>
      <c r="C900" s="515" t="s">
        <v>5993</v>
      </c>
      <c r="D900" s="515" t="s">
        <v>5994</v>
      </c>
      <c r="E900" s="516" t="s">
        <v>2971</v>
      </c>
      <c r="F900" s="516">
        <v>1</v>
      </c>
      <c r="G900" s="516" t="s">
        <v>2836</v>
      </c>
      <c r="H900" s="516" t="s">
        <v>481</v>
      </c>
      <c r="I900" s="516" t="s">
        <v>229</v>
      </c>
      <c r="J900" s="514">
        <v>44239</v>
      </c>
      <c r="K900" s="514"/>
      <c r="L900" s="514"/>
      <c r="M900" s="516" t="s">
        <v>2847</v>
      </c>
      <c r="N900" s="516"/>
      <c r="O900" s="517"/>
      <c r="P900" s="516"/>
      <c r="Q900" s="516"/>
      <c r="R900" s="518"/>
      <c r="S900" s="522" t="e">
        <f>Table13723[[#This Row],[DATE  CLOSED]]-Table13723[[#This Row],[INITIATION DATE]]</f>
        <v>#VALUE!</v>
      </c>
    </row>
    <row r="901" spans="1:19" ht="51" x14ac:dyDescent="0.2">
      <c r="A901" s="520" t="s">
        <v>5995</v>
      </c>
      <c r="B901" s="508">
        <v>44232</v>
      </c>
      <c r="C901" s="343" t="s">
        <v>5997</v>
      </c>
      <c r="D901" s="343" t="s">
        <v>5996</v>
      </c>
      <c r="E901" s="344" t="s">
        <v>2971</v>
      </c>
      <c r="F901" s="510">
        <v>1</v>
      </c>
      <c r="G901" s="344" t="s">
        <v>2841</v>
      </c>
      <c r="H901" s="344" t="s">
        <v>229</v>
      </c>
      <c r="I901" s="344" t="s">
        <v>4261</v>
      </c>
      <c r="J901" s="508">
        <v>44286</v>
      </c>
      <c r="K901" s="508"/>
      <c r="L901" s="508"/>
      <c r="M901" s="344" t="s">
        <v>2853</v>
      </c>
      <c r="N901" s="510"/>
      <c r="O901" s="511">
        <v>44274</v>
      </c>
      <c r="P901" s="344" t="s">
        <v>4224</v>
      </c>
      <c r="Q901" s="344" t="s">
        <v>5991</v>
      </c>
      <c r="R901" s="512"/>
      <c r="S901" s="523" t="e">
        <f>Table13723[[#This Row],[DATE  CLOSED]]-Table13723[[#This Row],[INITIATION DATE]]</f>
        <v>#VALUE!</v>
      </c>
    </row>
    <row r="902" spans="1:19" ht="38.25" x14ac:dyDescent="0.2">
      <c r="A902" s="521" t="s">
        <v>6003</v>
      </c>
      <c r="B902" s="514">
        <v>44237</v>
      </c>
      <c r="C902" s="515" t="s">
        <v>5422</v>
      </c>
      <c r="D902" s="515" t="s">
        <v>6005</v>
      </c>
      <c r="E902" s="516" t="s">
        <v>2971</v>
      </c>
      <c r="F902" s="516">
        <v>1</v>
      </c>
      <c r="G902" s="516" t="s">
        <v>2836</v>
      </c>
      <c r="H902" s="516" t="s">
        <v>685</v>
      </c>
      <c r="I902" s="516" t="s">
        <v>229</v>
      </c>
      <c r="J902" s="514">
        <v>44286</v>
      </c>
      <c r="K902" s="514"/>
      <c r="L902" s="514"/>
      <c r="M902" s="516" t="s">
        <v>2853</v>
      </c>
      <c r="N902" s="516"/>
      <c r="O902" s="517">
        <v>44271</v>
      </c>
      <c r="P902" s="516" t="s">
        <v>3061</v>
      </c>
      <c r="Q902" s="516" t="s">
        <v>2832</v>
      </c>
      <c r="R902" s="518"/>
      <c r="S902" s="522" t="e">
        <f>Table13723[[#This Row],[DATE  CLOSED]]-Table13723[[#This Row],[INITIATION DATE]]</f>
        <v>#VALUE!</v>
      </c>
    </row>
    <row r="903" spans="1:19" ht="38.25" x14ac:dyDescent="0.2">
      <c r="A903" s="520" t="s">
        <v>6004</v>
      </c>
      <c r="B903" s="508">
        <v>44237</v>
      </c>
      <c r="C903" s="509" t="s">
        <v>6006</v>
      </c>
      <c r="D903" s="509" t="s">
        <v>6007</v>
      </c>
      <c r="E903" s="510" t="s">
        <v>2971</v>
      </c>
      <c r="F903" s="510">
        <v>1</v>
      </c>
      <c r="G903" s="510" t="s">
        <v>2836</v>
      </c>
      <c r="H903" s="510" t="s">
        <v>685</v>
      </c>
      <c r="I903" s="510" t="s">
        <v>229</v>
      </c>
      <c r="J903" s="508">
        <v>44286</v>
      </c>
      <c r="K903" s="508"/>
      <c r="L903" s="508"/>
      <c r="M903" s="510" t="s">
        <v>2853</v>
      </c>
      <c r="N903" s="510"/>
      <c r="O903" s="511">
        <v>44238</v>
      </c>
      <c r="P903" s="510" t="s">
        <v>4224</v>
      </c>
      <c r="Q903" s="510" t="s">
        <v>4987</v>
      </c>
      <c r="R903" s="512" t="s">
        <v>5080</v>
      </c>
      <c r="S903" s="523" t="e">
        <f>Table13723[[#This Row],[DATE  CLOSED]]-Table13723[[#This Row],[INITIATION DATE]]</f>
        <v>#VALUE!</v>
      </c>
    </row>
    <row r="904" spans="1:19" ht="76.5" x14ac:dyDescent="0.2">
      <c r="A904" s="521" t="s">
        <v>6008</v>
      </c>
      <c r="B904" s="514">
        <v>44237</v>
      </c>
      <c r="C904" s="341" t="s">
        <v>6009</v>
      </c>
      <c r="D904" s="341" t="s">
        <v>6010</v>
      </c>
      <c r="E904" s="342" t="s">
        <v>2971</v>
      </c>
      <c r="F904" s="516">
        <v>1</v>
      </c>
      <c r="G904" s="342" t="s">
        <v>2836</v>
      </c>
      <c r="H904" s="342" t="s">
        <v>441</v>
      </c>
      <c r="I904" s="342" t="s">
        <v>3926</v>
      </c>
      <c r="J904" s="514">
        <v>44439</v>
      </c>
      <c r="K904" s="514"/>
      <c r="L904" s="514"/>
      <c r="M904" s="342" t="s">
        <v>2847</v>
      </c>
      <c r="N904" s="516"/>
      <c r="O904" s="517"/>
      <c r="P904" s="516"/>
      <c r="Q904" s="516"/>
      <c r="R904" s="518"/>
      <c r="S904" s="522" t="e">
        <f>Table13723[[#This Row],[DATE  CLOSED]]-Table13723[[#This Row],[INITIATION DATE]]</f>
        <v>#VALUE!</v>
      </c>
    </row>
    <row r="905" spans="1:19" ht="114.75" x14ac:dyDescent="0.2">
      <c r="A905" s="520" t="s">
        <v>6011</v>
      </c>
      <c r="B905" s="508">
        <v>44238</v>
      </c>
      <c r="C905" s="509" t="s">
        <v>6012</v>
      </c>
      <c r="D905" s="509" t="s">
        <v>6013</v>
      </c>
      <c r="E905" s="510" t="s">
        <v>5973</v>
      </c>
      <c r="F905" s="510">
        <v>1</v>
      </c>
      <c r="G905" s="510" t="s">
        <v>2828</v>
      </c>
      <c r="H905" s="510" t="s">
        <v>3975</v>
      </c>
      <c r="I905" s="510" t="s">
        <v>3926</v>
      </c>
      <c r="J905" s="508">
        <v>43921</v>
      </c>
      <c r="K905" s="508" t="s">
        <v>2088</v>
      </c>
      <c r="L905" s="508" t="s">
        <v>2088</v>
      </c>
      <c r="M905" s="510" t="s">
        <v>2853</v>
      </c>
      <c r="N905" s="510" t="s">
        <v>2912</v>
      </c>
      <c r="O905" s="511">
        <v>44272</v>
      </c>
      <c r="P905" s="510" t="s">
        <v>3061</v>
      </c>
      <c r="Q905" s="510" t="s">
        <v>2832</v>
      </c>
      <c r="R905" s="512" t="s">
        <v>5080</v>
      </c>
      <c r="S905" s="523" t="e">
        <f>Table13723[[#This Row],[DATE  CLOSED]]-Table13723[[#This Row],[INITIATION DATE]]</f>
        <v>#VALUE!</v>
      </c>
    </row>
    <row r="906" spans="1:19" ht="89.25" x14ac:dyDescent="0.2">
      <c r="A906" s="521" t="s">
        <v>6015</v>
      </c>
      <c r="B906" s="514">
        <v>44243</v>
      </c>
      <c r="C906" s="515" t="s">
        <v>6017</v>
      </c>
      <c r="D906" s="515" t="s">
        <v>6018</v>
      </c>
      <c r="E906" s="516" t="s">
        <v>2971</v>
      </c>
      <c r="F906" s="516">
        <v>1</v>
      </c>
      <c r="G906" s="516" t="s">
        <v>2831</v>
      </c>
      <c r="H906" s="516" t="s">
        <v>685</v>
      </c>
      <c r="I906" s="516" t="s">
        <v>229</v>
      </c>
      <c r="J906" s="514">
        <v>44286</v>
      </c>
      <c r="K906" s="514"/>
      <c r="L906" s="514"/>
      <c r="M906" s="516" t="s">
        <v>2853</v>
      </c>
      <c r="N906" s="516" t="s">
        <v>2088</v>
      </c>
      <c r="O906" s="517">
        <v>44286</v>
      </c>
      <c r="P906" s="516" t="s">
        <v>3061</v>
      </c>
      <c r="Q906" s="516"/>
      <c r="R906" s="518"/>
      <c r="S906" s="522" t="e">
        <f>Table13723[[#This Row],[DATE  CLOSED]]-Table13723[[#This Row],[INITIATION DATE]]</f>
        <v>#VALUE!</v>
      </c>
    </row>
    <row r="907" spans="1:19" ht="102" x14ac:dyDescent="0.2">
      <c r="A907" s="520" t="s">
        <v>6016</v>
      </c>
      <c r="B907" s="508">
        <v>44243</v>
      </c>
      <c r="C907" s="509" t="s">
        <v>6020</v>
      </c>
      <c r="D907" s="509" t="s">
        <v>6019</v>
      </c>
      <c r="E907" s="510" t="s">
        <v>2971</v>
      </c>
      <c r="F907" s="510">
        <v>1</v>
      </c>
      <c r="G907" s="510" t="s">
        <v>2831</v>
      </c>
      <c r="H907" s="510" t="s">
        <v>685</v>
      </c>
      <c r="I907" s="510" t="s">
        <v>229</v>
      </c>
      <c r="J907" s="508">
        <v>44286</v>
      </c>
      <c r="K907" s="508"/>
      <c r="L907" s="508"/>
      <c r="M907" s="510" t="s">
        <v>2853</v>
      </c>
      <c r="N907" s="510" t="s">
        <v>2088</v>
      </c>
      <c r="O907" s="511">
        <v>44286</v>
      </c>
      <c r="P907" s="510" t="s">
        <v>3061</v>
      </c>
      <c r="Q907" s="510"/>
      <c r="R907" s="512"/>
      <c r="S907" s="523" t="e">
        <f>Table13723[[#This Row],[DATE  CLOSED]]-Table13723[[#This Row],[INITIATION DATE]]</f>
        <v>#VALUE!</v>
      </c>
    </row>
    <row r="908" spans="1:19" ht="63.75" x14ac:dyDescent="0.2">
      <c r="A908" s="521" t="s">
        <v>6021</v>
      </c>
      <c r="B908" s="514">
        <v>44243</v>
      </c>
      <c r="C908" s="515" t="s">
        <v>4662</v>
      </c>
      <c r="D908" s="515" t="s">
        <v>6022</v>
      </c>
      <c r="E908" s="516" t="s">
        <v>2971</v>
      </c>
      <c r="F908" s="516">
        <v>1</v>
      </c>
      <c r="G908" s="516" t="s">
        <v>2840</v>
      </c>
      <c r="H908" s="516" t="s">
        <v>229</v>
      </c>
      <c r="I908" s="516" t="s">
        <v>4261</v>
      </c>
      <c r="J908" s="514">
        <v>44255</v>
      </c>
      <c r="K908" s="514"/>
      <c r="L908" s="514"/>
      <c r="M908" s="342" t="s">
        <v>2853</v>
      </c>
      <c r="N908" s="516"/>
      <c r="O908" s="517">
        <v>44252</v>
      </c>
      <c r="P908" s="342" t="s">
        <v>4224</v>
      </c>
      <c r="Q908" s="342" t="s">
        <v>4987</v>
      </c>
      <c r="R908" s="439" t="s">
        <v>5080</v>
      </c>
      <c r="S908" s="522" t="e">
        <f>Table13723[[#This Row],[DATE  CLOSED]]-Table13723[[#This Row],[INITIATION DATE]]</f>
        <v>#VALUE!</v>
      </c>
    </row>
    <row r="909" spans="1:19" ht="114.75" x14ac:dyDescent="0.2">
      <c r="A909" s="520" t="s">
        <v>6023</v>
      </c>
      <c r="B909" s="508">
        <v>44244</v>
      </c>
      <c r="C909" s="509" t="s">
        <v>6024</v>
      </c>
      <c r="D909" s="509" t="s">
        <v>6025</v>
      </c>
      <c r="E909" s="510" t="s">
        <v>2971</v>
      </c>
      <c r="F909" s="510">
        <v>1</v>
      </c>
      <c r="G909" s="510" t="s">
        <v>2834</v>
      </c>
      <c r="H909" s="510" t="s">
        <v>3645</v>
      </c>
      <c r="I909" s="510" t="s">
        <v>229</v>
      </c>
      <c r="J909" s="508">
        <v>44286</v>
      </c>
      <c r="K909" s="508" t="s">
        <v>2088</v>
      </c>
      <c r="L909" s="508" t="s">
        <v>2088</v>
      </c>
      <c r="M909" s="510" t="s">
        <v>2853</v>
      </c>
      <c r="N909" s="510" t="s">
        <v>2088</v>
      </c>
      <c r="O909" s="511">
        <v>44253</v>
      </c>
      <c r="P909" s="510" t="s">
        <v>4224</v>
      </c>
      <c r="Q909" s="510" t="s">
        <v>2829</v>
      </c>
      <c r="R909" s="512" t="s">
        <v>5080</v>
      </c>
      <c r="S909" s="523" t="e">
        <f>Table13723[[#This Row],[DATE  CLOSED]]-Table13723[[#This Row],[INITIATION DATE]]</f>
        <v>#VALUE!</v>
      </c>
    </row>
    <row r="910" spans="1:19" ht="191.25" x14ac:dyDescent="0.2">
      <c r="A910" s="521" t="s">
        <v>6026</v>
      </c>
      <c r="B910" s="514">
        <v>44244</v>
      </c>
      <c r="C910" s="515" t="s">
        <v>6027</v>
      </c>
      <c r="D910" s="515" t="s">
        <v>6028</v>
      </c>
      <c r="E910" s="516" t="s">
        <v>2971</v>
      </c>
      <c r="F910" s="516">
        <v>1</v>
      </c>
      <c r="G910" s="516" t="s">
        <v>2841</v>
      </c>
      <c r="H910" s="516" t="s">
        <v>4021</v>
      </c>
      <c r="I910" s="516" t="s">
        <v>229</v>
      </c>
      <c r="J910" s="514">
        <v>44286</v>
      </c>
      <c r="K910" s="514"/>
      <c r="L910" s="514"/>
      <c r="M910" s="516" t="s">
        <v>2853</v>
      </c>
      <c r="N910" s="516"/>
      <c r="O910" s="517">
        <v>44256</v>
      </c>
      <c r="P910" s="516" t="s">
        <v>4224</v>
      </c>
      <c r="Q910" s="516" t="s">
        <v>4987</v>
      </c>
      <c r="R910" s="518"/>
      <c r="S910" s="522" t="e">
        <f>Table13723[[#This Row],[DATE  CLOSED]]-Table13723[[#This Row],[INITIATION DATE]]</f>
        <v>#VALUE!</v>
      </c>
    </row>
    <row r="911" spans="1:19" ht="127.5" x14ac:dyDescent="0.2">
      <c r="A911" s="520" t="s">
        <v>6030</v>
      </c>
      <c r="B911" s="508">
        <v>44246</v>
      </c>
      <c r="C911" s="509" t="s">
        <v>6031</v>
      </c>
      <c r="D911" s="509" t="s">
        <v>6032</v>
      </c>
      <c r="E911" s="510" t="s">
        <v>2971</v>
      </c>
      <c r="F911" s="510">
        <v>1</v>
      </c>
      <c r="G911" s="510" t="s">
        <v>2840</v>
      </c>
      <c r="H911" s="510" t="s">
        <v>229</v>
      </c>
      <c r="I911" s="510" t="s">
        <v>4261</v>
      </c>
      <c r="J911" s="508">
        <v>44286</v>
      </c>
      <c r="K911" s="508"/>
      <c r="L911" s="508"/>
      <c r="M911" s="510" t="s">
        <v>2853</v>
      </c>
      <c r="N911" s="510"/>
      <c r="O911" s="511">
        <v>44246</v>
      </c>
      <c r="P911" s="510" t="s">
        <v>4224</v>
      </c>
      <c r="Q911" s="510" t="s">
        <v>4987</v>
      </c>
      <c r="R911" s="512"/>
      <c r="S911" s="523" t="e">
        <f>Table13723[[#This Row],[DATE  CLOSED]]-Table13723[[#This Row],[INITIATION DATE]]</f>
        <v>#VALUE!</v>
      </c>
    </row>
    <row r="912" spans="1:19" ht="51" x14ac:dyDescent="0.2">
      <c r="A912" s="521" t="s">
        <v>6033</v>
      </c>
      <c r="B912" s="514">
        <v>44250</v>
      </c>
      <c r="C912" s="515" t="s">
        <v>6034</v>
      </c>
      <c r="D912" s="515" t="s">
        <v>6035</v>
      </c>
      <c r="E912" s="516" t="s">
        <v>2971</v>
      </c>
      <c r="F912" s="516">
        <v>1</v>
      </c>
      <c r="G912" s="516" t="s">
        <v>2841</v>
      </c>
      <c r="H912" s="516" t="s">
        <v>229</v>
      </c>
      <c r="I912" s="516" t="s">
        <v>4261</v>
      </c>
      <c r="J912" s="514">
        <v>44286</v>
      </c>
      <c r="K912" s="514"/>
      <c r="L912" s="514"/>
      <c r="M912" s="342" t="s">
        <v>2853</v>
      </c>
      <c r="N912" s="516"/>
      <c r="O912" s="517">
        <v>44286</v>
      </c>
      <c r="P912" s="342" t="s">
        <v>4224</v>
      </c>
      <c r="Q912" s="342" t="s">
        <v>5991</v>
      </c>
      <c r="R912" s="518"/>
      <c r="S912" s="522" t="e">
        <f>Table13723[[#This Row],[DATE  CLOSED]]-Table13723[[#This Row],[INITIATION DATE]]</f>
        <v>#VALUE!</v>
      </c>
    </row>
    <row r="913" spans="1:19" ht="153" x14ac:dyDescent="0.2">
      <c r="A913" s="520" t="s">
        <v>6037</v>
      </c>
      <c r="B913" s="508">
        <v>44256</v>
      </c>
      <c r="C913" s="509" t="s">
        <v>6038</v>
      </c>
      <c r="D913" s="509" t="s">
        <v>6028</v>
      </c>
      <c r="E913" s="510" t="s">
        <v>2971</v>
      </c>
      <c r="F913" s="510">
        <v>1</v>
      </c>
      <c r="G913" s="510" t="s">
        <v>2841</v>
      </c>
      <c r="H913" s="510" t="s">
        <v>4021</v>
      </c>
      <c r="I913" s="510" t="s">
        <v>229</v>
      </c>
      <c r="J913" s="508">
        <v>44286</v>
      </c>
      <c r="K913" s="508"/>
      <c r="L913" s="508"/>
      <c r="M913" s="510" t="s">
        <v>2853</v>
      </c>
      <c r="N913" s="510"/>
      <c r="O913" s="511">
        <v>44256</v>
      </c>
      <c r="P913" s="510" t="s">
        <v>4224</v>
      </c>
      <c r="Q913" s="510" t="s">
        <v>4987</v>
      </c>
      <c r="R913" s="512"/>
      <c r="S913" s="523" t="e">
        <f>Table13723[[#This Row],[DATE  CLOSED]]-Table13723[[#This Row],[INITIATION DATE]]</f>
        <v>#VALUE!</v>
      </c>
    </row>
    <row r="914" spans="1:19" ht="127.5" x14ac:dyDescent="0.2">
      <c r="A914" s="521" t="s">
        <v>6039</v>
      </c>
      <c r="B914" s="514">
        <v>44257</v>
      </c>
      <c r="C914" s="515" t="s">
        <v>6041</v>
      </c>
      <c r="D914" s="515" t="s">
        <v>6040</v>
      </c>
      <c r="E914" s="516" t="s">
        <v>2971</v>
      </c>
      <c r="F914" s="516">
        <v>1</v>
      </c>
      <c r="G914" s="516" t="s">
        <v>2840</v>
      </c>
      <c r="H914" s="516" t="s">
        <v>229</v>
      </c>
      <c r="I914" s="516" t="s">
        <v>4261</v>
      </c>
      <c r="J914" s="514">
        <v>44286</v>
      </c>
      <c r="K914" s="514"/>
      <c r="L914" s="514"/>
      <c r="M914" s="516" t="s">
        <v>2853</v>
      </c>
      <c r="N914" s="516"/>
      <c r="O914" s="517">
        <v>44258</v>
      </c>
      <c r="P914" s="516" t="s">
        <v>4224</v>
      </c>
      <c r="Q914" s="516" t="s">
        <v>4987</v>
      </c>
      <c r="R914" s="518"/>
      <c r="S914" s="522" t="e">
        <f>Table13723[[#This Row],[DATE  CLOSED]]-Table13723[[#This Row],[INITIATION DATE]]</f>
        <v>#VALUE!</v>
      </c>
    </row>
    <row r="915" spans="1:19" ht="63.75" x14ac:dyDescent="0.2">
      <c r="A915" s="520" t="s">
        <v>6042</v>
      </c>
      <c r="B915" s="508">
        <v>44259</v>
      </c>
      <c r="C915" s="509" t="s">
        <v>6043</v>
      </c>
      <c r="D915" s="509" t="s">
        <v>6044</v>
      </c>
      <c r="E915" s="510" t="s">
        <v>2971</v>
      </c>
      <c r="F915" s="510">
        <v>1</v>
      </c>
      <c r="G915" s="510" t="s">
        <v>2836</v>
      </c>
      <c r="H915" s="510" t="s">
        <v>685</v>
      </c>
      <c r="I915" s="510" t="s">
        <v>229</v>
      </c>
      <c r="J915" s="508">
        <v>44286</v>
      </c>
      <c r="K915" s="508"/>
      <c r="L915" s="508"/>
      <c r="M915" s="510" t="s">
        <v>2853</v>
      </c>
      <c r="N915" s="510" t="s">
        <v>2088</v>
      </c>
      <c r="O915" s="511">
        <v>44263</v>
      </c>
      <c r="P915" s="510" t="s">
        <v>3061</v>
      </c>
      <c r="Q915" s="510" t="s">
        <v>2829</v>
      </c>
      <c r="R915" s="512"/>
      <c r="S915" s="523" t="e">
        <f>Table13723[[#This Row],[DATE  CLOSED]]-Table13723[[#This Row],[INITIATION DATE]]</f>
        <v>#VALUE!</v>
      </c>
    </row>
    <row r="916" spans="1:19" ht="63.75" x14ac:dyDescent="0.2">
      <c r="A916" s="521" t="s">
        <v>6045</v>
      </c>
      <c r="B916" s="514">
        <v>44263</v>
      </c>
      <c r="C916" s="341" t="s">
        <v>6048</v>
      </c>
      <c r="D916" s="341" t="s">
        <v>6046</v>
      </c>
      <c r="E916" s="342" t="s">
        <v>2971</v>
      </c>
      <c r="F916" s="516">
        <v>1</v>
      </c>
      <c r="G916" s="342" t="s">
        <v>2841</v>
      </c>
      <c r="H916" s="342" t="s">
        <v>6047</v>
      </c>
      <c r="I916" s="342" t="s">
        <v>229</v>
      </c>
      <c r="J916" s="514">
        <v>44286</v>
      </c>
      <c r="K916" s="514"/>
      <c r="L916" s="514"/>
      <c r="M916" s="342" t="s">
        <v>2853</v>
      </c>
      <c r="N916" s="516" t="s">
        <v>2088</v>
      </c>
      <c r="O916" s="517">
        <v>44284</v>
      </c>
      <c r="P916" s="516" t="s">
        <v>4224</v>
      </c>
      <c r="Q916" s="516" t="s">
        <v>2829</v>
      </c>
      <c r="R916" s="518"/>
      <c r="S916" s="522" t="e">
        <f>Table13723[[#This Row],[DATE  CLOSED]]-Table13723[[#This Row],[INITIATION DATE]]</f>
        <v>#VALUE!</v>
      </c>
    </row>
    <row r="917" spans="1:19" ht="89.25" x14ac:dyDescent="0.2">
      <c r="A917" s="520" t="s">
        <v>6049</v>
      </c>
      <c r="B917" s="508">
        <v>44265</v>
      </c>
      <c r="C917" s="509" t="s">
        <v>6052</v>
      </c>
      <c r="D917" s="509" t="s">
        <v>6053</v>
      </c>
      <c r="E917" s="510" t="s">
        <v>5784</v>
      </c>
      <c r="F917" s="510">
        <v>1</v>
      </c>
      <c r="G917" s="510" t="s">
        <v>2828</v>
      </c>
      <c r="H917" s="510" t="s">
        <v>1351</v>
      </c>
      <c r="I917" s="510" t="s">
        <v>3926</v>
      </c>
      <c r="J917" s="508">
        <v>44286</v>
      </c>
      <c r="K917" s="508" t="s">
        <v>2088</v>
      </c>
      <c r="L917" s="508" t="s">
        <v>2088</v>
      </c>
      <c r="M917" s="510" t="s">
        <v>2853</v>
      </c>
      <c r="N917" s="510" t="s">
        <v>2088</v>
      </c>
      <c r="O917" s="511">
        <v>44286</v>
      </c>
      <c r="P917" s="510" t="s">
        <v>4224</v>
      </c>
      <c r="Q917" s="510" t="s">
        <v>2829</v>
      </c>
      <c r="R917" s="512" t="s">
        <v>5080</v>
      </c>
      <c r="S917" s="523" t="e">
        <f>Table13723[[#This Row],[DATE  CLOSED]]-Table13723[[#This Row],[INITIATION DATE]]</f>
        <v>#VALUE!</v>
      </c>
    </row>
    <row r="918" spans="1:19" ht="51" x14ac:dyDescent="0.2">
      <c r="A918" s="521" t="s">
        <v>6050</v>
      </c>
      <c r="B918" s="514">
        <v>44265</v>
      </c>
      <c r="C918" s="515" t="s">
        <v>6054</v>
      </c>
      <c r="D918" s="515" t="s">
        <v>5697</v>
      </c>
      <c r="E918" s="516" t="s">
        <v>6055</v>
      </c>
      <c r="F918" s="516">
        <v>1</v>
      </c>
      <c r="G918" s="516" t="s">
        <v>2828</v>
      </c>
      <c r="H918" s="516" t="s">
        <v>1351</v>
      </c>
      <c r="I918" s="516" t="s">
        <v>3926</v>
      </c>
      <c r="J918" s="514">
        <v>44316</v>
      </c>
      <c r="K918" s="514" t="s">
        <v>2088</v>
      </c>
      <c r="L918" s="514" t="s">
        <v>2088</v>
      </c>
      <c r="M918" s="516" t="s">
        <v>2853</v>
      </c>
      <c r="N918" s="516" t="s">
        <v>2088</v>
      </c>
      <c r="O918" s="517">
        <v>44280</v>
      </c>
      <c r="P918" s="516" t="s">
        <v>4224</v>
      </c>
      <c r="Q918" s="516" t="s">
        <v>2829</v>
      </c>
      <c r="R918" s="518" t="s">
        <v>5080</v>
      </c>
      <c r="S918" s="522" t="e">
        <f>Table13723[[#This Row],[DATE  CLOSED]]-Table13723[[#This Row],[INITIATION DATE]]</f>
        <v>#VALUE!</v>
      </c>
    </row>
    <row r="919" spans="1:19" ht="51" x14ac:dyDescent="0.2">
      <c r="A919" s="520" t="s">
        <v>6051</v>
      </c>
      <c r="B919" s="508">
        <v>44265</v>
      </c>
      <c r="C919" s="509" t="s">
        <v>6056</v>
      </c>
      <c r="D919" s="509" t="s">
        <v>6057</v>
      </c>
      <c r="E919" s="510" t="s">
        <v>3586</v>
      </c>
      <c r="F919" s="510">
        <v>1</v>
      </c>
      <c r="G919" s="510" t="s">
        <v>2828</v>
      </c>
      <c r="H919" s="510" t="s">
        <v>4079</v>
      </c>
      <c r="I919" s="510" t="s">
        <v>3926</v>
      </c>
      <c r="J919" s="508">
        <v>44316</v>
      </c>
      <c r="K919" s="508" t="s">
        <v>2088</v>
      </c>
      <c r="L919" s="508" t="s">
        <v>2088</v>
      </c>
      <c r="M919" s="510" t="s">
        <v>2853</v>
      </c>
      <c r="N919" s="510" t="s">
        <v>3022</v>
      </c>
      <c r="O919" s="511">
        <v>44319</v>
      </c>
      <c r="P919" s="510" t="s">
        <v>3022</v>
      </c>
      <c r="Q919" s="510" t="s">
        <v>2832</v>
      </c>
      <c r="R919" s="512" t="s">
        <v>5080</v>
      </c>
      <c r="S919" s="523" t="e">
        <f>Table13723[[#This Row],[DATE  CLOSED]]-Table13723[[#This Row],[INITIATION DATE]]</f>
        <v>#VALUE!</v>
      </c>
    </row>
    <row r="920" spans="1:19" ht="51" x14ac:dyDescent="0.2">
      <c r="A920" s="521" t="s">
        <v>6058</v>
      </c>
      <c r="B920" s="514">
        <v>44265</v>
      </c>
      <c r="C920" s="515" t="s">
        <v>6060</v>
      </c>
      <c r="D920" s="515" t="s">
        <v>6061</v>
      </c>
      <c r="E920" s="516" t="s">
        <v>5606</v>
      </c>
      <c r="F920" s="516">
        <v>1</v>
      </c>
      <c r="G920" s="516" t="s">
        <v>2828</v>
      </c>
      <c r="H920" s="516" t="s">
        <v>6059</v>
      </c>
      <c r="I920" s="516" t="s">
        <v>3211</v>
      </c>
      <c r="J920" s="514">
        <v>44286</v>
      </c>
      <c r="K920" s="514" t="s">
        <v>2088</v>
      </c>
      <c r="L920" s="514" t="s">
        <v>2088</v>
      </c>
      <c r="M920" s="516" t="s">
        <v>2853</v>
      </c>
      <c r="N920" s="516" t="s">
        <v>2088</v>
      </c>
      <c r="O920" s="517">
        <v>44267</v>
      </c>
      <c r="P920" s="516" t="s">
        <v>3061</v>
      </c>
      <c r="Q920" s="516" t="s">
        <v>2829</v>
      </c>
      <c r="R920" s="518" t="s">
        <v>5080</v>
      </c>
      <c r="S920" s="522" t="e">
        <f>Table13723[[#This Row],[DATE  CLOSED]]-Table13723[[#This Row],[INITIATION DATE]]</f>
        <v>#VALUE!</v>
      </c>
    </row>
    <row r="921" spans="1:19" ht="38.25" x14ac:dyDescent="0.2">
      <c r="A921" s="520" t="s">
        <v>6062</v>
      </c>
      <c r="B921" s="508">
        <v>44266</v>
      </c>
      <c r="C921" s="509" t="s">
        <v>6064</v>
      </c>
      <c r="D921" s="509" t="s">
        <v>6073</v>
      </c>
      <c r="E921" s="510" t="s">
        <v>2971</v>
      </c>
      <c r="F921" s="510">
        <v>1</v>
      </c>
      <c r="G921" s="510" t="s">
        <v>2836</v>
      </c>
      <c r="H921" s="510" t="s">
        <v>3991</v>
      </c>
      <c r="I921" s="510" t="s">
        <v>229</v>
      </c>
      <c r="J921" s="508">
        <v>44286</v>
      </c>
      <c r="K921" s="508"/>
      <c r="L921" s="508"/>
      <c r="M921" s="510" t="s">
        <v>2853</v>
      </c>
      <c r="N921" s="510"/>
      <c r="O921" s="511">
        <v>44286</v>
      </c>
      <c r="P921" s="510" t="s">
        <v>4224</v>
      </c>
      <c r="Q921" s="510" t="s">
        <v>2829</v>
      </c>
      <c r="R921" s="512"/>
      <c r="S921" s="523" t="e">
        <f>Table13723[[#This Row],[DATE  CLOSED]]-Table13723[[#This Row],[INITIATION DATE]]</f>
        <v>#VALUE!</v>
      </c>
    </row>
    <row r="922" spans="1:19" ht="63.75" x14ac:dyDescent="0.2">
      <c r="A922" s="521" t="s">
        <v>6063</v>
      </c>
      <c r="B922" s="514">
        <v>44266</v>
      </c>
      <c r="C922" s="515" t="s">
        <v>6065</v>
      </c>
      <c r="D922" s="515" t="s">
        <v>6066</v>
      </c>
      <c r="E922" s="516" t="s">
        <v>2971</v>
      </c>
      <c r="F922" s="516">
        <v>1</v>
      </c>
      <c r="G922" s="516" t="s">
        <v>2836</v>
      </c>
      <c r="H922" s="516" t="s">
        <v>3991</v>
      </c>
      <c r="I922" s="516" t="s">
        <v>229</v>
      </c>
      <c r="J922" s="514">
        <v>44286</v>
      </c>
      <c r="K922" s="514"/>
      <c r="L922" s="514"/>
      <c r="M922" s="516" t="s">
        <v>2853</v>
      </c>
      <c r="N922" s="516"/>
      <c r="O922" s="517">
        <v>44271</v>
      </c>
      <c r="P922" s="516" t="s">
        <v>4224</v>
      </c>
      <c r="Q922" s="516" t="s">
        <v>2829</v>
      </c>
      <c r="R922" s="518"/>
      <c r="S922" s="522" t="e">
        <f>Table13723[[#This Row],[DATE  CLOSED]]-Table13723[[#This Row],[INITIATION DATE]]</f>
        <v>#VALUE!</v>
      </c>
    </row>
    <row r="923" spans="1:19" ht="102" x14ac:dyDescent="0.2">
      <c r="A923" s="520" t="s">
        <v>6067</v>
      </c>
      <c r="B923" s="508">
        <v>44267</v>
      </c>
      <c r="C923" s="509" t="s">
        <v>6068</v>
      </c>
      <c r="D923" s="509" t="s">
        <v>6028</v>
      </c>
      <c r="E923" s="510" t="s">
        <v>2971</v>
      </c>
      <c r="F923" s="510">
        <v>1</v>
      </c>
      <c r="G923" s="510" t="s">
        <v>2840</v>
      </c>
      <c r="H923" s="510" t="s">
        <v>229</v>
      </c>
      <c r="I923" s="510" t="s">
        <v>4261</v>
      </c>
      <c r="J923" s="508">
        <v>44286</v>
      </c>
      <c r="K923" s="508"/>
      <c r="L923" s="508"/>
      <c r="M923" s="510" t="s">
        <v>2853</v>
      </c>
      <c r="N923" s="510"/>
      <c r="O923" s="511">
        <v>44270</v>
      </c>
      <c r="P923" s="510" t="s">
        <v>4224</v>
      </c>
      <c r="Q923" s="510" t="s">
        <v>4987</v>
      </c>
      <c r="R923" s="512"/>
      <c r="S923" s="523" t="e">
        <f>Table13723[[#This Row],[DATE  CLOSED]]-Table13723[[#This Row],[INITIATION DATE]]</f>
        <v>#VALUE!</v>
      </c>
    </row>
    <row r="924" spans="1:19" ht="63.75" x14ac:dyDescent="0.2">
      <c r="A924" s="521" t="s">
        <v>6069</v>
      </c>
      <c r="B924" s="514">
        <v>44267</v>
      </c>
      <c r="C924" s="515" t="s">
        <v>6070</v>
      </c>
      <c r="D924" s="515" t="s">
        <v>6071</v>
      </c>
      <c r="E924" s="516" t="s">
        <v>2971</v>
      </c>
      <c r="F924" s="516">
        <v>1</v>
      </c>
      <c r="G924" s="516" t="s">
        <v>2840</v>
      </c>
      <c r="H924" s="516" t="s">
        <v>3423</v>
      </c>
      <c r="I924" s="516" t="s">
        <v>3211</v>
      </c>
      <c r="J924" s="514">
        <v>44267</v>
      </c>
      <c r="K924" s="514" t="s">
        <v>2088</v>
      </c>
      <c r="L924" s="514" t="s">
        <v>2088</v>
      </c>
      <c r="M924" s="516" t="s">
        <v>2853</v>
      </c>
      <c r="N924" s="516" t="s">
        <v>2088</v>
      </c>
      <c r="O924" s="517">
        <v>44267</v>
      </c>
      <c r="P924" s="516" t="s">
        <v>3061</v>
      </c>
      <c r="Q924" s="516" t="s">
        <v>2829</v>
      </c>
      <c r="R924" s="518" t="s">
        <v>5080</v>
      </c>
      <c r="S924" s="522" t="e">
        <f>Table13723[[#This Row],[DATE  CLOSED]]-Table13723[[#This Row],[INITIATION DATE]]</f>
        <v>#VALUE!</v>
      </c>
    </row>
    <row r="925" spans="1:19" ht="63.75" x14ac:dyDescent="0.2">
      <c r="A925" s="520" t="s">
        <v>6072</v>
      </c>
      <c r="B925" s="508">
        <v>44267</v>
      </c>
      <c r="C925" s="509" t="s">
        <v>6074</v>
      </c>
      <c r="D925" s="509" t="s">
        <v>6075</v>
      </c>
      <c r="E925" s="510" t="s">
        <v>2971</v>
      </c>
      <c r="F925" s="510">
        <v>1</v>
      </c>
      <c r="G925" s="510" t="s">
        <v>2836</v>
      </c>
      <c r="H925" s="510" t="s">
        <v>3423</v>
      </c>
      <c r="I925" s="510" t="s">
        <v>3211</v>
      </c>
      <c r="J925" s="508">
        <v>44267</v>
      </c>
      <c r="K925" s="508"/>
      <c r="L925" s="508"/>
      <c r="M925" s="510" t="s">
        <v>2853</v>
      </c>
      <c r="N925" s="510"/>
      <c r="O925" s="511">
        <v>44267</v>
      </c>
      <c r="P925" s="510" t="s">
        <v>4224</v>
      </c>
      <c r="Q925" s="510" t="s">
        <v>4987</v>
      </c>
      <c r="R925" s="512"/>
      <c r="S925" s="523" t="e">
        <f>Table13723[[#This Row],[DATE  CLOSED]]-Table13723[[#This Row],[INITIATION DATE]]</f>
        <v>#VALUE!</v>
      </c>
    </row>
    <row r="926" spans="1:19" ht="38.25" x14ac:dyDescent="0.2">
      <c r="A926" s="521" t="s">
        <v>6076</v>
      </c>
      <c r="B926" s="514">
        <v>44270</v>
      </c>
      <c r="C926" s="515" t="s">
        <v>6077</v>
      </c>
      <c r="D926" s="515" t="s">
        <v>6078</v>
      </c>
      <c r="E926" s="516" t="s">
        <v>2971</v>
      </c>
      <c r="F926" s="516">
        <v>1</v>
      </c>
      <c r="G926" s="516" t="s">
        <v>2836</v>
      </c>
      <c r="H926" s="516" t="s">
        <v>3423</v>
      </c>
      <c r="I926" s="516" t="s">
        <v>3211</v>
      </c>
      <c r="J926" s="514">
        <v>44286</v>
      </c>
      <c r="K926" s="514" t="s">
        <v>2088</v>
      </c>
      <c r="L926" s="514" t="s">
        <v>2088</v>
      </c>
      <c r="M926" s="516" t="s">
        <v>2853</v>
      </c>
      <c r="N926" s="516" t="s">
        <v>2088</v>
      </c>
      <c r="O926" s="517">
        <v>44270</v>
      </c>
      <c r="P926" s="516" t="s">
        <v>4224</v>
      </c>
      <c r="Q926" s="516" t="s">
        <v>2829</v>
      </c>
      <c r="R926" s="518" t="s">
        <v>5080</v>
      </c>
      <c r="S926" s="522" t="e">
        <f>Table13723[[#This Row],[DATE  CLOSED]]-Table13723[[#This Row],[INITIATION DATE]]</f>
        <v>#VALUE!</v>
      </c>
    </row>
    <row r="927" spans="1:19" ht="51" x14ac:dyDescent="0.2">
      <c r="A927" s="520" t="s">
        <v>6079</v>
      </c>
      <c r="B927" s="508">
        <v>44271</v>
      </c>
      <c r="C927" s="509" t="s">
        <v>6080</v>
      </c>
      <c r="D927" s="509" t="s">
        <v>6081</v>
      </c>
      <c r="E927" s="510" t="s">
        <v>2971</v>
      </c>
      <c r="F927" s="510">
        <v>1</v>
      </c>
      <c r="G927" s="510" t="s">
        <v>2828</v>
      </c>
      <c r="H927" s="510" t="s">
        <v>2176</v>
      </c>
      <c r="I927" s="510" t="s">
        <v>3211</v>
      </c>
      <c r="J927" s="508">
        <v>44377</v>
      </c>
      <c r="K927" s="508" t="s">
        <v>2088</v>
      </c>
      <c r="L927" s="508" t="s">
        <v>2088</v>
      </c>
      <c r="M927" s="510" t="s">
        <v>2853</v>
      </c>
      <c r="N927" s="510" t="s">
        <v>2088</v>
      </c>
      <c r="O927" s="511">
        <v>44315</v>
      </c>
      <c r="P927" s="510" t="s">
        <v>3061</v>
      </c>
      <c r="Q927" s="510" t="s">
        <v>2832</v>
      </c>
      <c r="R927" s="512" t="s">
        <v>5080</v>
      </c>
      <c r="S927" s="523" t="e">
        <f>Table13723[[#This Row],[DATE  CLOSED]]-Table13723[[#This Row],[INITIATION DATE]]</f>
        <v>#VALUE!</v>
      </c>
    </row>
    <row r="928" spans="1:19" ht="51" x14ac:dyDescent="0.2">
      <c r="A928" s="521" t="s">
        <v>6083</v>
      </c>
      <c r="B928" s="514">
        <v>44271</v>
      </c>
      <c r="C928" s="515" t="s">
        <v>6084</v>
      </c>
      <c r="D928" s="515" t="s">
        <v>6085</v>
      </c>
      <c r="E928" s="516" t="s">
        <v>2971</v>
      </c>
      <c r="F928" s="516">
        <v>1</v>
      </c>
      <c r="G928" s="516" t="s">
        <v>2841</v>
      </c>
      <c r="H928" s="516" t="s">
        <v>1339</v>
      </c>
      <c r="I928" s="516" t="s">
        <v>229</v>
      </c>
      <c r="J928" s="514">
        <v>44316</v>
      </c>
      <c r="K928" s="514"/>
      <c r="L928" s="514"/>
      <c r="M928" s="516" t="s">
        <v>2853</v>
      </c>
      <c r="N928" s="516" t="s">
        <v>2088</v>
      </c>
      <c r="O928" s="517">
        <v>44305</v>
      </c>
      <c r="P928" s="516" t="s">
        <v>3061</v>
      </c>
      <c r="Q928" s="516" t="s">
        <v>2832</v>
      </c>
      <c r="R928" s="518"/>
      <c r="S928" s="522" t="e">
        <f>Table13723[[#This Row],[DATE  CLOSED]]-Table13723[[#This Row],[INITIATION DATE]]</f>
        <v>#VALUE!</v>
      </c>
    </row>
    <row r="929" spans="1:19" ht="51" x14ac:dyDescent="0.2">
      <c r="A929" s="520" t="s">
        <v>6086</v>
      </c>
      <c r="B929" s="508">
        <v>44274</v>
      </c>
      <c r="C929" s="509" t="s">
        <v>6087</v>
      </c>
      <c r="D929" s="509" t="s">
        <v>6088</v>
      </c>
      <c r="E929" s="510" t="s">
        <v>3519</v>
      </c>
      <c r="F929" s="510">
        <v>1</v>
      </c>
      <c r="G929" s="510" t="s">
        <v>2828</v>
      </c>
      <c r="H929" s="510" t="s">
        <v>4163</v>
      </c>
      <c r="I929" s="510" t="s">
        <v>3211</v>
      </c>
      <c r="J929" s="508">
        <v>44316</v>
      </c>
      <c r="K929" s="508" t="s">
        <v>2088</v>
      </c>
      <c r="L929" s="508" t="s">
        <v>2088</v>
      </c>
      <c r="M929" s="510" t="s">
        <v>2853</v>
      </c>
      <c r="N929" s="510" t="s">
        <v>2088</v>
      </c>
      <c r="O929" s="511">
        <v>44291</v>
      </c>
      <c r="P929" s="510" t="s">
        <v>4224</v>
      </c>
      <c r="Q929" s="510" t="s">
        <v>2829</v>
      </c>
      <c r="R929" s="512" t="s">
        <v>5080</v>
      </c>
      <c r="S929" s="523" t="e">
        <f>Table13723[[#This Row],[DATE  CLOSED]]-Table13723[[#This Row],[INITIATION DATE]]</f>
        <v>#VALUE!</v>
      </c>
    </row>
    <row r="930" spans="1:19" ht="89.25" x14ac:dyDescent="0.2">
      <c r="A930" s="521" t="s">
        <v>6089</v>
      </c>
      <c r="B930" s="514">
        <v>44277</v>
      </c>
      <c r="C930" s="515" t="s">
        <v>6090</v>
      </c>
      <c r="D930" s="515" t="s">
        <v>6091</v>
      </c>
      <c r="E930" s="516" t="s">
        <v>2971</v>
      </c>
      <c r="F930" s="516">
        <v>1</v>
      </c>
      <c r="G930" s="516" t="s">
        <v>2834</v>
      </c>
      <c r="H930" s="516" t="s">
        <v>3842</v>
      </c>
      <c r="I930" s="516" t="s">
        <v>3211</v>
      </c>
      <c r="J930" s="514">
        <v>44377</v>
      </c>
      <c r="K930" s="514"/>
      <c r="L930" s="514"/>
      <c r="M930" s="516" t="s">
        <v>2847</v>
      </c>
      <c r="N930" s="516"/>
      <c r="O930" s="517"/>
      <c r="P930" s="516"/>
      <c r="Q930" s="516"/>
      <c r="R930" s="518"/>
      <c r="S930" s="522" t="e">
        <f>Table13723[[#This Row],[DATE  CLOSED]]-Table13723[[#This Row],[INITIATION DATE]]</f>
        <v>#VALUE!</v>
      </c>
    </row>
    <row r="931" spans="1:19" ht="51" x14ac:dyDescent="0.2">
      <c r="A931" s="520" t="s">
        <v>6092</v>
      </c>
      <c r="B931" s="508">
        <v>44280</v>
      </c>
      <c r="C931" s="509" t="s">
        <v>6093</v>
      </c>
      <c r="D931" s="509" t="s">
        <v>6094</v>
      </c>
      <c r="E931" s="510" t="s">
        <v>2971</v>
      </c>
      <c r="F931" s="510">
        <v>1</v>
      </c>
      <c r="G931" s="510" t="s">
        <v>2836</v>
      </c>
      <c r="H931" s="510" t="s">
        <v>3423</v>
      </c>
      <c r="I931" s="510" t="s">
        <v>3211</v>
      </c>
      <c r="J931" s="508">
        <v>44286</v>
      </c>
      <c r="K931" s="508" t="s">
        <v>2088</v>
      </c>
      <c r="L931" s="508" t="s">
        <v>2088</v>
      </c>
      <c r="M931" s="510" t="s">
        <v>2853</v>
      </c>
      <c r="N931" s="510" t="s">
        <v>2088</v>
      </c>
      <c r="O931" s="511">
        <v>44280</v>
      </c>
      <c r="P931" s="510" t="s">
        <v>4224</v>
      </c>
      <c r="Q931" s="510" t="s">
        <v>2829</v>
      </c>
      <c r="R931" s="512" t="s">
        <v>5080</v>
      </c>
      <c r="S931" s="523" t="e">
        <f>Table13723[[#This Row],[DATE  CLOSED]]-Table13723[[#This Row],[INITIATION DATE]]</f>
        <v>#VALUE!</v>
      </c>
    </row>
    <row r="932" spans="1:19" ht="51" x14ac:dyDescent="0.2">
      <c r="A932" s="521" t="s">
        <v>6095</v>
      </c>
      <c r="B932" s="514">
        <v>44281</v>
      </c>
      <c r="C932" s="515" t="s">
        <v>6096</v>
      </c>
      <c r="D932" s="515" t="s">
        <v>6097</v>
      </c>
      <c r="E932" s="516" t="s">
        <v>4610</v>
      </c>
      <c r="F932" s="516">
        <v>1</v>
      </c>
      <c r="G932" s="516" t="s">
        <v>2828</v>
      </c>
      <c r="H932" s="516" t="s">
        <v>4021</v>
      </c>
      <c r="I932" s="516" t="s">
        <v>3211</v>
      </c>
      <c r="J932" s="514">
        <v>44316</v>
      </c>
      <c r="K932" s="514" t="s">
        <v>2088</v>
      </c>
      <c r="L932" s="514" t="s">
        <v>2088</v>
      </c>
      <c r="M932" s="516" t="s">
        <v>2853</v>
      </c>
      <c r="N932" s="516" t="s">
        <v>2088</v>
      </c>
      <c r="O932" s="517">
        <v>44281</v>
      </c>
      <c r="P932" s="516" t="s">
        <v>4224</v>
      </c>
      <c r="Q932" s="516" t="s">
        <v>2829</v>
      </c>
      <c r="R932" s="518" t="s">
        <v>5080</v>
      </c>
      <c r="S932" s="522" t="e">
        <f>Table13723[[#This Row],[DATE  CLOSED]]-Table13723[[#This Row],[INITIATION DATE]]</f>
        <v>#VALUE!</v>
      </c>
    </row>
    <row r="933" spans="1:19" ht="102" x14ac:dyDescent="0.2">
      <c r="A933" s="520" t="s">
        <v>6098</v>
      </c>
      <c r="B933" s="508">
        <v>44281</v>
      </c>
      <c r="C933" s="509" t="s">
        <v>6099</v>
      </c>
      <c r="D933" s="509" t="s">
        <v>6100</v>
      </c>
      <c r="E933" s="510" t="s">
        <v>2971</v>
      </c>
      <c r="F933" s="510">
        <v>1</v>
      </c>
      <c r="G933" s="510" t="s">
        <v>2840</v>
      </c>
      <c r="H933" s="510" t="s">
        <v>3645</v>
      </c>
      <c r="I933" s="510" t="s">
        <v>229</v>
      </c>
      <c r="J933" s="508">
        <v>44347</v>
      </c>
      <c r="K933" s="508"/>
      <c r="L933" s="508"/>
      <c r="M933" s="510" t="s">
        <v>2853</v>
      </c>
      <c r="N933" s="510" t="s">
        <v>2088</v>
      </c>
      <c r="O933" s="511">
        <v>44285</v>
      </c>
      <c r="P933" s="510" t="s">
        <v>3061</v>
      </c>
      <c r="Q933" s="510" t="s">
        <v>2829</v>
      </c>
      <c r="R933" s="512"/>
      <c r="S933" s="523" t="e">
        <f>Table13723[[#This Row],[DATE  CLOSED]]-Table13723[[#This Row],[INITIATION DATE]]</f>
        <v>#VALUE!</v>
      </c>
    </row>
    <row r="934" spans="1:19" ht="51" x14ac:dyDescent="0.2">
      <c r="A934" s="521" t="s">
        <v>6101</v>
      </c>
      <c r="B934" s="514">
        <v>44281</v>
      </c>
      <c r="C934" s="515" t="s">
        <v>6102</v>
      </c>
      <c r="D934" s="515" t="s">
        <v>6103</v>
      </c>
      <c r="E934" s="516" t="s">
        <v>2971</v>
      </c>
      <c r="F934" s="516">
        <v>1</v>
      </c>
      <c r="G934" s="516" t="s">
        <v>2836</v>
      </c>
      <c r="H934" s="516" t="s">
        <v>755</v>
      </c>
      <c r="I934" s="516" t="s">
        <v>229</v>
      </c>
      <c r="J934" s="514">
        <v>44316</v>
      </c>
      <c r="K934" s="514"/>
      <c r="L934" s="514"/>
      <c r="M934" s="516" t="s">
        <v>2853</v>
      </c>
      <c r="N934" s="516"/>
      <c r="O934" s="517">
        <v>44312</v>
      </c>
      <c r="P934" s="516" t="s">
        <v>4224</v>
      </c>
      <c r="Q934" s="516" t="s">
        <v>4987</v>
      </c>
      <c r="R934" s="518"/>
      <c r="S934" s="522" t="e">
        <f>Table13723[[#This Row],[DATE  CLOSED]]-Table13723[[#This Row],[INITIATION DATE]]</f>
        <v>#VALUE!</v>
      </c>
    </row>
    <row r="935" spans="1:19" ht="51" x14ac:dyDescent="0.2">
      <c r="A935" s="520" t="s">
        <v>6104</v>
      </c>
      <c r="B935" s="508">
        <v>44281</v>
      </c>
      <c r="C935" s="509" t="s">
        <v>6105</v>
      </c>
      <c r="D935" s="509" t="s">
        <v>6106</v>
      </c>
      <c r="E935" s="510" t="s">
        <v>2971</v>
      </c>
      <c r="F935" s="510">
        <v>1</v>
      </c>
      <c r="G935" s="510" t="s">
        <v>2841</v>
      </c>
      <c r="H935" s="510" t="s">
        <v>229</v>
      </c>
      <c r="I935" s="510" t="s">
        <v>4261</v>
      </c>
      <c r="J935" s="508">
        <v>44316</v>
      </c>
      <c r="K935" s="508"/>
      <c r="L935" s="508"/>
      <c r="M935" s="510" t="s">
        <v>2853</v>
      </c>
      <c r="N935" s="510"/>
      <c r="O935" s="511">
        <v>44315</v>
      </c>
      <c r="P935" s="510" t="s">
        <v>4224</v>
      </c>
      <c r="Q935" s="510" t="s">
        <v>5991</v>
      </c>
      <c r="R935" s="512"/>
      <c r="S935" s="523" t="e">
        <f>Table13723[[#This Row],[DATE  CLOSED]]-Table13723[[#This Row],[INITIATION DATE]]</f>
        <v>#VALUE!</v>
      </c>
    </row>
    <row r="936" spans="1:19" ht="51" x14ac:dyDescent="0.2">
      <c r="A936" s="521" t="s">
        <v>6107</v>
      </c>
      <c r="B936" s="514">
        <v>44285</v>
      </c>
      <c r="C936" s="515" t="s">
        <v>6109</v>
      </c>
      <c r="D936" s="515" t="s">
        <v>5914</v>
      </c>
      <c r="E936" s="516" t="s">
        <v>6108</v>
      </c>
      <c r="F936" s="516">
        <v>1</v>
      </c>
      <c r="G936" s="516" t="s">
        <v>2828</v>
      </c>
      <c r="H936" s="516" t="s">
        <v>615</v>
      </c>
      <c r="I936" s="516" t="s">
        <v>3211</v>
      </c>
      <c r="J936" s="514">
        <v>44316</v>
      </c>
      <c r="K936" s="514" t="s">
        <v>2088</v>
      </c>
      <c r="L936" s="514" t="s">
        <v>2088</v>
      </c>
      <c r="M936" s="516" t="s">
        <v>2853</v>
      </c>
      <c r="N936" s="516" t="s">
        <v>2088</v>
      </c>
      <c r="O936" s="517">
        <v>44295</v>
      </c>
      <c r="P936" s="516" t="s">
        <v>4224</v>
      </c>
      <c r="Q936" s="516" t="s">
        <v>2829</v>
      </c>
      <c r="R936" s="518" t="s">
        <v>5080</v>
      </c>
      <c r="S936" s="522" t="e">
        <f>Table13723[[#This Row],[DATE  CLOSED]]-Table13723[[#This Row],[INITIATION DATE]]</f>
        <v>#VALUE!</v>
      </c>
    </row>
    <row r="937" spans="1:19" ht="127.5" x14ac:dyDescent="0.2">
      <c r="A937" s="520" t="s">
        <v>6110</v>
      </c>
      <c r="B937" s="508">
        <v>44287</v>
      </c>
      <c r="C937" s="509" t="s">
        <v>6112</v>
      </c>
      <c r="D937" s="509" t="s">
        <v>6111</v>
      </c>
      <c r="E937" s="510" t="s">
        <v>2971</v>
      </c>
      <c r="F937" s="510">
        <v>1</v>
      </c>
      <c r="G937" s="510" t="s">
        <v>2841</v>
      </c>
      <c r="H937" s="510" t="s">
        <v>229</v>
      </c>
      <c r="I937" s="510" t="s">
        <v>4261</v>
      </c>
      <c r="J937" s="508">
        <v>44316</v>
      </c>
      <c r="K937" s="508"/>
      <c r="L937" s="508"/>
      <c r="M937" s="344" t="s">
        <v>2853</v>
      </c>
      <c r="N937" s="510"/>
      <c r="O937" s="511">
        <v>44287</v>
      </c>
      <c r="P937" s="344" t="s">
        <v>4224</v>
      </c>
      <c r="Q937" s="344" t="s">
        <v>4987</v>
      </c>
      <c r="R937" s="512"/>
      <c r="S937" s="523" t="e">
        <f>Table13723[[#This Row],[DATE  CLOSED]]-Table13723[[#This Row],[INITIATION DATE]]</f>
        <v>#VALUE!</v>
      </c>
    </row>
    <row r="938" spans="1:19" ht="178.5" x14ac:dyDescent="0.2">
      <c r="A938" s="521" t="s">
        <v>6113</v>
      </c>
      <c r="B938" s="514">
        <v>44287</v>
      </c>
      <c r="C938" s="515" t="s">
        <v>6114</v>
      </c>
      <c r="D938" s="515" t="s">
        <v>6115</v>
      </c>
      <c r="E938" s="516" t="s">
        <v>2971</v>
      </c>
      <c r="F938" s="516">
        <v>1</v>
      </c>
      <c r="G938" s="516" t="s">
        <v>2836</v>
      </c>
      <c r="H938" s="516" t="s">
        <v>3423</v>
      </c>
      <c r="I938" s="516" t="s">
        <v>3211</v>
      </c>
      <c r="J938" s="514">
        <v>44317</v>
      </c>
      <c r="K938" s="514" t="s">
        <v>2088</v>
      </c>
      <c r="L938" s="514" t="s">
        <v>2088</v>
      </c>
      <c r="M938" s="516" t="s">
        <v>2853</v>
      </c>
      <c r="N938" s="516" t="s">
        <v>2088</v>
      </c>
      <c r="O938" s="517">
        <v>44287</v>
      </c>
      <c r="P938" s="516" t="s">
        <v>3061</v>
      </c>
      <c r="Q938" s="516" t="s">
        <v>2829</v>
      </c>
      <c r="R938" s="518" t="s">
        <v>5080</v>
      </c>
      <c r="S938" s="522" t="e">
        <f>Table13723[[#This Row],[DATE  CLOSED]]-Table13723[[#This Row],[INITIATION DATE]]</f>
        <v>#VALUE!</v>
      </c>
    </row>
    <row r="939" spans="1:19" ht="51" x14ac:dyDescent="0.2">
      <c r="A939" s="520" t="s">
        <v>6118</v>
      </c>
      <c r="B939" s="508">
        <v>44287</v>
      </c>
      <c r="C939" s="509" t="s">
        <v>6119</v>
      </c>
      <c r="D939" s="509" t="s">
        <v>6120</v>
      </c>
      <c r="E939" s="510" t="s">
        <v>5762</v>
      </c>
      <c r="F939" s="510">
        <v>1</v>
      </c>
      <c r="G939" s="510" t="s">
        <v>2828</v>
      </c>
      <c r="H939" s="510" t="s">
        <v>615</v>
      </c>
      <c r="I939" s="510" t="s">
        <v>3211</v>
      </c>
      <c r="J939" s="508" t="s">
        <v>6173</v>
      </c>
      <c r="K939" s="508" t="s">
        <v>2088</v>
      </c>
      <c r="L939" s="508" t="s">
        <v>2088</v>
      </c>
      <c r="M939" s="510" t="s">
        <v>2853</v>
      </c>
      <c r="N939" s="510" t="s">
        <v>2088</v>
      </c>
      <c r="O939" s="511">
        <v>44308</v>
      </c>
      <c r="P939" s="510" t="s">
        <v>4224</v>
      </c>
      <c r="Q939" s="510" t="s">
        <v>2829</v>
      </c>
      <c r="R939" s="512" t="s">
        <v>5080</v>
      </c>
      <c r="S939" s="523" t="e">
        <f>Table13723[[#This Row],[DATE  CLOSED]]-Table13723[[#This Row],[INITIATION DATE]]</f>
        <v>#VALUE!</v>
      </c>
    </row>
    <row r="940" spans="1:19" ht="51" x14ac:dyDescent="0.2">
      <c r="A940" s="521" t="s">
        <v>6121</v>
      </c>
      <c r="B940" s="514">
        <v>44298</v>
      </c>
      <c r="C940" s="515" t="s">
        <v>6125</v>
      </c>
      <c r="D940" s="515" t="s">
        <v>6126</v>
      </c>
      <c r="E940" s="516" t="s">
        <v>5762</v>
      </c>
      <c r="F940" s="516">
        <v>1</v>
      </c>
      <c r="G940" s="516" t="s">
        <v>2828</v>
      </c>
      <c r="H940" s="516" t="s">
        <v>1351</v>
      </c>
      <c r="I940" s="516" t="s">
        <v>3926</v>
      </c>
      <c r="J940" s="514">
        <v>44316</v>
      </c>
      <c r="K940" s="514" t="s">
        <v>2088</v>
      </c>
      <c r="L940" s="514" t="s">
        <v>2088</v>
      </c>
      <c r="M940" s="516" t="s">
        <v>2853</v>
      </c>
      <c r="N940" s="516" t="s">
        <v>2088</v>
      </c>
      <c r="O940" s="517">
        <v>44314</v>
      </c>
      <c r="P940" s="516" t="s">
        <v>4224</v>
      </c>
      <c r="Q940" s="516" t="s">
        <v>2829</v>
      </c>
      <c r="R940" s="518" t="s">
        <v>5080</v>
      </c>
      <c r="S940" s="522" t="e">
        <f>Table13723[[#This Row],[DATE  CLOSED]]-Table13723[[#This Row],[INITIATION DATE]]</f>
        <v>#VALUE!</v>
      </c>
    </row>
    <row r="941" spans="1:19" ht="89.25" x14ac:dyDescent="0.2">
      <c r="A941" s="520" t="s">
        <v>6122</v>
      </c>
      <c r="B941" s="508">
        <v>44298</v>
      </c>
      <c r="C941" s="509" t="s">
        <v>6127</v>
      </c>
      <c r="D941" s="509" t="s">
        <v>4936</v>
      </c>
      <c r="E941" s="510" t="s">
        <v>5845</v>
      </c>
      <c r="F941" s="510">
        <v>1</v>
      </c>
      <c r="G941" s="510" t="s">
        <v>2828</v>
      </c>
      <c r="H941" s="510" t="s">
        <v>4232</v>
      </c>
      <c r="I941" s="510" t="s">
        <v>3211</v>
      </c>
      <c r="J941" s="508">
        <v>44347</v>
      </c>
      <c r="K941" s="508" t="s">
        <v>2088</v>
      </c>
      <c r="L941" s="508" t="s">
        <v>2088</v>
      </c>
      <c r="M941" s="510" t="s">
        <v>2853</v>
      </c>
      <c r="N941" s="510" t="s">
        <v>2088</v>
      </c>
      <c r="O941" s="511">
        <v>44342</v>
      </c>
      <c r="P941" s="510" t="s">
        <v>4224</v>
      </c>
      <c r="Q941" s="510" t="s">
        <v>2832</v>
      </c>
      <c r="R941" s="512" t="s">
        <v>5080</v>
      </c>
      <c r="S941" s="523" t="e">
        <f>Table13723[[#This Row],[DATE  CLOSED]]-Table13723[[#This Row],[INITIATION DATE]]</f>
        <v>#VALUE!</v>
      </c>
    </row>
    <row r="942" spans="1:19" ht="51" x14ac:dyDescent="0.2">
      <c r="A942" s="521" t="s">
        <v>6123</v>
      </c>
      <c r="B942" s="514">
        <v>44298</v>
      </c>
      <c r="C942" s="341" t="s">
        <v>6124</v>
      </c>
      <c r="D942" s="341" t="s">
        <v>3225</v>
      </c>
      <c r="E942" s="342" t="s">
        <v>2971</v>
      </c>
      <c r="F942" s="516">
        <v>1</v>
      </c>
      <c r="G942" s="342" t="s">
        <v>2841</v>
      </c>
      <c r="H942" s="516" t="s">
        <v>3729</v>
      </c>
      <c r="I942" s="342" t="s">
        <v>229</v>
      </c>
      <c r="J942" s="514">
        <v>44344</v>
      </c>
      <c r="K942" s="514" t="s">
        <v>2088</v>
      </c>
      <c r="L942" s="514" t="s">
        <v>2088</v>
      </c>
      <c r="M942" s="342" t="s">
        <v>2853</v>
      </c>
      <c r="N942" s="516" t="s">
        <v>2088</v>
      </c>
      <c r="O942" s="517">
        <v>44328</v>
      </c>
      <c r="P942" s="516" t="s">
        <v>4224</v>
      </c>
      <c r="Q942" s="516" t="s">
        <v>2829</v>
      </c>
      <c r="R942" s="518" t="s">
        <v>5080</v>
      </c>
      <c r="S942" s="522" t="e">
        <f>Table13723[[#This Row],[DATE  CLOSED]]-Table13723[[#This Row],[INITIATION DATE]]</f>
        <v>#VALUE!</v>
      </c>
    </row>
    <row r="943" spans="1:19" ht="51" x14ac:dyDescent="0.2">
      <c r="A943" s="520" t="s">
        <v>6128</v>
      </c>
      <c r="B943" s="508">
        <v>44298</v>
      </c>
      <c r="C943" s="509" t="s">
        <v>6129</v>
      </c>
      <c r="D943" s="509" t="s">
        <v>3225</v>
      </c>
      <c r="E943" s="510" t="s">
        <v>2971</v>
      </c>
      <c r="F943" s="510">
        <v>1</v>
      </c>
      <c r="G943" s="510" t="s">
        <v>2841</v>
      </c>
      <c r="H943" s="510" t="s">
        <v>6047</v>
      </c>
      <c r="I943" s="510" t="s">
        <v>229</v>
      </c>
      <c r="J943" s="508">
        <v>44347</v>
      </c>
      <c r="K943" s="508"/>
      <c r="L943" s="508"/>
      <c r="M943" s="510" t="s">
        <v>2853</v>
      </c>
      <c r="N943" s="510" t="s">
        <v>2088</v>
      </c>
      <c r="O943" s="511">
        <v>44319</v>
      </c>
      <c r="P943" s="510" t="s">
        <v>3061</v>
      </c>
      <c r="Q943" s="510" t="s">
        <v>2829</v>
      </c>
      <c r="R943" s="512"/>
      <c r="S943" s="523" t="e">
        <f>Table13723[[#This Row],[DATE  CLOSED]]-Table13723[[#This Row],[INITIATION DATE]]</f>
        <v>#VALUE!</v>
      </c>
    </row>
    <row r="944" spans="1:19" ht="51" x14ac:dyDescent="0.2">
      <c r="A944" s="521" t="s">
        <v>6130</v>
      </c>
      <c r="B944" s="514">
        <v>44299</v>
      </c>
      <c r="C944" s="515" t="s">
        <v>6133</v>
      </c>
      <c r="D944" s="515" t="s">
        <v>6022</v>
      </c>
      <c r="E944" s="516" t="s">
        <v>2971</v>
      </c>
      <c r="F944" s="516">
        <v>1</v>
      </c>
      <c r="G944" s="516" t="s">
        <v>2841</v>
      </c>
      <c r="H944" s="516" t="s">
        <v>3227</v>
      </c>
      <c r="I944" s="516" t="s">
        <v>3211</v>
      </c>
      <c r="J944" s="514">
        <v>44316</v>
      </c>
      <c r="K944" s="514" t="s">
        <v>2088</v>
      </c>
      <c r="L944" s="514" t="s">
        <v>2088</v>
      </c>
      <c r="M944" s="516" t="s">
        <v>2853</v>
      </c>
      <c r="N944" s="516" t="s">
        <v>2088</v>
      </c>
      <c r="O944" s="517">
        <v>44313</v>
      </c>
      <c r="P944" s="516" t="s">
        <v>4224</v>
      </c>
      <c r="Q944" s="516" t="s">
        <v>2829</v>
      </c>
      <c r="R944" s="518" t="s">
        <v>5080</v>
      </c>
      <c r="S944" s="522" t="e">
        <f>Table13723[[#This Row],[DATE  CLOSED]]-Table13723[[#This Row],[INITIATION DATE]]</f>
        <v>#VALUE!</v>
      </c>
    </row>
    <row r="945" spans="1:19" ht="51" x14ac:dyDescent="0.2">
      <c r="A945" s="520" t="s">
        <v>6131</v>
      </c>
      <c r="B945" s="508">
        <v>44299</v>
      </c>
      <c r="C945" s="509" t="s">
        <v>6134</v>
      </c>
      <c r="D945" s="509" t="s">
        <v>6132</v>
      </c>
      <c r="E945" s="510" t="s">
        <v>2971</v>
      </c>
      <c r="F945" s="510">
        <v>1</v>
      </c>
      <c r="G945" s="510" t="s">
        <v>2841</v>
      </c>
      <c r="H945" s="510" t="s">
        <v>3227</v>
      </c>
      <c r="I945" s="510" t="s">
        <v>3211</v>
      </c>
      <c r="J945" s="508">
        <v>44316</v>
      </c>
      <c r="K945" s="508" t="s">
        <v>2088</v>
      </c>
      <c r="L945" s="508" t="s">
        <v>2088</v>
      </c>
      <c r="M945" s="510" t="s">
        <v>2853</v>
      </c>
      <c r="N945" s="510" t="s">
        <v>2088</v>
      </c>
      <c r="O945" s="511">
        <v>44308</v>
      </c>
      <c r="P945" s="510" t="s">
        <v>4224</v>
      </c>
      <c r="Q945" s="510" t="s">
        <v>2829</v>
      </c>
      <c r="R945" s="512" t="s">
        <v>5080</v>
      </c>
      <c r="S945" s="523" t="e">
        <f>Table13723[[#This Row],[DATE  CLOSED]]-Table13723[[#This Row],[INITIATION DATE]]</f>
        <v>#VALUE!</v>
      </c>
    </row>
    <row r="946" spans="1:19" ht="38.25" x14ac:dyDescent="0.2">
      <c r="A946" s="521" t="s">
        <v>6135</v>
      </c>
      <c r="B946" s="514">
        <v>44299</v>
      </c>
      <c r="C946" s="515" t="s">
        <v>6136</v>
      </c>
      <c r="D946" s="515" t="s">
        <v>6137</v>
      </c>
      <c r="E946" s="516" t="s">
        <v>2971</v>
      </c>
      <c r="F946" s="516">
        <v>1</v>
      </c>
      <c r="G946" s="516" t="s">
        <v>2836</v>
      </c>
      <c r="H946" s="516" t="s">
        <v>3842</v>
      </c>
      <c r="I946" s="516" t="s">
        <v>229</v>
      </c>
      <c r="J946" s="514">
        <v>44347</v>
      </c>
      <c r="K946" s="514"/>
      <c r="L946" s="514"/>
      <c r="M946" s="516" t="s">
        <v>2853</v>
      </c>
      <c r="N946" s="516" t="s">
        <v>2088</v>
      </c>
      <c r="O946" s="517">
        <v>44308</v>
      </c>
      <c r="P946" s="516" t="s">
        <v>3061</v>
      </c>
      <c r="Q946" s="516" t="s">
        <v>2829</v>
      </c>
      <c r="R946" s="518"/>
      <c r="S946" s="522" t="e">
        <f>Table13723[[#This Row],[DATE  CLOSED]]-Table13723[[#This Row],[INITIATION DATE]]</f>
        <v>#VALUE!</v>
      </c>
    </row>
    <row r="947" spans="1:19" ht="51" x14ac:dyDescent="0.2">
      <c r="A947" s="520" t="s">
        <v>6138</v>
      </c>
      <c r="B947" s="508">
        <v>44301</v>
      </c>
      <c r="C947" s="509" t="s">
        <v>6139</v>
      </c>
      <c r="D947" s="509" t="s">
        <v>4086</v>
      </c>
      <c r="E947" s="510" t="s">
        <v>5606</v>
      </c>
      <c r="F947" s="510">
        <v>1</v>
      </c>
      <c r="G947" s="510" t="s">
        <v>2828</v>
      </c>
      <c r="H947" s="510" t="s">
        <v>1351</v>
      </c>
      <c r="I947" s="510" t="s">
        <v>3926</v>
      </c>
      <c r="J947" s="508">
        <v>44326</v>
      </c>
      <c r="K947" s="508" t="s">
        <v>2088</v>
      </c>
      <c r="L947" s="508" t="s">
        <v>2088</v>
      </c>
      <c r="M947" s="510" t="s">
        <v>2853</v>
      </c>
      <c r="N947" s="510" t="s">
        <v>2088</v>
      </c>
      <c r="O947" s="511">
        <v>44325</v>
      </c>
      <c r="P947" s="510" t="s">
        <v>4224</v>
      </c>
      <c r="Q947" s="510" t="s">
        <v>2829</v>
      </c>
      <c r="R947" s="512" t="s">
        <v>5080</v>
      </c>
      <c r="S947" s="523" t="e">
        <f>Table13723[[#This Row],[DATE  CLOSED]]-Table13723[[#This Row],[INITIATION DATE]]</f>
        <v>#VALUE!</v>
      </c>
    </row>
    <row r="948" spans="1:19" ht="76.5" x14ac:dyDescent="0.2">
      <c r="A948" s="521" t="s">
        <v>6140</v>
      </c>
      <c r="B948" s="514">
        <v>44301</v>
      </c>
      <c r="C948" s="515" t="s">
        <v>6141</v>
      </c>
      <c r="D948" s="515" t="s">
        <v>3225</v>
      </c>
      <c r="E948" s="516" t="s">
        <v>2971</v>
      </c>
      <c r="F948" s="516">
        <v>1</v>
      </c>
      <c r="G948" s="516" t="s">
        <v>2840</v>
      </c>
      <c r="H948" s="516" t="s">
        <v>229</v>
      </c>
      <c r="I948" s="516" t="s">
        <v>4261</v>
      </c>
      <c r="J948" s="514">
        <v>44316</v>
      </c>
      <c r="K948" s="514"/>
      <c r="L948" s="514"/>
      <c r="M948" s="516" t="s">
        <v>2853</v>
      </c>
      <c r="N948" s="516"/>
      <c r="O948" s="517">
        <v>44319</v>
      </c>
      <c r="P948" s="516" t="s">
        <v>4224</v>
      </c>
      <c r="Q948" s="516" t="s">
        <v>4987</v>
      </c>
      <c r="R948" s="518"/>
      <c r="S948" s="522" t="e">
        <f>Table13723[[#This Row],[DATE  CLOSED]]-Table13723[[#This Row],[INITIATION DATE]]</f>
        <v>#VALUE!</v>
      </c>
    </row>
    <row r="949" spans="1:19" ht="51" x14ac:dyDescent="0.2">
      <c r="A949" s="520" t="s">
        <v>6142</v>
      </c>
      <c r="B949" s="508">
        <v>44301</v>
      </c>
      <c r="C949" s="509" t="s">
        <v>6143</v>
      </c>
      <c r="D949" s="509" t="s">
        <v>6144</v>
      </c>
      <c r="E949" s="510" t="s">
        <v>4610</v>
      </c>
      <c r="F949" s="510">
        <v>1</v>
      </c>
      <c r="G949" s="510" t="s">
        <v>2828</v>
      </c>
      <c r="H949" s="510" t="s">
        <v>4021</v>
      </c>
      <c r="I949" s="510" t="s">
        <v>3211</v>
      </c>
      <c r="J949" s="508">
        <v>44316</v>
      </c>
      <c r="K949" s="339" t="s">
        <v>2088</v>
      </c>
      <c r="L949" s="339" t="s">
        <v>2088</v>
      </c>
      <c r="M949" s="344" t="s">
        <v>2853</v>
      </c>
      <c r="N949" s="344" t="s">
        <v>2088</v>
      </c>
      <c r="O949" s="511">
        <v>44302</v>
      </c>
      <c r="P949" s="344" t="s">
        <v>4224</v>
      </c>
      <c r="Q949" s="344" t="s">
        <v>2829</v>
      </c>
      <c r="R949" s="440" t="s">
        <v>5080</v>
      </c>
      <c r="S949" s="523" t="e">
        <f>Table13723[[#This Row],[DATE  CLOSED]]-Table13723[[#This Row],[INITIATION DATE]]</f>
        <v>#VALUE!</v>
      </c>
    </row>
    <row r="950" spans="1:19" ht="63.75" x14ac:dyDescent="0.2">
      <c r="A950" s="521" t="s">
        <v>6145</v>
      </c>
      <c r="B950" s="514">
        <v>44302</v>
      </c>
      <c r="C950" s="515" t="s">
        <v>6146</v>
      </c>
      <c r="D950" s="515" t="s">
        <v>6147</v>
      </c>
      <c r="E950" s="516" t="s">
        <v>2971</v>
      </c>
      <c r="F950" s="516">
        <v>1</v>
      </c>
      <c r="G950" s="516" t="s">
        <v>2836</v>
      </c>
      <c r="H950" s="516" t="s">
        <v>3423</v>
      </c>
      <c r="I950" s="516" t="s">
        <v>3211</v>
      </c>
      <c r="J950" s="514">
        <v>44331</v>
      </c>
      <c r="K950" s="514"/>
      <c r="L950" s="514"/>
      <c r="M950" s="516" t="s">
        <v>2847</v>
      </c>
      <c r="N950" s="516"/>
      <c r="O950" s="517"/>
      <c r="P950" s="516"/>
      <c r="Q950" s="516"/>
      <c r="R950" s="518"/>
      <c r="S950" s="522" t="e">
        <f>Table13723[[#This Row],[DATE  CLOSED]]-Table13723[[#This Row],[INITIATION DATE]]</f>
        <v>#VALUE!</v>
      </c>
    </row>
    <row r="951" spans="1:19" ht="51" x14ac:dyDescent="0.2">
      <c r="A951" s="520" t="s">
        <v>6148</v>
      </c>
      <c r="B951" s="508">
        <v>44307</v>
      </c>
      <c r="C951" s="509" t="s">
        <v>6149</v>
      </c>
      <c r="D951" s="509" t="s">
        <v>6150</v>
      </c>
      <c r="E951" s="510" t="s">
        <v>3532</v>
      </c>
      <c r="F951" s="510">
        <v>1</v>
      </c>
      <c r="G951" s="510" t="s">
        <v>2828</v>
      </c>
      <c r="H951" s="510" t="s">
        <v>1351</v>
      </c>
      <c r="I951" s="510" t="s">
        <v>3926</v>
      </c>
      <c r="J951" s="508">
        <v>44347</v>
      </c>
      <c r="K951" s="508" t="s">
        <v>2088</v>
      </c>
      <c r="L951" s="508" t="s">
        <v>2088</v>
      </c>
      <c r="M951" s="510" t="s">
        <v>2853</v>
      </c>
      <c r="N951" s="510" t="s">
        <v>2088</v>
      </c>
      <c r="O951" s="511">
        <v>44321</v>
      </c>
      <c r="P951" s="510" t="s">
        <v>4224</v>
      </c>
      <c r="Q951" s="510" t="s">
        <v>2829</v>
      </c>
      <c r="R951" s="512" t="s">
        <v>5080</v>
      </c>
      <c r="S951" s="523" t="e">
        <f>Table13723[[#This Row],[DATE  CLOSED]]-Table13723[[#This Row],[INITIATION DATE]]</f>
        <v>#VALUE!</v>
      </c>
    </row>
    <row r="952" spans="1:19" ht="51" x14ac:dyDescent="0.2">
      <c r="A952" s="521" t="s">
        <v>6151</v>
      </c>
      <c r="B952" s="514">
        <v>44307</v>
      </c>
      <c r="C952" s="515" t="s">
        <v>6152</v>
      </c>
      <c r="D952" s="515" t="s">
        <v>6153</v>
      </c>
      <c r="E952" s="516" t="s">
        <v>2971</v>
      </c>
      <c r="F952" s="516">
        <v>1</v>
      </c>
      <c r="G952" s="516" t="s">
        <v>2836</v>
      </c>
      <c r="H952" s="516" t="s">
        <v>3423</v>
      </c>
      <c r="I952" s="516" t="s">
        <v>3211</v>
      </c>
      <c r="J952" s="514">
        <v>44337</v>
      </c>
      <c r="K952" s="514" t="s">
        <v>2088</v>
      </c>
      <c r="L952" s="514" t="s">
        <v>2088</v>
      </c>
      <c r="M952" s="516" t="s">
        <v>2853</v>
      </c>
      <c r="N952" s="516" t="s">
        <v>2088</v>
      </c>
      <c r="O952" s="517">
        <v>44309</v>
      </c>
      <c r="P952" s="516" t="s">
        <v>4224</v>
      </c>
      <c r="Q952" s="516" t="s">
        <v>2829</v>
      </c>
      <c r="R952" s="518" t="s">
        <v>5080</v>
      </c>
      <c r="S952" s="522" t="e">
        <f>Table13723[[#This Row],[DATE  CLOSED]]-Table13723[[#This Row],[INITIATION DATE]]</f>
        <v>#VALUE!</v>
      </c>
    </row>
    <row r="953" spans="1:19" ht="76.5" x14ac:dyDescent="0.2">
      <c r="A953" s="520" t="s">
        <v>6154</v>
      </c>
      <c r="B953" s="508">
        <v>44308</v>
      </c>
      <c r="C953" s="509" t="s">
        <v>6155</v>
      </c>
      <c r="D953" s="509" t="s">
        <v>6156</v>
      </c>
      <c r="E953" s="510" t="s">
        <v>2971</v>
      </c>
      <c r="F953" s="510">
        <v>1</v>
      </c>
      <c r="G953" s="510" t="s">
        <v>2838</v>
      </c>
      <c r="H953" s="510" t="s">
        <v>685</v>
      </c>
      <c r="I953" s="510" t="s">
        <v>229</v>
      </c>
      <c r="J953" s="508">
        <v>44316</v>
      </c>
      <c r="K953" s="508"/>
      <c r="L953" s="508"/>
      <c r="M953" s="344" t="s">
        <v>2853</v>
      </c>
      <c r="N953" s="510" t="s">
        <v>2088</v>
      </c>
      <c r="O953" s="511">
        <v>44308</v>
      </c>
      <c r="P953" s="510" t="s">
        <v>3061</v>
      </c>
      <c r="Q953" s="510" t="s">
        <v>2829</v>
      </c>
      <c r="R953" s="512"/>
      <c r="S953" s="523" t="e">
        <f>Table13723[[#This Row],[DATE  CLOSED]]-Table13723[[#This Row],[INITIATION DATE]]</f>
        <v>#VALUE!</v>
      </c>
    </row>
    <row r="954" spans="1:19" ht="51" x14ac:dyDescent="0.2">
      <c r="A954" s="521" t="s">
        <v>6158</v>
      </c>
      <c r="B954" s="514">
        <v>44312</v>
      </c>
      <c r="C954" s="515" t="s">
        <v>6159</v>
      </c>
      <c r="D954" s="515" t="s">
        <v>6160</v>
      </c>
      <c r="E954" s="516" t="s">
        <v>2971</v>
      </c>
      <c r="F954" s="516">
        <v>1</v>
      </c>
      <c r="G954" s="516" t="s">
        <v>2841</v>
      </c>
      <c r="H954" s="516" t="s">
        <v>229</v>
      </c>
      <c r="I954" s="516" t="s">
        <v>4261</v>
      </c>
      <c r="J954" s="514">
        <v>44347</v>
      </c>
      <c r="K954" s="514"/>
      <c r="L954" s="514"/>
      <c r="M954" s="516" t="s">
        <v>2853</v>
      </c>
      <c r="N954" s="516" t="s">
        <v>2088</v>
      </c>
      <c r="O954" s="517">
        <v>44341</v>
      </c>
      <c r="P954" s="516" t="s">
        <v>3061</v>
      </c>
      <c r="Q954" s="516" t="s">
        <v>2829</v>
      </c>
      <c r="R954" s="518"/>
      <c r="S954" s="522" t="e">
        <f>Table13723[[#This Row],[DATE  CLOSED]]-Table13723[[#This Row],[INITIATION DATE]]</f>
        <v>#VALUE!</v>
      </c>
    </row>
    <row r="955" spans="1:19" ht="127.5" x14ac:dyDescent="0.2">
      <c r="A955" s="520" t="s">
        <v>6161</v>
      </c>
      <c r="B955" s="508">
        <v>44314</v>
      </c>
      <c r="C955" s="509" t="s">
        <v>6164</v>
      </c>
      <c r="D955" s="509" t="s">
        <v>6162</v>
      </c>
      <c r="E955" s="510" t="s">
        <v>2971</v>
      </c>
      <c r="F955" s="510">
        <v>1</v>
      </c>
      <c r="G955" s="510" t="s">
        <v>2841</v>
      </c>
      <c r="H955" s="510" t="s">
        <v>6163</v>
      </c>
      <c r="I955" s="510" t="s">
        <v>229</v>
      </c>
      <c r="J955" s="508">
        <v>44377</v>
      </c>
      <c r="K955" s="508"/>
      <c r="L955" s="508"/>
      <c r="M955" s="510" t="s">
        <v>2853</v>
      </c>
      <c r="N955" s="510"/>
      <c r="O955" s="511">
        <v>44316</v>
      </c>
      <c r="P955" s="510" t="s">
        <v>4224</v>
      </c>
      <c r="Q955" s="510" t="s">
        <v>4987</v>
      </c>
      <c r="R955" s="512"/>
      <c r="S955" s="523" t="e">
        <f>Table13723[[#This Row],[DATE  CLOSED]]-Table13723[[#This Row],[INITIATION DATE]]</f>
        <v>#VALUE!</v>
      </c>
    </row>
    <row r="956" spans="1:19" ht="51" x14ac:dyDescent="0.2">
      <c r="A956" s="521" t="s">
        <v>6165</v>
      </c>
      <c r="B956" s="514">
        <v>44314</v>
      </c>
      <c r="C956" s="515" t="s">
        <v>6166</v>
      </c>
      <c r="D956" s="515" t="s">
        <v>3225</v>
      </c>
      <c r="E956" s="516" t="s">
        <v>2971</v>
      </c>
      <c r="F956" s="516">
        <v>1</v>
      </c>
      <c r="G956" s="516" t="s">
        <v>2841</v>
      </c>
      <c r="H956" s="516" t="s">
        <v>4079</v>
      </c>
      <c r="I956" s="516" t="s">
        <v>3211</v>
      </c>
      <c r="J956" s="514">
        <v>44347</v>
      </c>
      <c r="K956" s="514" t="s">
        <v>2088</v>
      </c>
      <c r="L956" s="514" t="s">
        <v>2088</v>
      </c>
      <c r="M956" s="516" t="s">
        <v>2853</v>
      </c>
      <c r="N956" s="516" t="s">
        <v>2088</v>
      </c>
      <c r="O956" s="517">
        <v>44343</v>
      </c>
      <c r="P956" s="516" t="s">
        <v>4224</v>
      </c>
      <c r="Q956" s="516" t="s">
        <v>2829</v>
      </c>
      <c r="R956" s="518" t="s">
        <v>5080</v>
      </c>
      <c r="S956" s="522" t="e">
        <f>Table13723[[#This Row],[DATE  CLOSED]]-Table13723[[#This Row],[INITIATION DATE]]</f>
        <v>#VALUE!</v>
      </c>
    </row>
    <row r="957" spans="1:19" ht="51" x14ac:dyDescent="0.2">
      <c r="A957" s="520" t="s">
        <v>6167</v>
      </c>
      <c r="B957" s="508">
        <v>44315</v>
      </c>
      <c r="C957" s="509" t="s">
        <v>6168</v>
      </c>
      <c r="D957" s="509" t="s">
        <v>6169</v>
      </c>
      <c r="E957" s="510" t="s">
        <v>3519</v>
      </c>
      <c r="F957" s="510">
        <v>1</v>
      </c>
      <c r="G957" s="510" t="s">
        <v>2828</v>
      </c>
      <c r="H957" s="510" t="s">
        <v>1351</v>
      </c>
      <c r="I957" s="510" t="s">
        <v>3211</v>
      </c>
      <c r="J957" s="508">
        <v>44347</v>
      </c>
      <c r="K957" s="508" t="s">
        <v>2088</v>
      </c>
      <c r="L957" s="508" t="s">
        <v>2088</v>
      </c>
      <c r="M957" s="510" t="s">
        <v>2853</v>
      </c>
      <c r="N957" s="510" t="s">
        <v>2088</v>
      </c>
      <c r="O957" s="511">
        <v>44321</v>
      </c>
      <c r="P957" s="510" t="s">
        <v>3061</v>
      </c>
      <c r="Q957" s="510" t="s">
        <v>2829</v>
      </c>
      <c r="R957" s="512" t="s">
        <v>5080</v>
      </c>
      <c r="S957" s="523" t="e">
        <f>Table13723[[#This Row],[DATE  CLOSED]]-Table13723[[#This Row],[INITIATION DATE]]</f>
        <v>#VALUE!</v>
      </c>
    </row>
    <row r="958" spans="1:19" ht="51" x14ac:dyDescent="0.2">
      <c r="A958" s="521" t="s">
        <v>6170</v>
      </c>
      <c r="B958" s="514">
        <v>44315</v>
      </c>
      <c r="C958" s="515" t="s">
        <v>6171</v>
      </c>
      <c r="D958" s="515" t="s">
        <v>6172</v>
      </c>
      <c r="E958" s="516" t="s">
        <v>2971</v>
      </c>
      <c r="F958" s="516">
        <v>1</v>
      </c>
      <c r="G958" s="516" t="s">
        <v>2841</v>
      </c>
      <c r="H958" s="516" t="s">
        <v>1351</v>
      </c>
      <c r="I958" s="516" t="s">
        <v>3211</v>
      </c>
      <c r="J958" s="514">
        <v>44347</v>
      </c>
      <c r="K958" s="514">
        <v>44377</v>
      </c>
      <c r="L958" s="514"/>
      <c r="M958" s="516" t="s">
        <v>2847</v>
      </c>
      <c r="N958" s="516" t="s">
        <v>3022</v>
      </c>
      <c r="O958" s="517"/>
      <c r="P958" s="516"/>
      <c r="Q958" s="516"/>
      <c r="R958" s="518"/>
      <c r="S958" s="522" t="e">
        <f>Table13723[[#This Row],[DATE  CLOSED]]-Table13723[[#This Row],[INITIATION DATE]]</f>
        <v>#VALUE!</v>
      </c>
    </row>
    <row r="959" spans="1:19" ht="51" x14ac:dyDescent="0.2">
      <c r="A959" s="520" t="s">
        <v>6174</v>
      </c>
      <c r="B959" s="508">
        <v>44315</v>
      </c>
      <c r="C959" s="509" t="s">
        <v>6194</v>
      </c>
      <c r="D959" s="509" t="s">
        <v>6195</v>
      </c>
      <c r="E959" s="510" t="s">
        <v>2971</v>
      </c>
      <c r="F959" s="510">
        <v>1</v>
      </c>
      <c r="G959" s="510" t="s">
        <v>2828</v>
      </c>
      <c r="H959" s="510" t="s">
        <v>3423</v>
      </c>
      <c r="I959" s="510" t="s">
        <v>3211</v>
      </c>
      <c r="J959" s="508">
        <v>44377</v>
      </c>
      <c r="K959" s="508">
        <v>44439</v>
      </c>
      <c r="L959" s="508" t="s">
        <v>2088</v>
      </c>
      <c r="M959" s="510" t="s">
        <v>2853</v>
      </c>
      <c r="N959" s="510" t="s">
        <v>3061</v>
      </c>
      <c r="O959" s="511">
        <v>44439</v>
      </c>
      <c r="P959" s="510" t="s">
        <v>3061</v>
      </c>
      <c r="Q959" s="510" t="s">
        <v>2835</v>
      </c>
      <c r="R959" s="512" t="s">
        <v>5080</v>
      </c>
      <c r="S959" s="523" t="e">
        <f>Table13723[[#This Row],[DATE  CLOSED]]-Table13723[[#This Row],[INITIATION DATE]]</f>
        <v>#VALUE!</v>
      </c>
    </row>
    <row r="960" spans="1:19" ht="102" x14ac:dyDescent="0.2">
      <c r="A960" s="521" t="s">
        <v>6177</v>
      </c>
      <c r="B960" s="514">
        <v>44316</v>
      </c>
      <c r="C960" s="515" t="s">
        <v>6175</v>
      </c>
      <c r="D960" s="515" t="s">
        <v>6176</v>
      </c>
      <c r="E960" s="516" t="s">
        <v>2971</v>
      </c>
      <c r="F960" s="516">
        <v>1</v>
      </c>
      <c r="G960" s="516" t="s">
        <v>2838</v>
      </c>
      <c r="H960" s="516" t="s">
        <v>685</v>
      </c>
      <c r="I960" s="516" t="s">
        <v>229</v>
      </c>
      <c r="J960" s="514">
        <v>44347</v>
      </c>
      <c r="K960" s="514"/>
      <c r="L960" s="514"/>
      <c r="M960" s="342" t="s">
        <v>2853</v>
      </c>
      <c r="N960" s="516" t="s">
        <v>2088</v>
      </c>
      <c r="O960" s="517">
        <v>44321</v>
      </c>
      <c r="P960" s="516" t="s">
        <v>3061</v>
      </c>
      <c r="Q960" s="516" t="s">
        <v>2829</v>
      </c>
      <c r="R960" s="518"/>
      <c r="S960" s="522" t="e">
        <f>Table13723[[#This Row],[DATE  CLOSED]]-Table13723[[#This Row],[INITIATION DATE]]</f>
        <v>#VALUE!</v>
      </c>
    </row>
    <row r="961" spans="1:19" ht="89.25" x14ac:dyDescent="0.2">
      <c r="A961" s="520" t="s">
        <v>6178</v>
      </c>
      <c r="B961" s="508">
        <v>44320</v>
      </c>
      <c r="C961" s="509" t="s">
        <v>6179</v>
      </c>
      <c r="D961" s="509" t="s">
        <v>6111</v>
      </c>
      <c r="E961" s="510" t="s">
        <v>2971</v>
      </c>
      <c r="F961" s="510">
        <v>1</v>
      </c>
      <c r="G961" s="510" t="s">
        <v>2841</v>
      </c>
      <c r="H961" s="510" t="s">
        <v>229</v>
      </c>
      <c r="I961" s="510" t="s">
        <v>4261</v>
      </c>
      <c r="J961" s="508">
        <v>44377</v>
      </c>
      <c r="K961" s="508"/>
      <c r="L961" s="508"/>
      <c r="M961" s="510" t="s">
        <v>2853</v>
      </c>
      <c r="N961" s="510"/>
      <c r="O961" s="511">
        <v>44356</v>
      </c>
      <c r="P961" s="510" t="s">
        <v>4224</v>
      </c>
      <c r="Q961" s="510" t="s">
        <v>5991</v>
      </c>
      <c r="R961" s="512"/>
      <c r="S961" s="523" t="e">
        <f>Table13723[[#This Row],[DATE  CLOSED]]-Table13723[[#This Row],[INITIATION DATE]]</f>
        <v>#VALUE!</v>
      </c>
    </row>
    <row r="962" spans="1:19" ht="89.25" x14ac:dyDescent="0.2">
      <c r="A962" s="521" t="s">
        <v>6180</v>
      </c>
      <c r="B962" s="514">
        <v>44323</v>
      </c>
      <c r="C962" s="515" t="s">
        <v>6181</v>
      </c>
      <c r="D962" s="515" t="s">
        <v>4517</v>
      </c>
      <c r="E962" s="516" t="s">
        <v>2971</v>
      </c>
      <c r="F962" s="516">
        <v>1</v>
      </c>
      <c r="G962" s="516" t="s">
        <v>2838</v>
      </c>
      <c r="H962" s="516" t="s">
        <v>685</v>
      </c>
      <c r="I962" s="516" t="s">
        <v>229</v>
      </c>
      <c r="J962" s="514">
        <v>44377</v>
      </c>
      <c r="K962" s="514"/>
      <c r="L962" s="514"/>
      <c r="M962" s="516" t="s">
        <v>2853</v>
      </c>
      <c r="N962" s="516" t="s">
        <v>2088</v>
      </c>
      <c r="O962" s="517">
        <v>44330</v>
      </c>
      <c r="P962" s="516" t="s">
        <v>3061</v>
      </c>
      <c r="Q962" s="516" t="s">
        <v>2829</v>
      </c>
      <c r="R962" s="518"/>
      <c r="S962" s="522" t="e">
        <f>Table13723[[#This Row],[DATE  CLOSED]]-Table13723[[#This Row],[INITIATION DATE]]</f>
        <v>#VALUE!</v>
      </c>
    </row>
    <row r="963" spans="1:19" ht="153" x14ac:dyDescent="0.2">
      <c r="A963" s="520" t="s">
        <v>6182</v>
      </c>
      <c r="B963" s="508">
        <v>44326</v>
      </c>
      <c r="C963" s="509" t="s">
        <v>6183</v>
      </c>
      <c r="D963" s="509" t="s">
        <v>6184</v>
      </c>
      <c r="E963" s="510" t="s">
        <v>2971</v>
      </c>
      <c r="F963" s="510">
        <v>1</v>
      </c>
      <c r="G963" s="510" t="s">
        <v>2834</v>
      </c>
      <c r="H963" s="510" t="s">
        <v>441</v>
      </c>
      <c r="I963" s="510" t="s">
        <v>3645</v>
      </c>
      <c r="J963" s="508">
        <v>44377</v>
      </c>
      <c r="K963" s="508"/>
      <c r="L963" s="508"/>
      <c r="M963" s="510" t="s">
        <v>2853</v>
      </c>
      <c r="N963" s="510" t="s">
        <v>2088</v>
      </c>
      <c r="O963" s="511">
        <v>44342</v>
      </c>
      <c r="P963" s="510" t="s">
        <v>3061</v>
      </c>
      <c r="Q963" s="510" t="s">
        <v>2829</v>
      </c>
      <c r="R963" s="512"/>
      <c r="S963" s="523" t="e">
        <f>Table13723[[#This Row],[DATE  CLOSED]]-Table13723[[#This Row],[INITIATION DATE]]</f>
        <v>#VALUE!</v>
      </c>
    </row>
    <row r="964" spans="1:19" ht="51" x14ac:dyDescent="0.2">
      <c r="A964" s="521" t="s">
        <v>6185</v>
      </c>
      <c r="B964" s="514">
        <v>44327</v>
      </c>
      <c r="C964" s="515" t="s">
        <v>6190</v>
      </c>
      <c r="D964" s="515" t="s">
        <v>6186</v>
      </c>
      <c r="E964" s="516" t="s">
        <v>6187</v>
      </c>
      <c r="F964" s="516">
        <v>1</v>
      </c>
      <c r="G964" s="516" t="s">
        <v>2828</v>
      </c>
      <c r="H964" s="516" t="s">
        <v>4079</v>
      </c>
      <c r="I964" s="516" t="s">
        <v>6188</v>
      </c>
      <c r="J964" s="514">
        <v>44347</v>
      </c>
      <c r="K964" s="514" t="s">
        <v>2088</v>
      </c>
      <c r="L964" s="514" t="s">
        <v>2088</v>
      </c>
      <c r="M964" s="516" t="s">
        <v>2853</v>
      </c>
      <c r="N964" s="516" t="s">
        <v>2088</v>
      </c>
      <c r="O964" s="517">
        <v>44328</v>
      </c>
      <c r="P964" s="516" t="s">
        <v>3061</v>
      </c>
      <c r="Q964" s="516" t="s">
        <v>2829</v>
      </c>
      <c r="R964" s="518" t="s">
        <v>5080</v>
      </c>
      <c r="S964" s="522" t="e">
        <f>Table13723[[#This Row],[DATE  CLOSED]]-Table13723[[#This Row],[INITIATION DATE]]</f>
        <v>#VALUE!</v>
      </c>
    </row>
    <row r="965" spans="1:19" ht="63.75" x14ac:dyDescent="0.2">
      <c r="A965" s="520" t="s">
        <v>6189</v>
      </c>
      <c r="B965" s="508">
        <v>44327</v>
      </c>
      <c r="C965" s="509" t="s">
        <v>6191</v>
      </c>
      <c r="D965" s="509" t="s">
        <v>6192</v>
      </c>
      <c r="E965" s="510" t="s">
        <v>4610</v>
      </c>
      <c r="F965" s="510">
        <v>1</v>
      </c>
      <c r="G965" s="510" t="s">
        <v>2828</v>
      </c>
      <c r="H965" s="510" t="s">
        <v>4021</v>
      </c>
      <c r="I965" s="510" t="s">
        <v>3211</v>
      </c>
      <c r="J965" s="508">
        <v>44337</v>
      </c>
      <c r="K965" s="508" t="s">
        <v>2088</v>
      </c>
      <c r="L965" s="508" t="s">
        <v>2088</v>
      </c>
      <c r="M965" s="510" t="s">
        <v>2853</v>
      </c>
      <c r="N965" s="510" t="s">
        <v>2088</v>
      </c>
      <c r="O965" s="511">
        <v>44327</v>
      </c>
      <c r="P965" s="510" t="s">
        <v>4224</v>
      </c>
      <c r="Q965" s="510" t="s">
        <v>2829</v>
      </c>
      <c r="R965" s="512" t="s">
        <v>5080</v>
      </c>
      <c r="S965" s="523" t="e">
        <f>Table13723[[#This Row],[DATE  CLOSED]]-Table13723[[#This Row],[INITIATION DATE]]</f>
        <v>#VALUE!</v>
      </c>
    </row>
    <row r="966" spans="1:19" ht="114.75" x14ac:dyDescent="0.2">
      <c r="A966" s="521" t="s">
        <v>6193</v>
      </c>
      <c r="B966" s="514">
        <v>44328</v>
      </c>
      <c r="C966" s="515" t="s">
        <v>6198</v>
      </c>
      <c r="D966" s="515" t="s">
        <v>6196</v>
      </c>
      <c r="E966" s="516" t="s">
        <v>2971</v>
      </c>
      <c r="F966" s="516">
        <v>1</v>
      </c>
      <c r="G966" s="516" t="s">
        <v>2838</v>
      </c>
      <c r="H966" s="516" t="s">
        <v>685</v>
      </c>
      <c r="I966" s="516" t="s">
        <v>229</v>
      </c>
      <c r="J966" s="514">
        <v>44377</v>
      </c>
      <c r="K966" s="514"/>
      <c r="L966" s="514"/>
      <c r="M966" s="516" t="s">
        <v>2853</v>
      </c>
      <c r="N966" s="516" t="s">
        <v>2088</v>
      </c>
      <c r="O966" s="517">
        <v>44334</v>
      </c>
      <c r="P966" s="516" t="s">
        <v>3061</v>
      </c>
      <c r="Q966" s="516" t="s">
        <v>2829</v>
      </c>
      <c r="R966" s="518"/>
      <c r="S966" s="522" t="e">
        <f>Table13723[[#This Row],[DATE  CLOSED]]-Table13723[[#This Row],[INITIATION DATE]]</f>
        <v>#VALUE!</v>
      </c>
    </row>
    <row r="967" spans="1:19" ht="76.5" x14ac:dyDescent="0.2">
      <c r="A967" s="520" t="s">
        <v>6197</v>
      </c>
      <c r="B967" s="508">
        <v>44328</v>
      </c>
      <c r="C967" s="509" t="s">
        <v>6199</v>
      </c>
      <c r="D967" s="509" t="s">
        <v>6200</v>
      </c>
      <c r="E967" s="510" t="s">
        <v>2971</v>
      </c>
      <c r="F967" s="510">
        <v>1</v>
      </c>
      <c r="G967" s="510" t="s">
        <v>2838</v>
      </c>
      <c r="H967" s="510" t="s">
        <v>685</v>
      </c>
      <c r="I967" s="510" t="s">
        <v>229</v>
      </c>
      <c r="J967" s="508">
        <v>44377</v>
      </c>
      <c r="K967" s="508"/>
      <c r="L967" s="508"/>
      <c r="M967" s="510" t="s">
        <v>2853</v>
      </c>
      <c r="N967" s="510" t="s">
        <v>2088</v>
      </c>
      <c r="O967" s="511">
        <v>44334</v>
      </c>
      <c r="P967" s="510" t="s">
        <v>4224</v>
      </c>
      <c r="Q967" s="510" t="s">
        <v>2829</v>
      </c>
      <c r="R967" s="512"/>
      <c r="S967" s="523" t="e">
        <f>Table13723[[#This Row],[DATE  CLOSED]]-Table13723[[#This Row],[INITIATION DATE]]</f>
        <v>#VALUE!</v>
      </c>
    </row>
    <row r="968" spans="1:19" ht="76.5" x14ac:dyDescent="0.2">
      <c r="A968" s="521" t="s">
        <v>6201</v>
      </c>
      <c r="B968" s="514">
        <v>44330</v>
      </c>
      <c r="C968" s="515" t="s">
        <v>6202</v>
      </c>
      <c r="D968" s="515" t="s">
        <v>6203</v>
      </c>
      <c r="E968" s="516" t="s">
        <v>2971</v>
      </c>
      <c r="F968" s="516">
        <v>1</v>
      </c>
      <c r="G968" s="516" t="s">
        <v>2841</v>
      </c>
      <c r="H968" s="516" t="s">
        <v>229</v>
      </c>
      <c r="I968" s="516" t="s">
        <v>4261</v>
      </c>
      <c r="J968" s="514">
        <v>44377</v>
      </c>
      <c r="K968" s="514"/>
      <c r="L968" s="514"/>
      <c r="M968" s="342" t="s">
        <v>2853</v>
      </c>
      <c r="N968" s="516"/>
      <c r="O968" s="517">
        <v>44358</v>
      </c>
      <c r="P968" s="342" t="s">
        <v>4224</v>
      </c>
      <c r="Q968" s="342" t="s">
        <v>4987</v>
      </c>
      <c r="R968" s="518"/>
      <c r="S968" s="522" t="e">
        <f>Table13723[[#This Row],[DATE  CLOSED]]-Table13723[[#This Row],[INITIATION DATE]]</f>
        <v>#VALUE!</v>
      </c>
    </row>
    <row r="969" spans="1:19" ht="76.5" x14ac:dyDescent="0.2">
      <c r="A969" s="520" t="s">
        <v>6204</v>
      </c>
      <c r="B969" s="508">
        <v>44334</v>
      </c>
      <c r="C969" s="343" t="s">
        <v>6205</v>
      </c>
      <c r="D969" s="343" t="s">
        <v>6206</v>
      </c>
      <c r="E969" s="344" t="s">
        <v>4033</v>
      </c>
      <c r="F969" s="510">
        <v>1</v>
      </c>
      <c r="G969" s="510" t="s">
        <v>2828</v>
      </c>
      <c r="H969" s="344" t="s">
        <v>6059</v>
      </c>
      <c r="I969" s="344" t="s">
        <v>3211</v>
      </c>
      <c r="J969" s="508">
        <v>44377</v>
      </c>
      <c r="K969" s="508" t="s">
        <v>2088</v>
      </c>
      <c r="L969" s="508" t="s">
        <v>2088</v>
      </c>
      <c r="M969" s="510" t="s">
        <v>2853</v>
      </c>
      <c r="N969" s="510" t="s">
        <v>2088</v>
      </c>
      <c r="O969" s="511">
        <v>44350</v>
      </c>
      <c r="P969" s="510" t="s">
        <v>4224</v>
      </c>
      <c r="Q969" s="510" t="s">
        <v>2829</v>
      </c>
      <c r="R969" s="512" t="s">
        <v>5080</v>
      </c>
      <c r="S969" s="523" t="e">
        <f>Table13723[[#This Row],[DATE  CLOSED]]-Table13723[[#This Row],[INITIATION DATE]]</f>
        <v>#VALUE!</v>
      </c>
    </row>
    <row r="970" spans="1:19" ht="51" x14ac:dyDescent="0.2">
      <c r="A970" s="521" t="s">
        <v>6207</v>
      </c>
      <c r="B970" s="514">
        <v>44334</v>
      </c>
      <c r="C970" s="515" t="s">
        <v>6208</v>
      </c>
      <c r="D970" s="515" t="s">
        <v>3039</v>
      </c>
      <c r="E970" s="516" t="s">
        <v>2971</v>
      </c>
      <c r="F970" s="516">
        <v>1</v>
      </c>
      <c r="G970" s="516" t="s">
        <v>2841</v>
      </c>
      <c r="H970" s="516" t="s">
        <v>229</v>
      </c>
      <c r="I970" s="516" t="s">
        <v>4261</v>
      </c>
      <c r="J970" s="514">
        <v>44377</v>
      </c>
      <c r="K970" s="514"/>
      <c r="L970" s="514"/>
      <c r="M970" s="516" t="s">
        <v>2853</v>
      </c>
      <c r="N970" s="516"/>
      <c r="O970" s="517">
        <v>44356</v>
      </c>
      <c r="P970" s="516" t="s">
        <v>4224</v>
      </c>
      <c r="Q970" s="516" t="s">
        <v>4987</v>
      </c>
      <c r="R970" s="518"/>
      <c r="S970" s="522" t="e">
        <f>Table13723[[#This Row],[DATE  CLOSED]]-Table13723[[#This Row],[INITIATION DATE]]</f>
        <v>#VALUE!</v>
      </c>
    </row>
    <row r="971" spans="1:19" ht="63.75" x14ac:dyDescent="0.2">
      <c r="A971" s="520" t="s">
        <v>6209</v>
      </c>
      <c r="B971" s="508">
        <v>44341</v>
      </c>
      <c r="C971" s="343" t="s">
        <v>6210</v>
      </c>
      <c r="D971" s="343" t="s">
        <v>6211</v>
      </c>
      <c r="E971" s="344" t="s">
        <v>4242</v>
      </c>
      <c r="F971" s="510">
        <v>1</v>
      </c>
      <c r="G971" s="510" t="s">
        <v>2828</v>
      </c>
      <c r="H971" s="344" t="s">
        <v>4079</v>
      </c>
      <c r="I971" s="344" t="s">
        <v>6188</v>
      </c>
      <c r="J971" s="508">
        <v>44408</v>
      </c>
      <c r="K971" s="508">
        <v>44469</v>
      </c>
      <c r="L971" s="508"/>
      <c r="M971" s="510" t="s">
        <v>2847</v>
      </c>
      <c r="N971" s="510" t="s">
        <v>3061</v>
      </c>
      <c r="O971" s="511"/>
      <c r="P971" s="510"/>
      <c r="Q971" s="510"/>
      <c r="R971" s="512"/>
      <c r="S971" s="523" t="e">
        <f>Table13723[[#This Row],[DATE  CLOSED]]-Table13723[[#This Row],[INITIATION DATE]]</f>
        <v>#VALUE!</v>
      </c>
    </row>
    <row r="972" spans="1:19" ht="51" x14ac:dyDescent="0.2">
      <c r="A972" s="521" t="s">
        <v>6212</v>
      </c>
      <c r="B972" s="514">
        <v>44342</v>
      </c>
      <c r="C972" s="515" t="s">
        <v>6213</v>
      </c>
      <c r="D972" s="515" t="s">
        <v>6214</v>
      </c>
      <c r="E972" s="516" t="s">
        <v>5784</v>
      </c>
      <c r="F972" s="516">
        <v>1</v>
      </c>
      <c r="G972" s="516" t="s">
        <v>2828</v>
      </c>
      <c r="H972" s="516" t="s">
        <v>6215</v>
      </c>
      <c r="I972" s="516" t="s">
        <v>3211</v>
      </c>
      <c r="J972" s="514">
        <v>44347</v>
      </c>
      <c r="K972" s="514" t="s">
        <v>2088</v>
      </c>
      <c r="L972" s="514" t="s">
        <v>2088</v>
      </c>
      <c r="M972" s="516" t="s">
        <v>2853</v>
      </c>
      <c r="N972" s="516" t="s">
        <v>2088</v>
      </c>
      <c r="O972" s="517">
        <v>44344</v>
      </c>
      <c r="P972" s="516" t="s">
        <v>3061</v>
      </c>
      <c r="Q972" s="516" t="s">
        <v>2829</v>
      </c>
      <c r="R972" s="518" t="s">
        <v>5080</v>
      </c>
      <c r="S972" s="522" t="e">
        <f>Table13723[[#This Row],[DATE  CLOSED]]-Table13723[[#This Row],[INITIATION DATE]]</f>
        <v>#VALUE!</v>
      </c>
    </row>
    <row r="973" spans="1:19" ht="76.5" x14ac:dyDescent="0.2">
      <c r="A973" s="520" t="s">
        <v>6216</v>
      </c>
      <c r="B973" s="508">
        <v>44343</v>
      </c>
      <c r="C973" s="509" t="s">
        <v>6217</v>
      </c>
      <c r="D973" s="509" t="s">
        <v>6218</v>
      </c>
      <c r="E973" s="510" t="s">
        <v>2971</v>
      </c>
      <c r="F973" s="510">
        <v>1</v>
      </c>
      <c r="G973" s="510" t="s">
        <v>2838</v>
      </c>
      <c r="H973" s="510" t="s">
        <v>685</v>
      </c>
      <c r="I973" s="510" t="s">
        <v>229</v>
      </c>
      <c r="J973" s="508">
        <v>44407</v>
      </c>
      <c r="K973" s="508"/>
      <c r="L973" s="508"/>
      <c r="M973" s="510" t="s">
        <v>2847</v>
      </c>
      <c r="N973" s="510"/>
      <c r="O973" s="511"/>
      <c r="P973" s="510"/>
      <c r="Q973" s="510"/>
      <c r="R973" s="512"/>
      <c r="S973" s="523" t="e">
        <f>Table13723[[#This Row],[DATE  CLOSED]]-Table13723[[#This Row],[INITIATION DATE]]</f>
        <v>#VALUE!</v>
      </c>
    </row>
    <row r="974" spans="1:19" ht="114.75" x14ac:dyDescent="0.2">
      <c r="A974" s="521" t="s">
        <v>6219</v>
      </c>
      <c r="B974" s="514">
        <v>44344</v>
      </c>
      <c r="C974" s="515" t="s">
        <v>6220</v>
      </c>
      <c r="D974" s="515" t="s">
        <v>6032</v>
      </c>
      <c r="E974" s="516" t="s">
        <v>2971</v>
      </c>
      <c r="F974" s="516">
        <v>1</v>
      </c>
      <c r="G974" s="516" t="s">
        <v>2840</v>
      </c>
      <c r="H974" s="516" t="s">
        <v>229</v>
      </c>
      <c r="I974" s="516" t="s">
        <v>4261</v>
      </c>
      <c r="J974" s="514">
        <v>44377</v>
      </c>
      <c r="K974" s="514"/>
      <c r="L974" s="514"/>
      <c r="M974" s="342" t="s">
        <v>2853</v>
      </c>
      <c r="N974" s="516"/>
      <c r="O974" s="517">
        <v>44344</v>
      </c>
      <c r="P974" s="342" t="s">
        <v>4224</v>
      </c>
      <c r="Q974" s="342" t="s">
        <v>4987</v>
      </c>
      <c r="R974" s="518"/>
      <c r="S974" s="522" t="e">
        <f>Table13723[[#This Row],[DATE  CLOSED]]-Table13723[[#This Row],[INITIATION DATE]]</f>
        <v>#VALUE!</v>
      </c>
    </row>
    <row r="975" spans="1:19" ht="51" x14ac:dyDescent="0.2">
      <c r="A975" s="520" t="s">
        <v>6226</v>
      </c>
      <c r="B975" s="508">
        <v>44349</v>
      </c>
      <c r="C975" s="509" t="s">
        <v>6221</v>
      </c>
      <c r="D975" s="509" t="s">
        <v>6222</v>
      </c>
      <c r="E975" s="510" t="s">
        <v>2971</v>
      </c>
      <c r="F975" s="510">
        <v>1</v>
      </c>
      <c r="G975" s="510" t="s">
        <v>2828</v>
      </c>
      <c r="H975" s="510" t="s">
        <v>4079</v>
      </c>
      <c r="I975" s="510" t="s">
        <v>3211</v>
      </c>
      <c r="J975" s="508">
        <v>44377</v>
      </c>
      <c r="K975" s="508">
        <v>44469</v>
      </c>
      <c r="L975" s="508"/>
      <c r="M975" s="510" t="s">
        <v>2847</v>
      </c>
      <c r="N975" s="510"/>
      <c r="O975" s="511"/>
      <c r="P975" s="510"/>
      <c r="Q975" s="510"/>
      <c r="R975" s="512"/>
      <c r="S975" s="523" t="e">
        <f>Table13723[[#This Row],[DATE  CLOSED]]-Table13723[[#This Row],[INITIATION DATE]]</f>
        <v>#VALUE!</v>
      </c>
    </row>
    <row r="976" spans="1:19" ht="102" x14ac:dyDescent="0.2">
      <c r="A976" s="521" t="s">
        <v>6223</v>
      </c>
      <c r="B976" s="514">
        <v>44354</v>
      </c>
      <c r="C976" s="515" t="s">
        <v>6224</v>
      </c>
      <c r="D976" s="515" t="s">
        <v>6184</v>
      </c>
      <c r="E976" s="516" t="s">
        <v>2971</v>
      </c>
      <c r="F976" s="516">
        <v>1</v>
      </c>
      <c r="G976" s="516" t="s">
        <v>2834</v>
      </c>
      <c r="H976" s="516" t="s">
        <v>4079</v>
      </c>
      <c r="I976" s="516" t="s">
        <v>3645</v>
      </c>
      <c r="J976" s="514">
        <v>44408</v>
      </c>
      <c r="K976" s="514">
        <v>44561</v>
      </c>
      <c r="L976" s="514"/>
      <c r="M976" s="516" t="s">
        <v>2847</v>
      </c>
      <c r="N976" s="516" t="s">
        <v>3061</v>
      </c>
      <c r="O976" s="517"/>
      <c r="P976" s="516"/>
      <c r="Q976" s="516"/>
      <c r="R976" s="518"/>
      <c r="S976" s="522" t="e">
        <f>Table13723[[#This Row],[DATE  CLOSED]]-Table13723[[#This Row],[INITIATION DATE]]</f>
        <v>#VALUE!</v>
      </c>
    </row>
    <row r="977" spans="1:19" ht="102" x14ac:dyDescent="0.2">
      <c r="A977" s="520" t="s">
        <v>6225</v>
      </c>
      <c r="B977" s="508">
        <v>44357</v>
      </c>
      <c r="C977" s="509" t="s">
        <v>6227</v>
      </c>
      <c r="D977" s="509" t="s">
        <v>6228</v>
      </c>
      <c r="E977" s="510" t="s">
        <v>2971</v>
      </c>
      <c r="F977" s="510">
        <v>1</v>
      </c>
      <c r="G977" s="510" t="s">
        <v>2838</v>
      </c>
      <c r="H977" s="510" t="s">
        <v>685</v>
      </c>
      <c r="I977" s="510" t="s">
        <v>229</v>
      </c>
      <c r="J977" s="508">
        <v>44377</v>
      </c>
      <c r="K977" s="508"/>
      <c r="L977" s="508"/>
      <c r="M977" s="510" t="s">
        <v>2847</v>
      </c>
      <c r="N977" s="510"/>
      <c r="O977" s="511"/>
      <c r="P977" s="510"/>
      <c r="Q977" s="510"/>
      <c r="R977" s="512"/>
      <c r="S977" s="523" t="e">
        <f>Table13723[[#This Row],[DATE  CLOSED]]-Table13723[[#This Row],[INITIATION DATE]]</f>
        <v>#VALUE!</v>
      </c>
    </row>
    <row r="978" spans="1:19" ht="127.5" x14ac:dyDescent="0.2">
      <c r="A978" s="521" t="s">
        <v>6229</v>
      </c>
      <c r="B978" s="514">
        <v>44358</v>
      </c>
      <c r="C978" s="515" t="s">
        <v>6230</v>
      </c>
      <c r="D978" s="515" t="s">
        <v>4517</v>
      </c>
      <c r="E978" s="516" t="s">
        <v>2971</v>
      </c>
      <c r="F978" s="516">
        <v>1</v>
      </c>
      <c r="G978" s="516" t="s">
        <v>2840</v>
      </c>
      <c r="H978" s="516" t="s">
        <v>229</v>
      </c>
      <c r="I978" s="516" t="s">
        <v>4261</v>
      </c>
      <c r="J978" s="514">
        <v>44377</v>
      </c>
      <c r="K978" s="514"/>
      <c r="L978" s="514"/>
      <c r="M978" s="516" t="s">
        <v>2853</v>
      </c>
      <c r="N978" s="516"/>
      <c r="O978" s="517">
        <v>44363</v>
      </c>
      <c r="P978" s="516" t="s">
        <v>4224</v>
      </c>
      <c r="Q978" s="516" t="s">
        <v>4987</v>
      </c>
      <c r="R978" s="518"/>
      <c r="S978" s="522" t="e">
        <f>Table13723[[#This Row],[DATE  CLOSED]]-Table13723[[#This Row],[INITIATION DATE]]</f>
        <v>#VALUE!</v>
      </c>
    </row>
    <row r="979" spans="1:19" ht="51" x14ac:dyDescent="0.2">
      <c r="A979" s="520" t="s">
        <v>6231</v>
      </c>
      <c r="B979" s="508">
        <v>44358</v>
      </c>
      <c r="C979" s="509" t="s">
        <v>6232</v>
      </c>
      <c r="D979" s="509" t="s">
        <v>3039</v>
      </c>
      <c r="E979" s="510" t="s">
        <v>2971</v>
      </c>
      <c r="F979" s="510">
        <v>1</v>
      </c>
      <c r="G979" s="510" t="s">
        <v>2841</v>
      </c>
      <c r="H979" s="510" t="s">
        <v>4021</v>
      </c>
      <c r="I979" s="510" t="s">
        <v>229</v>
      </c>
      <c r="J979" s="508">
        <v>44377</v>
      </c>
      <c r="K979" s="508"/>
      <c r="L979" s="508"/>
      <c r="M979" s="510" t="s">
        <v>2847</v>
      </c>
      <c r="N979" s="510"/>
      <c r="O979" s="511"/>
      <c r="P979" s="510"/>
      <c r="Q979" s="510"/>
      <c r="R979" s="512"/>
      <c r="S979" s="523" t="e">
        <f>Table13723[[#This Row],[DATE  CLOSED]]-Table13723[[#This Row],[INITIATION DATE]]</f>
        <v>#VALUE!</v>
      </c>
    </row>
    <row r="980" spans="1:19" ht="204" x14ac:dyDescent="0.2">
      <c r="A980" s="521" t="s">
        <v>6233</v>
      </c>
      <c r="B980" s="514">
        <v>44361</v>
      </c>
      <c r="C980" s="515" t="s">
        <v>6234</v>
      </c>
      <c r="D980" s="515" t="s">
        <v>6235</v>
      </c>
      <c r="E980" s="516" t="s">
        <v>5743</v>
      </c>
      <c r="F980" s="516">
        <v>2</v>
      </c>
      <c r="G980" s="516" t="s">
        <v>2828</v>
      </c>
      <c r="H980" s="516" t="s">
        <v>615</v>
      </c>
      <c r="I980" s="516" t="s">
        <v>3211</v>
      </c>
      <c r="J980" s="514">
        <v>44414</v>
      </c>
      <c r="K980" s="514"/>
      <c r="L980" s="514"/>
      <c r="M980" s="516" t="s">
        <v>2847</v>
      </c>
      <c r="N980" s="516"/>
      <c r="O980" s="517"/>
      <c r="P980" s="516"/>
      <c r="Q980" s="516"/>
      <c r="R980" s="518"/>
      <c r="S980" s="522" t="e">
        <f>Table13723[[#This Row],[DATE  CLOSED]]-Table13723[[#This Row],[INITIATION DATE]]</f>
        <v>#VALUE!</v>
      </c>
    </row>
    <row r="981" spans="1:19" ht="178.5" x14ac:dyDescent="0.2">
      <c r="A981" s="520" t="s">
        <v>6236</v>
      </c>
      <c r="B981" s="508">
        <v>44361</v>
      </c>
      <c r="C981" s="509" t="s">
        <v>6239</v>
      </c>
      <c r="D981" s="509" t="s">
        <v>4019</v>
      </c>
      <c r="E981" s="510" t="s">
        <v>6237</v>
      </c>
      <c r="F981" s="510">
        <v>1</v>
      </c>
      <c r="G981" s="510" t="s">
        <v>2834</v>
      </c>
      <c r="H981" s="510" t="s">
        <v>441</v>
      </c>
      <c r="I981" s="510" t="s">
        <v>6238</v>
      </c>
      <c r="J981" s="508">
        <v>44377</v>
      </c>
      <c r="K981" s="508"/>
      <c r="L981" s="508"/>
      <c r="M981" s="510" t="s">
        <v>2847</v>
      </c>
      <c r="N981" s="510"/>
      <c r="O981" s="511"/>
      <c r="P981" s="510"/>
      <c r="Q981" s="510"/>
      <c r="R981" s="512"/>
      <c r="S981" s="523" t="e">
        <f>Table13723[[#This Row],[DATE  CLOSED]]-Table13723[[#This Row],[INITIATION DATE]]</f>
        <v>#VALUE!</v>
      </c>
    </row>
    <row r="982" spans="1:19" ht="114.75" x14ac:dyDescent="0.2">
      <c r="A982" s="521" t="s">
        <v>6240</v>
      </c>
      <c r="B982" s="514">
        <v>44362</v>
      </c>
      <c r="C982" s="341" t="s">
        <v>6241</v>
      </c>
      <c r="D982" s="341" t="s">
        <v>6242</v>
      </c>
      <c r="E982" s="342" t="s">
        <v>2971</v>
      </c>
      <c r="F982" s="516">
        <v>1</v>
      </c>
      <c r="G982" s="342" t="s">
        <v>2834</v>
      </c>
      <c r="H982" s="342" t="s">
        <v>685</v>
      </c>
      <c r="I982" s="342" t="s">
        <v>229</v>
      </c>
      <c r="J982" s="514">
        <v>44377</v>
      </c>
      <c r="K982" s="514"/>
      <c r="L982" s="514"/>
      <c r="M982" s="342" t="s">
        <v>2853</v>
      </c>
      <c r="N982" s="516" t="s">
        <v>2088</v>
      </c>
      <c r="O982" s="517">
        <v>44362</v>
      </c>
      <c r="P982" s="516" t="s">
        <v>3061</v>
      </c>
      <c r="Q982" s="516" t="s">
        <v>2829</v>
      </c>
      <c r="R982" s="518"/>
      <c r="S982" s="522" t="e">
        <f>Table13723[[#This Row],[DATE  CLOSED]]-Table13723[[#This Row],[INITIATION DATE]]</f>
        <v>#VALUE!</v>
      </c>
    </row>
    <row r="983" spans="1:19" ht="140.25" x14ac:dyDescent="0.2">
      <c r="A983" s="520" t="s">
        <v>6273</v>
      </c>
      <c r="B983" s="508">
        <v>44362</v>
      </c>
      <c r="C983" s="509" t="s">
        <v>6274</v>
      </c>
      <c r="D983" s="509" t="s">
        <v>3307</v>
      </c>
      <c r="E983" s="510" t="s">
        <v>2971</v>
      </c>
      <c r="F983" s="510">
        <v>1</v>
      </c>
      <c r="G983" s="510" t="s">
        <v>2838</v>
      </c>
      <c r="H983" s="510" t="s">
        <v>685</v>
      </c>
      <c r="I983" s="510" t="s">
        <v>229</v>
      </c>
      <c r="J983" s="508">
        <v>44407</v>
      </c>
      <c r="K983" s="508"/>
      <c r="L983" s="508"/>
      <c r="M983" s="510" t="s">
        <v>2847</v>
      </c>
      <c r="N983" s="510"/>
      <c r="O983" s="511"/>
      <c r="P983" s="510"/>
      <c r="Q983" s="510"/>
      <c r="R983" s="512"/>
      <c r="S983" s="523" t="e">
        <f>Table13723[[#This Row],[DATE  CLOSED]]-Table13723[[#This Row],[INITIATION DATE]]</f>
        <v>#VALUE!</v>
      </c>
    </row>
    <row r="984" spans="1:19" ht="89.25" x14ac:dyDescent="0.2">
      <c r="A984" s="521" t="s">
        <v>6275</v>
      </c>
      <c r="B984" s="514">
        <v>44362</v>
      </c>
      <c r="C984" s="515" t="s">
        <v>6276</v>
      </c>
      <c r="D984" s="515" t="s">
        <v>3307</v>
      </c>
      <c r="E984" s="516" t="s">
        <v>2971</v>
      </c>
      <c r="F984" s="516">
        <v>1</v>
      </c>
      <c r="G984" s="516" t="s">
        <v>2836</v>
      </c>
      <c r="H984" s="516" t="s">
        <v>4079</v>
      </c>
      <c r="I984" s="516" t="s">
        <v>229</v>
      </c>
      <c r="J984" s="514">
        <v>44469</v>
      </c>
      <c r="K984" s="514"/>
      <c r="L984" s="514"/>
      <c r="M984" s="516" t="s">
        <v>2847</v>
      </c>
      <c r="N984" s="516"/>
      <c r="O984" s="517"/>
      <c r="P984" s="516"/>
      <c r="Q984" s="516"/>
      <c r="R984" s="518"/>
      <c r="S984" s="522" t="e">
        <f>Table13723[[#This Row],[DATE  CLOSED]]-Table13723[[#This Row],[INITIATION DATE]]</f>
        <v>#VALUE!</v>
      </c>
    </row>
    <row r="985" spans="1:19" ht="89.25" x14ac:dyDescent="0.2">
      <c r="A985" s="520" t="s">
        <v>6277</v>
      </c>
      <c r="B985" s="508">
        <v>44362</v>
      </c>
      <c r="C985" s="509" t="s">
        <v>6278</v>
      </c>
      <c r="D985" s="509" t="s">
        <v>6279</v>
      </c>
      <c r="E985" s="510" t="s">
        <v>2971</v>
      </c>
      <c r="F985" s="510">
        <v>1</v>
      </c>
      <c r="G985" s="510" t="s">
        <v>2838</v>
      </c>
      <c r="H985" s="510" t="s">
        <v>685</v>
      </c>
      <c r="I985" s="510" t="s">
        <v>229</v>
      </c>
      <c r="J985" s="508">
        <v>44377</v>
      </c>
      <c r="K985" s="508"/>
      <c r="L985" s="508"/>
      <c r="M985" s="510" t="s">
        <v>2853</v>
      </c>
      <c r="N985" s="510" t="s">
        <v>2088</v>
      </c>
      <c r="O985" s="511">
        <v>44365</v>
      </c>
      <c r="P985" s="510" t="s">
        <v>3061</v>
      </c>
      <c r="Q985" s="510" t="s">
        <v>2829</v>
      </c>
      <c r="R985" s="512"/>
      <c r="S985" s="523" t="e">
        <f>Table13723[[#This Row],[DATE  CLOSED]]-Table13723[[#This Row],[INITIATION DATE]]</f>
        <v>#VALUE!</v>
      </c>
    </row>
    <row r="986" spans="1:19" ht="63.75" x14ac:dyDescent="0.2">
      <c r="A986" s="521" t="s">
        <v>6280</v>
      </c>
      <c r="B986" s="514">
        <v>44363</v>
      </c>
      <c r="C986" s="515" t="s">
        <v>6281</v>
      </c>
      <c r="D986" s="515" t="s">
        <v>6279</v>
      </c>
      <c r="E986" s="516" t="s">
        <v>2971</v>
      </c>
      <c r="F986" s="516">
        <v>1</v>
      </c>
      <c r="G986" s="516" t="s">
        <v>2838</v>
      </c>
      <c r="H986" s="516" t="s">
        <v>685</v>
      </c>
      <c r="I986" s="516" t="s">
        <v>229</v>
      </c>
      <c r="J986" s="514">
        <v>44377</v>
      </c>
      <c r="K986" s="514"/>
      <c r="L986" s="514"/>
      <c r="M986" s="516" t="s">
        <v>2853</v>
      </c>
      <c r="N986" s="516" t="s">
        <v>2088</v>
      </c>
      <c r="O986" s="517">
        <v>44365</v>
      </c>
      <c r="P986" s="516" t="s">
        <v>3061</v>
      </c>
      <c r="Q986" s="516" t="s">
        <v>2829</v>
      </c>
      <c r="R986" s="518"/>
      <c r="S986" s="522" t="e">
        <f>Table13723[[#This Row],[DATE  CLOSED]]-Table13723[[#This Row],[INITIATION DATE]]</f>
        <v>#VALUE!</v>
      </c>
    </row>
    <row r="987" spans="1:19" ht="51" x14ac:dyDescent="0.2">
      <c r="A987" s="520" t="s">
        <v>6282</v>
      </c>
      <c r="B987" s="508">
        <v>44363</v>
      </c>
      <c r="C987" s="509" t="s">
        <v>6283</v>
      </c>
      <c r="D987" s="509" t="s">
        <v>3039</v>
      </c>
      <c r="E987" s="510" t="s">
        <v>2971</v>
      </c>
      <c r="F987" s="510">
        <v>1</v>
      </c>
      <c r="G987" s="510" t="s">
        <v>2841</v>
      </c>
      <c r="H987" s="510" t="s">
        <v>4079</v>
      </c>
      <c r="I987" s="510" t="s">
        <v>229</v>
      </c>
      <c r="J987" s="508">
        <v>44377</v>
      </c>
      <c r="K987" s="508"/>
      <c r="L987" s="508"/>
      <c r="M987" s="510" t="s">
        <v>2847</v>
      </c>
      <c r="N987" s="510"/>
      <c r="O987" s="511"/>
      <c r="P987" s="510"/>
      <c r="Q987" s="510"/>
      <c r="R987" s="512"/>
      <c r="S987" s="523" t="e">
        <f>Table13723[[#This Row],[DATE  CLOSED]]-Table13723[[#This Row],[INITIATION DATE]]</f>
        <v>#VALUE!</v>
      </c>
    </row>
    <row r="988" spans="1:19" ht="51" x14ac:dyDescent="0.2">
      <c r="A988" s="521" t="s">
        <v>6284</v>
      </c>
      <c r="B988" s="514">
        <v>44364</v>
      </c>
      <c r="C988" s="515" t="s">
        <v>6285</v>
      </c>
      <c r="D988" s="515" t="s">
        <v>3225</v>
      </c>
      <c r="E988" s="516" t="s">
        <v>2971</v>
      </c>
      <c r="F988" s="516">
        <v>1</v>
      </c>
      <c r="G988" s="516" t="s">
        <v>2841</v>
      </c>
      <c r="H988" s="516" t="s">
        <v>3842</v>
      </c>
      <c r="I988" s="516" t="s">
        <v>229</v>
      </c>
      <c r="J988" s="514">
        <v>44408</v>
      </c>
      <c r="K988" s="514"/>
      <c r="L988" s="514"/>
      <c r="M988" s="516" t="s">
        <v>2853</v>
      </c>
      <c r="N988" s="516"/>
      <c r="O988" s="517">
        <v>44439</v>
      </c>
      <c r="P988" s="516" t="s">
        <v>3061</v>
      </c>
      <c r="Q988" s="516" t="s">
        <v>2829</v>
      </c>
      <c r="R988" s="518"/>
      <c r="S988" s="522" t="e">
        <f>Table13723[[#This Row],[DATE  CLOSED]]-Table13723[[#This Row],[INITIATION DATE]]</f>
        <v>#VALUE!</v>
      </c>
    </row>
    <row r="989" spans="1:19" ht="102" x14ac:dyDescent="0.2">
      <c r="A989" s="520" t="s">
        <v>6286</v>
      </c>
      <c r="B989" s="508">
        <v>44368</v>
      </c>
      <c r="C989" s="509" t="s">
        <v>6287</v>
      </c>
      <c r="D989" s="509" t="s">
        <v>6288</v>
      </c>
      <c r="E989" s="510" t="s">
        <v>2971</v>
      </c>
      <c r="F989" s="510">
        <v>1</v>
      </c>
      <c r="G989" s="510" t="s">
        <v>2841</v>
      </c>
      <c r="H989" s="510" t="s">
        <v>4021</v>
      </c>
      <c r="I989" s="510" t="s">
        <v>229</v>
      </c>
      <c r="J989" s="508">
        <v>44377</v>
      </c>
      <c r="K989" s="508"/>
      <c r="L989" s="508"/>
      <c r="M989" s="510" t="s">
        <v>2853</v>
      </c>
      <c r="N989" s="510"/>
      <c r="O989" s="511">
        <v>44369</v>
      </c>
      <c r="P989" s="510" t="s">
        <v>4224</v>
      </c>
      <c r="Q989" s="510" t="s">
        <v>4987</v>
      </c>
      <c r="R989" s="512"/>
      <c r="S989" s="523" t="e">
        <f>Table13723[[#This Row],[DATE  CLOSED]]-Table13723[[#This Row],[INITIATION DATE]]</f>
        <v>#VALUE!</v>
      </c>
    </row>
    <row r="990" spans="1:19" ht="102" x14ac:dyDescent="0.2">
      <c r="A990" s="521" t="s">
        <v>6289</v>
      </c>
      <c r="B990" s="514">
        <v>44369</v>
      </c>
      <c r="C990" s="515" t="s">
        <v>6290</v>
      </c>
      <c r="D990" s="515" t="s">
        <v>6291</v>
      </c>
      <c r="E990" s="516" t="s">
        <v>2971</v>
      </c>
      <c r="F990" s="516">
        <v>1</v>
      </c>
      <c r="G990" s="516" t="s">
        <v>2841</v>
      </c>
      <c r="H990" s="516" t="s">
        <v>229</v>
      </c>
      <c r="I990" s="516" t="s">
        <v>4261</v>
      </c>
      <c r="J990" s="514">
        <v>44377</v>
      </c>
      <c r="K990" s="514"/>
      <c r="L990" s="514"/>
      <c r="M990" s="516" t="s">
        <v>2853</v>
      </c>
      <c r="N990" s="516"/>
      <c r="O990" s="517">
        <v>44371</v>
      </c>
      <c r="P990" s="516" t="s">
        <v>4224</v>
      </c>
      <c r="Q990" s="516" t="s">
        <v>4987</v>
      </c>
      <c r="R990" s="518"/>
      <c r="S990" s="522" t="e">
        <f>Table13723[[#This Row],[DATE  CLOSED]]-Table13723[[#This Row],[INITIATION DATE]]</f>
        <v>#VALUE!</v>
      </c>
    </row>
    <row r="991" spans="1:19" ht="51" x14ac:dyDescent="0.2">
      <c r="A991" s="520" t="s">
        <v>6292</v>
      </c>
      <c r="B991" s="508">
        <v>44370</v>
      </c>
      <c r="C991" s="509" t="s">
        <v>6293</v>
      </c>
      <c r="D991" s="509" t="s">
        <v>6294</v>
      </c>
      <c r="E991" s="510" t="s">
        <v>4174</v>
      </c>
      <c r="F991" s="510">
        <v>1</v>
      </c>
      <c r="G991" s="510" t="s">
        <v>2828</v>
      </c>
      <c r="H991" s="510" t="s">
        <v>4163</v>
      </c>
      <c r="I991" s="510" t="s">
        <v>3211</v>
      </c>
      <c r="J991" s="508">
        <v>44500</v>
      </c>
      <c r="K991" s="508"/>
      <c r="L991" s="508"/>
      <c r="M991" s="510" t="s">
        <v>2847</v>
      </c>
      <c r="N991" s="510"/>
      <c r="O991" s="511"/>
      <c r="P991" s="510"/>
      <c r="Q991" s="510"/>
      <c r="R991" s="512"/>
      <c r="S991" s="523" t="e">
        <f>Table13723[[#This Row],[DATE  CLOSED]]-Table13723[[#This Row],[INITIATION DATE]]</f>
        <v>#VALUE!</v>
      </c>
    </row>
    <row r="992" spans="1:19" ht="51" x14ac:dyDescent="0.2">
      <c r="A992" s="521" t="s">
        <v>6295</v>
      </c>
      <c r="B992" s="514">
        <v>44371</v>
      </c>
      <c r="C992" s="515" t="s">
        <v>6296</v>
      </c>
      <c r="D992" s="515" t="s">
        <v>6297</v>
      </c>
      <c r="E992" s="516" t="s">
        <v>3323</v>
      </c>
      <c r="F992" s="516">
        <v>1</v>
      </c>
      <c r="G992" s="516" t="s">
        <v>2828</v>
      </c>
      <c r="H992" s="516" t="s">
        <v>4021</v>
      </c>
      <c r="I992" s="516" t="s">
        <v>3211</v>
      </c>
      <c r="J992" s="514">
        <v>44408</v>
      </c>
      <c r="K992" s="514" t="s">
        <v>2088</v>
      </c>
      <c r="L992" s="514" t="s">
        <v>2088</v>
      </c>
      <c r="M992" s="516" t="s">
        <v>2853</v>
      </c>
      <c r="N992" s="516" t="s">
        <v>2088</v>
      </c>
      <c r="O992" s="517">
        <v>44379</v>
      </c>
      <c r="P992" s="516" t="s">
        <v>4224</v>
      </c>
      <c r="Q992" s="516" t="s">
        <v>4987</v>
      </c>
      <c r="R992" s="518" t="s">
        <v>5080</v>
      </c>
      <c r="S992" s="522" t="e">
        <f>Table13723[[#This Row],[DATE  CLOSED]]-Table13723[[#This Row],[INITIATION DATE]]</f>
        <v>#VALUE!</v>
      </c>
    </row>
    <row r="993" spans="1:19" ht="51" x14ac:dyDescent="0.2">
      <c r="A993" s="520" t="s">
        <v>6298</v>
      </c>
      <c r="B993" s="508">
        <v>44371</v>
      </c>
      <c r="C993" s="509" t="s">
        <v>6299</v>
      </c>
      <c r="D993" s="509" t="s">
        <v>3039</v>
      </c>
      <c r="E993" s="510" t="s">
        <v>2971</v>
      </c>
      <c r="F993" s="510">
        <v>1</v>
      </c>
      <c r="G993" s="510" t="s">
        <v>2841</v>
      </c>
      <c r="H993" s="510" t="s">
        <v>4354</v>
      </c>
      <c r="I993" s="510" t="s">
        <v>229</v>
      </c>
      <c r="J993" s="508">
        <v>44408</v>
      </c>
      <c r="K993" s="508"/>
      <c r="L993" s="508"/>
      <c r="M993" s="510" t="s">
        <v>2853</v>
      </c>
      <c r="N993" s="510" t="s">
        <v>3022</v>
      </c>
      <c r="O993" s="511">
        <v>44427</v>
      </c>
      <c r="P993" s="510" t="s">
        <v>3022</v>
      </c>
      <c r="Q993" s="510" t="s">
        <v>2832</v>
      </c>
      <c r="R993" s="512"/>
      <c r="S993" s="523" t="e">
        <f>Table13723[[#This Row],[DATE  CLOSED]]-Table13723[[#This Row],[INITIATION DATE]]</f>
        <v>#VALUE!</v>
      </c>
    </row>
    <row r="994" spans="1:19" ht="102" x14ac:dyDescent="0.2">
      <c r="A994" s="521" t="s">
        <v>6300</v>
      </c>
      <c r="B994" s="514">
        <v>44371</v>
      </c>
      <c r="C994" s="341" t="s">
        <v>6306</v>
      </c>
      <c r="D994" s="515" t="s">
        <v>6288</v>
      </c>
      <c r="E994" s="516" t="s">
        <v>2971</v>
      </c>
      <c r="F994" s="516">
        <v>1</v>
      </c>
      <c r="G994" s="516" t="s">
        <v>2841</v>
      </c>
      <c r="H994" s="516" t="s">
        <v>4021</v>
      </c>
      <c r="I994" s="516" t="s">
        <v>229</v>
      </c>
      <c r="J994" s="514">
        <v>44408</v>
      </c>
      <c r="K994" s="514" t="s">
        <v>2088</v>
      </c>
      <c r="L994" s="514" t="s">
        <v>2088</v>
      </c>
      <c r="M994" s="516" t="s">
        <v>2853</v>
      </c>
      <c r="N994" s="516" t="s">
        <v>2088</v>
      </c>
      <c r="O994" s="517">
        <v>44390</v>
      </c>
      <c r="P994" s="516" t="s">
        <v>3061</v>
      </c>
      <c r="Q994" s="516" t="s">
        <v>2829</v>
      </c>
      <c r="R994" s="518"/>
      <c r="S994" s="522" t="e">
        <f>Table13723[[#This Row],[DATE  CLOSED]]-Table13723[[#This Row],[INITIATION DATE]]</f>
        <v>#VALUE!</v>
      </c>
    </row>
    <row r="995" spans="1:19" ht="140.25" x14ac:dyDescent="0.2">
      <c r="A995" s="520" t="s">
        <v>6301</v>
      </c>
      <c r="B995" s="508">
        <v>44372</v>
      </c>
      <c r="C995" s="509" t="s">
        <v>6303</v>
      </c>
      <c r="D995" s="509" t="s">
        <v>6302</v>
      </c>
      <c r="E995" s="510" t="s">
        <v>2971</v>
      </c>
      <c r="F995" s="510">
        <v>1</v>
      </c>
      <c r="G995" s="510" t="s">
        <v>2841</v>
      </c>
      <c r="H995" s="510" t="s">
        <v>229</v>
      </c>
      <c r="I995" s="510" t="s">
        <v>4261</v>
      </c>
      <c r="J995" s="508">
        <v>44377</v>
      </c>
      <c r="K995" s="508"/>
      <c r="L995" s="508"/>
      <c r="M995" s="510" t="s">
        <v>2853</v>
      </c>
      <c r="N995" s="510"/>
      <c r="O995" s="511">
        <v>44377</v>
      </c>
      <c r="P995" s="510" t="s">
        <v>4224</v>
      </c>
      <c r="Q995" s="510" t="s">
        <v>4987</v>
      </c>
      <c r="R995" s="512"/>
      <c r="S995" s="523" t="e">
        <f>Table13723[[#This Row],[DATE  CLOSED]]-Table13723[[#This Row],[INITIATION DATE]]</f>
        <v>#VALUE!</v>
      </c>
    </row>
    <row r="996" spans="1:19" ht="191.25" x14ac:dyDescent="0.2">
      <c r="A996" s="521" t="s">
        <v>6304</v>
      </c>
      <c r="B996" s="514">
        <v>44372</v>
      </c>
      <c r="C996" s="341" t="s">
        <v>6305</v>
      </c>
      <c r="D996" s="341" t="s">
        <v>6288</v>
      </c>
      <c r="E996" s="342" t="s">
        <v>2971</v>
      </c>
      <c r="F996" s="516">
        <v>1</v>
      </c>
      <c r="G996" s="516" t="s">
        <v>2841</v>
      </c>
      <c r="H996" s="516" t="s">
        <v>4021</v>
      </c>
      <c r="I996" s="516" t="s">
        <v>229</v>
      </c>
      <c r="J996" s="514">
        <v>44408</v>
      </c>
      <c r="K996" s="514"/>
      <c r="L996" s="514"/>
      <c r="M996" s="342" t="s">
        <v>2853</v>
      </c>
      <c r="N996" s="516" t="s">
        <v>2088</v>
      </c>
      <c r="O996" s="517">
        <v>44405</v>
      </c>
      <c r="P996" s="516" t="s">
        <v>3061</v>
      </c>
      <c r="Q996" s="516" t="s">
        <v>2829</v>
      </c>
      <c r="R996" s="518"/>
      <c r="S996" s="522" t="e">
        <f>Table13723[[#This Row],[DATE  CLOSED]]-Table13723[[#This Row],[INITIATION DATE]]</f>
        <v>#VALUE!</v>
      </c>
    </row>
    <row r="997" spans="1:19" ht="51" x14ac:dyDescent="0.2">
      <c r="A997" s="520" t="s">
        <v>6307</v>
      </c>
      <c r="B997" s="508">
        <v>44375</v>
      </c>
      <c r="C997" s="509" t="s">
        <v>6309</v>
      </c>
      <c r="D997" s="509" t="s">
        <v>6308</v>
      </c>
      <c r="E997" s="510" t="s">
        <v>5746</v>
      </c>
      <c r="F997" s="510">
        <v>1</v>
      </c>
      <c r="G997" s="510" t="s">
        <v>2828</v>
      </c>
      <c r="H997" s="510" t="s">
        <v>4079</v>
      </c>
      <c r="I997" s="510" t="s">
        <v>3211</v>
      </c>
      <c r="J997" s="508">
        <v>44408</v>
      </c>
      <c r="K997" s="508"/>
      <c r="L997" s="508"/>
      <c r="M997" s="510" t="s">
        <v>2847</v>
      </c>
      <c r="N997" s="510"/>
      <c r="O997" s="511"/>
      <c r="P997" s="510"/>
      <c r="Q997" s="510"/>
      <c r="R997" s="512"/>
      <c r="S997" s="523" t="e">
        <f>Table13723[[#This Row],[DATE  CLOSED]]-Table13723[[#This Row],[INITIATION DATE]]</f>
        <v>#VALUE!</v>
      </c>
    </row>
    <row r="998" spans="1:19" ht="51" x14ac:dyDescent="0.2">
      <c r="A998" s="521" t="s">
        <v>6310</v>
      </c>
      <c r="B998" s="514">
        <v>44376</v>
      </c>
      <c r="C998" s="515" t="s">
        <v>6311</v>
      </c>
      <c r="D998" s="515" t="s">
        <v>6312</v>
      </c>
      <c r="E998" s="516" t="s">
        <v>5845</v>
      </c>
      <c r="F998" s="516">
        <v>1</v>
      </c>
      <c r="G998" s="516" t="s">
        <v>2828</v>
      </c>
      <c r="H998" s="516" t="s">
        <v>6313</v>
      </c>
      <c r="I998" s="516" t="s">
        <v>3211</v>
      </c>
      <c r="J998" s="514">
        <v>44408</v>
      </c>
      <c r="K998" s="514" t="s">
        <v>2088</v>
      </c>
      <c r="L998" s="514" t="s">
        <v>2088</v>
      </c>
      <c r="M998" s="516" t="s">
        <v>2853</v>
      </c>
      <c r="N998" s="516" t="s">
        <v>2088</v>
      </c>
      <c r="O998" s="517">
        <v>44406</v>
      </c>
      <c r="P998" s="516" t="s">
        <v>3061</v>
      </c>
      <c r="Q998" s="516" t="s">
        <v>2829</v>
      </c>
      <c r="R998" s="518" t="s">
        <v>5080</v>
      </c>
      <c r="S998" s="522" t="e">
        <f>Table13723[[#This Row],[DATE  CLOSED]]-Table13723[[#This Row],[INITIATION DATE]]</f>
        <v>#VALUE!</v>
      </c>
    </row>
    <row r="999" spans="1:19" ht="216.75" x14ac:dyDescent="0.2">
      <c r="A999" s="520" t="s">
        <v>6314</v>
      </c>
      <c r="B999" s="508">
        <v>44378</v>
      </c>
      <c r="C999" s="441" t="s">
        <v>6316</v>
      </c>
      <c r="D999" s="509" t="s">
        <v>6315</v>
      </c>
      <c r="E999" s="510" t="s">
        <v>4256</v>
      </c>
      <c r="F999" s="510">
        <v>1</v>
      </c>
      <c r="G999" s="510" t="s">
        <v>2828</v>
      </c>
      <c r="H999" s="510" t="s">
        <v>4232</v>
      </c>
      <c r="I999" s="510" t="s">
        <v>3211</v>
      </c>
      <c r="J999" s="508">
        <v>44408</v>
      </c>
      <c r="K999" s="508" t="s">
        <v>2088</v>
      </c>
      <c r="L999" s="508" t="s">
        <v>2088</v>
      </c>
      <c r="M999" s="344" t="s">
        <v>2853</v>
      </c>
      <c r="N999" s="510" t="s">
        <v>2088</v>
      </c>
      <c r="O999" s="511">
        <v>44408</v>
      </c>
      <c r="P999" s="510" t="s">
        <v>4224</v>
      </c>
      <c r="Q999" s="510" t="s">
        <v>4987</v>
      </c>
      <c r="R999" s="512" t="s">
        <v>5080</v>
      </c>
      <c r="S999" s="523" t="e">
        <f>Table13723[[#This Row],[DATE  CLOSED]]-Table13723[[#This Row],[INITIATION DATE]]</f>
        <v>#VALUE!</v>
      </c>
    </row>
    <row r="1000" spans="1:19" ht="51" x14ac:dyDescent="0.2">
      <c r="A1000" s="521" t="s">
        <v>6319</v>
      </c>
      <c r="B1000" s="514">
        <v>44378</v>
      </c>
      <c r="C1000" s="515" t="s">
        <v>6317</v>
      </c>
      <c r="D1000" s="515" t="s">
        <v>6318</v>
      </c>
      <c r="E1000" s="516" t="s">
        <v>3532</v>
      </c>
      <c r="F1000" s="516">
        <v>1</v>
      </c>
      <c r="G1000" s="516" t="s">
        <v>2828</v>
      </c>
      <c r="H1000" s="516" t="s">
        <v>3423</v>
      </c>
      <c r="I1000" s="516" t="s">
        <v>3211</v>
      </c>
      <c r="J1000" s="514">
        <v>44439</v>
      </c>
      <c r="K1000" s="514" t="s">
        <v>2088</v>
      </c>
      <c r="L1000" s="514" t="s">
        <v>2088</v>
      </c>
      <c r="M1000" s="516" t="s">
        <v>2853</v>
      </c>
      <c r="N1000" s="516" t="s">
        <v>2088</v>
      </c>
      <c r="O1000" s="517">
        <v>44379</v>
      </c>
      <c r="P1000" s="516" t="s">
        <v>4224</v>
      </c>
      <c r="Q1000" s="516" t="s">
        <v>4987</v>
      </c>
      <c r="R1000" s="518" t="s">
        <v>5080</v>
      </c>
      <c r="S1000" s="522" t="e">
        <f>Table13723[[#This Row],[DATE  CLOSED]]-Table13723[[#This Row],[INITIATION DATE]]</f>
        <v>#VALUE!</v>
      </c>
    </row>
    <row r="1001" spans="1:19" ht="153" x14ac:dyDescent="0.2">
      <c r="A1001" s="520" t="s">
        <v>6320</v>
      </c>
      <c r="B1001" s="508">
        <v>44379</v>
      </c>
      <c r="C1001" s="509" t="s">
        <v>6322</v>
      </c>
      <c r="D1001" s="509" t="s">
        <v>6321</v>
      </c>
      <c r="E1001" s="510" t="s">
        <v>2971</v>
      </c>
      <c r="F1001" s="510">
        <v>1</v>
      </c>
      <c r="G1001" s="510" t="s">
        <v>2841</v>
      </c>
      <c r="H1001" s="510" t="s">
        <v>229</v>
      </c>
      <c r="I1001" s="510" t="s">
        <v>4261</v>
      </c>
      <c r="J1001" s="508">
        <v>44408</v>
      </c>
      <c r="K1001" s="508"/>
      <c r="L1001" s="508"/>
      <c r="M1001" s="510" t="s">
        <v>2853</v>
      </c>
      <c r="N1001" s="510"/>
      <c r="O1001" s="511">
        <v>44383</v>
      </c>
      <c r="P1001" s="510" t="s">
        <v>4224</v>
      </c>
      <c r="Q1001" s="510" t="s">
        <v>4987</v>
      </c>
      <c r="R1001" s="512"/>
      <c r="S1001" s="523" t="e">
        <f>Table13723[[#This Row],[DATE  CLOSED]]-Table13723[[#This Row],[INITIATION DATE]]</f>
        <v>#VALUE!</v>
      </c>
    </row>
    <row r="1002" spans="1:19" ht="51" x14ac:dyDescent="0.2">
      <c r="A1002" s="521" t="s">
        <v>6323</v>
      </c>
      <c r="B1002" s="514">
        <v>44386</v>
      </c>
      <c r="C1002" s="515" t="s">
        <v>6325</v>
      </c>
      <c r="D1002" s="515" t="s">
        <v>6324</v>
      </c>
      <c r="E1002" s="516" t="s">
        <v>4033</v>
      </c>
      <c r="F1002" s="516">
        <v>1</v>
      </c>
      <c r="G1002" s="516" t="s">
        <v>2828</v>
      </c>
      <c r="H1002" s="516" t="s">
        <v>4232</v>
      </c>
      <c r="I1002" s="516" t="s">
        <v>3211</v>
      </c>
      <c r="J1002" s="514">
        <v>44439</v>
      </c>
      <c r="K1002" s="514" t="s">
        <v>2088</v>
      </c>
      <c r="L1002" s="514" t="s">
        <v>2088</v>
      </c>
      <c r="M1002" s="516" t="s">
        <v>2853</v>
      </c>
      <c r="N1002" s="516" t="s">
        <v>3022</v>
      </c>
      <c r="O1002" s="517">
        <v>44455</v>
      </c>
      <c r="P1002" s="516" t="s">
        <v>3022</v>
      </c>
      <c r="Q1002" s="516" t="s">
        <v>2832</v>
      </c>
      <c r="R1002" s="518" t="s">
        <v>5080</v>
      </c>
      <c r="S1002" s="522" t="e">
        <f>Table13723[[#This Row],[DATE  CLOSED]]-Table13723[[#This Row],[INITIATION DATE]]</f>
        <v>#VALUE!</v>
      </c>
    </row>
    <row r="1003" spans="1:19" ht="140.25" x14ac:dyDescent="0.2">
      <c r="A1003" s="520" t="s">
        <v>6326</v>
      </c>
      <c r="B1003" s="508">
        <v>44391</v>
      </c>
      <c r="C1003" s="509" t="s">
        <v>6329</v>
      </c>
      <c r="D1003" s="509" t="s">
        <v>6327</v>
      </c>
      <c r="E1003" s="510" t="s">
        <v>6328</v>
      </c>
      <c r="F1003" s="510">
        <v>1</v>
      </c>
      <c r="G1003" s="510" t="s">
        <v>2840</v>
      </c>
      <c r="H1003" s="510" t="s">
        <v>229</v>
      </c>
      <c r="I1003" s="510" t="s">
        <v>4261</v>
      </c>
      <c r="J1003" s="508">
        <v>44408</v>
      </c>
      <c r="K1003" s="508"/>
      <c r="L1003" s="508"/>
      <c r="M1003" s="510" t="s">
        <v>2853</v>
      </c>
      <c r="N1003" s="510"/>
      <c r="O1003" s="511">
        <v>44392</v>
      </c>
      <c r="P1003" s="510" t="s">
        <v>4224</v>
      </c>
      <c r="Q1003" s="510" t="s">
        <v>4987</v>
      </c>
      <c r="R1003" s="512"/>
      <c r="S1003" s="523" t="e">
        <f>Table13723[[#This Row],[DATE  CLOSED]]-Table13723[[#This Row],[INITIATION DATE]]</f>
        <v>#VALUE!</v>
      </c>
    </row>
    <row r="1004" spans="1:19" ht="76.5" x14ac:dyDescent="0.2">
      <c r="A1004" s="340" t="s">
        <v>6330</v>
      </c>
      <c r="B1004" s="514">
        <v>44391</v>
      </c>
      <c r="C1004" s="341" t="s">
        <v>6331</v>
      </c>
      <c r="D1004" s="341" t="s">
        <v>6279</v>
      </c>
      <c r="E1004" s="342" t="s">
        <v>6328</v>
      </c>
      <c r="F1004" s="516">
        <v>1</v>
      </c>
      <c r="G1004" s="342" t="s">
        <v>2838</v>
      </c>
      <c r="H1004" s="342" t="s">
        <v>4079</v>
      </c>
      <c r="I1004" s="342" t="s">
        <v>6188</v>
      </c>
      <c r="J1004" s="514">
        <v>44408</v>
      </c>
      <c r="K1004" s="514"/>
      <c r="L1004" s="514"/>
      <c r="M1004" s="342" t="s">
        <v>2847</v>
      </c>
      <c r="N1004" s="516"/>
      <c r="O1004" s="517"/>
      <c r="P1004" s="516"/>
      <c r="Q1004" s="516"/>
      <c r="R1004" s="518"/>
      <c r="S1004" s="522" t="e">
        <f>Table13723[[#This Row],[DATE  CLOSED]]-Table13723[[#This Row],[INITIATION DATE]]</f>
        <v>#VALUE!</v>
      </c>
    </row>
    <row r="1005" spans="1:19" ht="51" x14ac:dyDescent="0.2">
      <c r="A1005" s="520" t="s">
        <v>6332</v>
      </c>
      <c r="B1005" s="508">
        <v>44393</v>
      </c>
      <c r="C1005" s="509" t="s">
        <v>6333</v>
      </c>
      <c r="D1005" s="509" t="s">
        <v>3039</v>
      </c>
      <c r="E1005" s="510" t="s">
        <v>6328</v>
      </c>
      <c r="F1005" s="510">
        <v>1</v>
      </c>
      <c r="G1005" s="510" t="s">
        <v>2841</v>
      </c>
      <c r="H1005" s="510" t="s">
        <v>3842</v>
      </c>
      <c r="I1005" s="510" t="s">
        <v>3211</v>
      </c>
      <c r="J1005" s="508">
        <v>44408</v>
      </c>
      <c r="K1005" s="508"/>
      <c r="L1005" s="508"/>
      <c r="M1005" s="510" t="s">
        <v>2847</v>
      </c>
      <c r="N1005" s="510"/>
      <c r="O1005" s="511"/>
      <c r="P1005" s="510"/>
      <c r="Q1005" s="510"/>
      <c r="R1005" s="512"/>
      <c r="S1005" s="523" t="e">
        <f>Table13723[[#This Row],[DATE  CLOSED]]-Table13723[[#This Row],[INITIATION DATE]]</f>
        <v>#VALUE!</v>
      </c>
    </row>
    <row r="1006" spans="1:19" ht="51" x14ac:dyDescent="0.2">
      <c r="A1006" s="521" t="s">
        <v>6334</v>
      </c>
      <c r="B1006" s="514">
        <v>44393</v>
      </c>
      <c r="C1006" s="515" t="s">
        <v>6335</v>
      </c>
      <c r="D1006" s="515" t="s">
        <v>6336</v>
      </c>
      <c r="E1006" s="516" t="s">
        <v>5126</v>
      </c>
      <c r="F1006" s="516">
        <v>1</v>
      </c>
      <c r="G1006" s="516" t="s">
        <v>2828</v>
      </c>
      <c r="H1006" s="516" t="s">
        <v>3423</v>
      </c>
      <c r="I1006" s="516" t="s">
        <v>3211</v>
      </c>
      <c r="J1006" s="514">
        <v>44469</v>
      </c>
      <c r="K1006" s="514"/>
      <c r="L1006" s="514"/>
      <c r="M1006" s="516" t="s">
        <v>2847</v>
      </c>
      <c r="N1006" s="516"/>
      <c r="O1006" s="517"/>
      <c r="P1006" s="516"/>
      <c r="Q1006" s="516"/>
      <c r="R1006" s="518"/>
      <c r="S1006" s="522" t="e">
        <f>Table13723[[#This Row],[DATE  CLOSED]]-Table13723[[#This Row],[INITIATION DATE]]</f>
        <v>#VALUE!</v>
      </c>
    </row>
    <row r="1007" spans="1:19" ht="191.25" x14ac:dyDescent="0.2">
      <c r="A1007" s="520" t="s">
        <v>6337</v>
      </c>
      <c r="B1007" s="508">
        <v>44398</v>
      </c>
      <c r="C1007" s="509" t="s">
        <v>6339</v>
      </c>
      <c r="D1007" s="509" t="s">
        <v>6338</v>
      </c>
      <c r="E1007" s="510" t="s">
        <v>6328</v>
      </c>
      <c r="F1007" s="510">
        <v>1</v>
      </c>
      <c r="G1007" s="510" t="s">
        <v>2841</v>
      </c>
      <c r="H1007" s="510" t="s">
        <v>229</v>
      </c>
      <c r="I1007" s="510" t="s">
        <v>4261</v>
      </c>
      <c r="J1007" s="508">
        <v>44408</v>
      </c>
      <c r="K1007" s="508"/>
      <c r="L1007" s="508"/>
      <c r="M1007" s="344" t="s">
        <v>2853</v>
      </c>
      <c r="N1007" s="510"/>
      <c r="O1007" s="511">
        <v>44400</v>
      </c>
      <c r="P1007" s="344" t="s">
        <v>4224</v>
      </c>
      <c r="Q1007" s="344" t="s">
        <v>4987</v>
      </c>
      <c r="R1007" s="512"/>
      <c r="S1007" s="523" t="e">
        <f>Table13723[[#This Row],[DATE  CLOSED]]-Table13723[[#This Row],[INITIATION DATE]]</f>
        <v>#VALUE!</v>
      </c>
    </row>
    <row r="1008" spans="1:19" ht="127.5" x14ac:dyDescent="0.2">
      <c r="A1008" s="521" t="s">
        <v>6340</v>
      </c>
      <c r="B1008" s="514">
        <v>44399</v>
      </c>
      <c r="C1008" s="341" t="s">
        <v>6341</v>
      </c>
      <c r="D1008" s="341" t="s">
        <v>6342</v>
      </c>
      <c r="E1008" s="342" t="s">
        <v>5762</v>
      </c>
      <c r="F1008" s="516">
        <v>1</v>
      </c>
      <c r="G1008" s="342" t="s">
        <v>2828</v>
      </c>
      <c r="H1008" s="342" t="s">
        <v>4079</v>
      </c>
      <c r="I1008" s="342" t="s">
        <v>6188</v>
      </c>
      <c r="J1008" s="514">
        <v>44408</v>
      </c>
      <c r="K1008" s="514" t="s">
        <v>2088</v>
      </c>
      <c r="L1008" s="514" t="s">
        <v>2088</v>
      </c>
      <c r="M1008" s="516" t="s">
        <v>2853</v>
      </c>
      <c r="N1008" s="516" t="s">
        <v>3022</v>
      </c>
      <c r="O1008" s="517">
        <v>44432</v>
      </c>
      <c r="P1008" s="516" t="s">
        <v>3022</v>
      </c>
      <c r="Q1008" s="516" t="s">
        <v>2832</v>
      </c>
      <c r="R1008" s="518" t="s">
        <v>2088</v>
      </c>
      <c r="S1008" s="522" t="e">
        <f>Table13723[[#This Row],[DATE  CLOSED]]-Table13723[[#This Row],[INITIATION DATE]]</f>
        <v>#VALUE!</v>
      </c>
    </row>
    <row r="1009" spans="1:19" ht="51" x14ac:dyDescent="0.2">
      <c r="A1009" s="520" t="s">
        <v>6343</v>
      </c>
      <c r="B1009" s="508">
        <v>44399</v>
      </c>
      <c r="C1009" s="509" t="s">
        <v>6344</v>
      </c>
      <c r="D1009" s="509" t="s">
        <v>6345</v>
      </c>
      <c r="E1009" s="510" t="s">
        <v>4610</v>
      </c>
      <c r="F1009" s="510">
        <v>1</v>
      </c>
      <c r="G1009" s="510" t="s">
        <v>2828</v>
      </c>
      <c r="H1009" s="510" t="s">
        <v>4021</v>
      </c>
      <c r="I1009" s="510" t="s">
        <v>3211</v>
      </c>
      <c r="J1009" s="508">
        <v>44469</v>
      </c>
      <c r="K1009" s="508" t="s">
        <v>2088</v>
      </c>
      <c r="L1009" s="508" t="s">
        <v>2088</v>
      </c>
      <c r="M1009" s="510" t="s">
        <v>2853</v>
      </c>
      <c r="N1009" s="510" t="s">
        <v>2088</v>
      </c>
      <c r="O1009" s="511">
        <v>44413</v>
      </c>
      <c r="P1009" s="510" t="s">
        <v>4224</v>
      </c>
      <c r="Q1009" s="510" t="s">
        <v>4987</v>
      </c>
      <c r="R1009" s="512" t="s">
        <v>5080</v>
      </c>
      <c r="S1009" s="523" t="e">
        <f>Table13723[[#This Row],[DATE  CLOSED]]-Table13723[[#This Row],[INITIATION DATE]]</f>
        <v>#VALUE!</v>
      </c>
    </row>
    <row r="1010" spans="1:19" ht="51" x14ac:dyDescent="0.2">
      <c r="A1010" s="521" t="s">
        <v>6346</v>
      </c>
      <c r="B1010" s="514">
        <v>44400</v>
      </c>
      <c r="C1010" s="515" t="s">
        <v>6347</v>
      </c>
      <c r="D1010" s="515" t="s">
        <v>6348</v>
      </c>
      <c r="E1010" s="516" t="s">
        <v>4256</v>
      </c>
      <c r="F1010" s="516">
        <v>1</v>
      </c>
      <c r="G1010" s="516" t="s">
        <v>2828</v>
      </c>
      <c r="H1010" s="516" t="s">
        <v>3423</v>
      </c>
      <c r="I1010" s="516" t="s">
        <v>3211</v>
      </c>
      <c r="J1010" s="514">
        <v>44408</v>
      </c>
      <c r="K1010" s="514"/>
      <c r="L1010" s="514"/>
      <c r="M1010" s="516" t="s">
        <v>2847</v>
      </c>
      <c r="N1010" s="516"/>
      <c r="O1010" s="517"/>
      <c r="P1010" s="516"/>
      <c r="Q1010" s="516"/>
      <c r="R1010" s="518"/>
      <c r="S1010" s="522" t="e">
        <f>Table13723[[#This Row],[DATE  CLOSED]]-Table13723[[#This Row],[INITIATION DATE]]</f>
        <v>#VALUE!</v>
      </c>
    </row>
    <row r="1011" spans="1:19" ht="127.5" x14ac:dyDescent="0.2">
      <c r="A1011" s="520" t="s">
        <v>6349</v>
      </c>
      <c r="B1011" s="508">
        <v>44403</v>
      </c>
      <c r="C1011" s="509" t="s">
        <v>6351</v>
      </c>
      <c r="D1011" s="509" t="s">
        <v>6350</v>
      </c>
      <c r="E1011" s="510" t="s">
        <v>6328</v>
      </c>
      <c r="F1011" s="510">
        <v>1</v>
      </c>
      <c r="G1011" s="510" t="s">
        <v>2840</v>
      </c>
      <c r="H1011" s="510" t="s">
        <v>1865</v>
      </c>
      <c r="I1011" s="510" t="s">
        <v>229</v>
      </c>
      <c r="J1011" s="508">
        <v>44408</v>
      </c>
      <c r="K1011" s="508"/>
      <c r="L1011" s="508"/>
      <c r="M1011" s="510" t="s">
        <v>2853</v>
      </c>
      <c r="N1011" s="510" t="s">
        <v>2088</v>
      </c>
      <c r="O1011" s="511">
        <v>44403</v>
      </c>
      <c r="P1011" s="510" t="s">
        <v>3061</v>
      </c>
      <c r="Q1011" s="510" t="s">
        <v>2829</v>
      </c>
      <c r="R1011" s="512"/>
      <c r="S1011" s="523" t="e">
        <f>Table13723[[#This Row],[DATE  CLOSED]]-Table13723[[#This Row],[INITIATION DATE]]</f>
        <v>#VALUE!</v>
      </c>
    </row>
    <row r="1012" spans="1:19" ht="191.25" x14ac:dyDescent="0.2">
      <c r="A1012" s="521" t="s">
        <v>6352</v>
      </c>
      <c r="B1012" s="514">
        <v>44403</v>
      </c>
      <c r="C1012" s="515" t="s">
        <v>6353</v>
      </c>
      <c r="D1012" s="515" t="s">
        <v>4517</v>
      </c>
      <c r="E1012" s="516" t="s">
        <v>6328</v>
      </c>
      <c r="F1012" s="516">
        <v>1</v>
      </c>
      <c r="G1012" s="516" t="s">
        <v>2836</v>
      </c>
      <c r="H1012" s="516" t="s">
        <v>4796</v>
      </c>
      <c r="I1012" s="516" t="s">
        <v>229</v>
      </c>
      <c r="J1012" s="514">
        <v>44439</v>
      </c>
      <c r="K1012" s="514"/>
      <c r="L1012" s="514"/>
      <c r="M1012" s="516" t="s">
        <v>2853</v>
      </c>
      <c r="N1012" s="516" t="s">
        <v>2088</v>
      </c>
      <c r="O1012" s="517">
        <v>44418</v>
      </c>
      <c r="P1012" s="516" t="s">
        <v>3061</v>
      </c>
      <c r="Q1012" s="516" t="s">
        <v>2829</v>
      </c>
      <c r="R1012" s="518"/>
      <c r="S1012" s="522" t="e">
        <f>Table13723[[#This Row],[DATE  CLOSED]]-Table13723[[#This Row],[INITIATION DATE]]</f>
        <v>#VALUE!</v>
      </c>
    </row>
    <row r="1013" spans="1:19" ht="51" x14ac:dyDescent="0.2">
      <c r="A1013" s="520" t="s">
        <v>6354</v>
      </c>
      <c r="B1013" s="508">
        <v>44404</v>
      </c>
      <c r="C1013" s="509" t="s">
        <v>6355</v>
      </c>
      <c r="D1013" s="343" t="s">
        <v>6356</v>
      </c>
      <c r="E1013" s="510" t="s">
        <v>3927</v>
      </c>
      <c r="F1013" s="510">
        <v>1</v>
      </c>
      <c r="G1013" s="510" t="s">
        <v>2828</v>
      </c>
      <c r="H1013" s="510" t="s">
        <v>3423</v>
      </c>
      <c r="I1013" s="510" t="s">
        <v>3211</v>
      </c>
      <c r="J1013" s="508">
        <v>44439</v>
      </c>
      <c r="K1013" s="508"/>
      <c r="L1013" s="508"/>
      <c r="M1013" s="510" t="s">
        <v>2847</v>
      </c>
      <c r="N1013" s="510"/>
      <c r="O1013" s="511"/>
      <c r="P1013" s="510"/>
      <c r="Q1013" s="510"/>
      <c r="R1013" s="512"/>
      <c r="S1013" s="523" t="e">
        <f>Table13723[[#This Row],[DATE  CLOSED]]-Table13723[[#This Row],[INITIATION DATE]]</f>
        <v>#VALUE!</v>
      </c>
    </row>
    <row r="1014" spans="1:19" ht="51" x14ac:dyDescent="0.2">
      <c r="A1014" s="340" t="s">
        <v>6357</v>
      </c>
      <c r="B1014" s="514">
        <v>44405</v>
      </c>
      <c r="C1014" s="341" t="s">
        <v>6358</v>
      </c>
      <c r="D1014" s="341" t="s">
        <v>6356</v>
      </c>
      <c r="E1014" s="342" t="s">
        <v>3927</v>
      </c>
      <c r="F1014" s="516">
        <v>1</v>
      </c>
      <c r="G1014" s="342" t="s">
        <v>2828</v>
      </c>
      <c r="H1014" s="342" t="s">
        <v>3423</v>
      </c>
      <c r="I1014" s="342" t="s">
        <v>3211</v>
      </c>
      <c r="J1014" s="514">
        <v>44439</v>
      </c>
      <c r="K1014" s="514"/>
      <c r="L1014" s="514"/>
      <c r="M1014" s="516" t="s">
        <v>2847</v>
      </c>
      <c r="N1014" s="516"/>
      <c r="O1014" s="517"/>
      <c r="P1014" s="516"/>
      <c r="Q1014" s="516"/>
      <c r="R1014" s="518"/>
      <c r="S1014" s="522" t="e">
        <f>Table13723[[#This Row],[DATE  CLOSED]]-Table13723[[#This Row],[INITIATION DATE]]</f>
        <v>#VALUE!</v>
      </c>
    </row>
    <row r="1015" spans="1:19" ht="51" x14ac:dyDescent="0.2">
      <c r="A1015" s="520" t="s">
        <v>6359</v>
      </c>
      <c r="B1015" s="508">
        <v>44410</v>
      </c>
      <c r="C1015" s="509" t="s">
        <v>6360</v>
      </c>
      <c r="D1015" s="509" t="s">
        <v>6361</v>
      </c>
      <c r="E1015" s="510" t="s">
        <v>5743</v>
      </c>
      <c r="F1015" s="510">
        <v>1</v>
      </c>
      <c r="G1015" s="510" t="s">
        <v>2828</v>
      </c>
      <c r="H1015" s="510" t="s">
        <v>4079</v>
      </c>
      <c r="I1015" s="510" t="s">
        <v>3211</v>
      </c>
      <c r="J1015" s="508">
        <v>44469</v>
      </c>
      <c r="K1015" s="508"/>
      <c r="L1015" s="508"/>
      <c r="M1015" s="510" t="s">
        <v>2847</v>
      </c>
      <c r="N1015" s="510"/>
      <c r="O1015" s="511"/>
      <c r="P1015" s="510"/>
      <c r="Q1015" s="510"/>
      <c r="R1015" s="512"/>
      <c r="S1015" s="523" t="e">
        <f>Table13723[[#This Row],[DATE  CLOSED]]-Table13723[[#This Row],[INITIATION DATE]]</f>
        <v>#VALUE!</v>
      </c>
    </row>
    <row r="1016" spans="1:19" ht="76.5" x14ac:dyDescent="0.2">
      <c r="A1016" s="521" t="s">
        <v>6362</v>
      </c>
      <c r="B1016" s="514">
        <v>44411</v>
      </c>
      <c r="C1016" s="515" t="s">
        <v>6364</v>
      </c>
      <c r="D1016" s="515" t="s">
        <v>6363</v>
      </c>
      <c r="E1016" s="516" t="s">
        <v>4033</v>
      </c>
      <c r="F1016" s="516">
        <v>1</v>
      </c>
      <c r="G1016" s="516" t="s">
        <v>2828</v>
      </c>
      <c r="H1016" s="516" t="s">
        <v>4021</v>
      </c>
      <c r="I1016" s="516" t="s">
        <v>3211</v>
      </c>
      <c r="J1016" s="514">
        <v>44469</v>
      </c>
      <c r="K1016" s="514" t="s">
        <v>2088</v>
      </c>
      <c r="L1016" s="514" t="s">
        <v>2088</v>
      </c>
      <c r="M1016" s="516" t="s">
        <v>2853</v>
      </c>
      <c r="N1016" s="516" t="s">
        <v>2088</v>
      </c>
      <c r="O1016" s="517">
        <v>44412</v>
      </c>
      <c r="P1016" s="516" t="s">
        <v>3061</v>
      </c>
      <c r="Q1016" s="516" t="s">
        <v>2829</v>
      </c>
      <c r="R1016" s="518" t="s">
        <v>5080</v>
      </c>
      <c r="S1016" s="522" t="e">
        <f>Table13723[[#This Row],[DATE  CLOSED]]-Table13723[[#This Row],[INITIATION DATE]]</f>
        <v>#VALUE!</v>
      </c>
    </row>
    <row r="1017" spans="1:19" ht="102" x14ac:dyDescent="0.2">
      <c r="A1017" s="338" t="s">
        <v>6365</v>
      </c>
      <c r="B1017" s="508">
        <v>44411</v>
      </c>
      <c r="C1017" s="343" t="s">
        <v>6366</v>
      </c>
      <c r="D1017" s="343" t="s">
        <v>6367</v>
      </c>
      <c r="E1017" s="344" t="s">
        <v>6328</v>
      </c>
      <c r="F1017" s="510">
        <v>1</v>
      </c>
      <c r="G1017" s="344" t="s">
        <v>2838</v>
      </c>
      <c r="H1017" s="344" t="s">
        <v>685</v>
      </c>
      <c r="I1017" s="344" t="s">
        <v>4261</v>
      </c>
      <c r="J1017" s="508">
        <v>44439</v>
      </c>
      <c r="K1017" s="508"/>
      <c r="L1017" s="508"/>
      <c r="M1017" s="344" t="s">
        <v>2853</v>
      </c>
      <c r="N1017" s="510"/>
      <c r="O1017" s="511">
        <v>44411</v>
      </c>
      <c r="P1017" s="344" t="s">
        <v>3061</v>
      </c>
      <c r="Q1017" s="344" t="s">
        <v>4987</v>
      </c>
      <c r="R1017" s="512"/>
      <c r="S1017" s="523" t="e">
        <f>Table13723[[#This Row],[DATE  CLOSED]]-Table13723[[#This Row],[INITIATION DATE]]</f>
        <v>#VALUE!</v>
      </c>
    </row>
    <row r="1018" spans="1:19" ht="51" x14ac:dyDescent="0.2">
      <c r="A1018" s="521" t="s">
        <v>6368</v>
      </c>
      <c r="B1018" s="514">
        <v>44412</v>
      </c>
      <c r="C1018" s="515" t="s">
        <v>6369</v>
      </c>
      <c r="D1018" s="515" t="s">
        <v>6370</v>
      </c>
      <c r="E1018" s="516" t="s">
        <v>5973</v>
      </c>
      <c r="F1018" s="516">
        <v>1</v>
      </c>
      <c r="G1018" s="516" t="s">
        <v>2828</v>
      </c>
      <c r="H1018" s="516" t="s">
        <v>6215</v>
      </c>
      <c r="I1018" s="516" t="s">
        <v>3211</v>
      </c>
      <c r="J1018" s="514">
        <v>44469</v>
      </c>
      <c r="K1018" s="514" t="s">
        <v>2088</v>
      </c>
      <c r="L1018" s="514" t="s">
        <v>2088</v>
      </c>
      <c r="M1018" s="516" t="s">
        <v>2853</v>
      </c>
      <c r="N1018" s="516" t="s">
        <v>2088</v>
      </c>
      <c r="O1018" s="517">
        <v>44418</v>
      </c>
      <c r="P1018" s="516" t="s">
        <v>3061</v>
      </c>
      <c r="Q1018" s="516" t="s">
        <v>2829</v>
      </c>
      <c r="R1018" s="518" t="s">
        <v>5080</v>
      </c>
      <c r="S1018" s="522" t="e">
        <f>Table13723[[#This Row],[DATE  CLOSED]]-Table13723[[#This Row],[INITIATION DATE]]</f>
        <v>#VALUE!</v>
      </c>
    </row>
    <row r="1019" spans="1:19" ht="51" x14ac:dyDescent="0.2">
      <c r="A1019" s="520" t="s">
        <v>6371</v>
      </c>
      <c r="B1019" s="508">
        <v>44417</v>
      </c>
      <c r="C1019" s="509" t="s">
        <v>6372</v>
      </c>
      <c r="D1019" s="509" t="s">
        <v>6373</v>
      </c>
      <c r="E1019" s="510" t="s">
        <v>5845</v>
      </c>
      <c r="F1019" s="510">
        <v>1</v>
      </c>
      <c r="G1019" s="510" t="s">
        <v>2828</v>
      </c>
      <c r="H1019" s="510" t="s">
        <v>6374</v>
      </c>
      <c r="I1019" s="510" t="s">
        <v>3211</v>
      </c>
      <c r="J1019" s="508">
        <v>44500</v>
      </c>
      <c r="K1019" s="508"/>
      <c r="L1019" s="508"/>
      <c r="M1019" s="510" t="s">
        <v>2847</v>
      </c>
      <c r="N1019" s="510"/>
      <c r="O1019" s="511"/>
      <c r="P1019" s="510"/>
      <c r="Q1019" s="510"/>
      <c r="R1019" s="512"/>
      <c r="S1019" s="523" t="e">
        <f>Table13723[[#This Row],[DATE  CLOSED]]-Table13723[[#This Row],[INITIATION DATE]]</f>
        <v>#VALUE!</v>
      </c>
    </row>
    <row r="1020" spans="1:19" ht="51" x14ac:dyDescent="0.2">
      <c r="A1020" s="521" t="s">
        <v>6375</v>
      </c>
      <c r="B1020" s="514">
        <v>44417</v>
      </c>
      <c r="C1020" s="515" t="s">
        <v>6311</v>
      </c>
      <c r="D1020" s="515" t="s">
        <v>6376</v>
      </c>
      <c r="E1020" s="516" t="s">
        <v>5845</v>
      </c>
      <c r="F1020" s="516">
        <v>1</v>
      </c>
      <c r="G1020" s="516" t="s">
        <v>2828</v>
      </c>
      <c r="H1020" s="516" t="s">
        <v>6374</v>
      </c>
      <c r="I1020" s="516" t="s">
        <v>3211</v>
      </c>
      <c r="J1020" s="514">
        <v>44500</v>
      </c>
      <c r="K1020" s="514"/>
      <c r="L1020" s="514"/>
      <c r="M1020" s="516" t="s">
        <v>2847</v>
      </c>
      <c r="N1020" s="516"/>
      <c r="O1020" s="517"/>
      <c r="P1020" s="516"/>
      <c r="Q1020" s="516"/>
      <c r="R1020" s="518"/>
      <c r="S1020" s="522" t="e">
        <f>Table13723[[#This Row],[DATE  CLOSED]]-Table13723[[#This Row],[INITIATION DATE]]</f>
        <v>#VALUE!</v>
      </c>
    </row>
    <row r="1021" spans="1:19" ht="51" x14ac:dyDescent="0.2">
      <c r="A1021" s="520" t="s">
        <v>6377</v>
      </c>
      <c r="B1021" s="508">
        <v>44417</v>
      </c>
      <c r="C1021" s="509" t="s">
        <v>6380</v>
      </c>
      <c r="D1021" s="509" t="s">
        <v>6378</v>
      </c>
      <c r="E1021" s="510" t="s">
        <v>3586</v>
      </c>
      <c r="F1021" s="510">
        <v>1</v>
      </c>
      <c r="G1021" s="510" t="s">
        <v>2828</v>
      </c>
      <c r="H1021" s="510" t="s">
        <v>6374</v>
      </c>
      <c r="I1021" s="510" t="s">
        <v>3211</v>
      </c>
      <c r="J1021" s="508">
        <v>44773</v>
      </c>
      <c r="K1021" s="508" t="s">
        <v>2088</v>
      </c>
      <c r="L1021" s="508" t="s">
        <v>2088</v>
      </c>
      <c r="M1021" s="510" t="s">
        <v>2853</v>
      </c>
      <c r="N1021" s="510" t="s">
        <v>2088</v>
      </c>
      <c r="O1021" s="511">
        <v>44424</v>
      </c>
      <c r="P1021" s="510" t="s">
        <v>3061</v>
      </c>
      <c r="Q1021" s="510" t="s">
        <v>2829</v>
      </c>
      <c r="R1021" s="512" t="s">
        <v>5080</v>
      </c>
      <c r="S1021" s="523" t="e">
        <f>Table13723[[#This Row],[DATE  CLOSED]]-Table13723[[#This Row],[INITIATION DATE]]</f>
        <v>#VALUE!</v>
      </c>
    </row>
    <row r="1022" spans="1:19" ht="51" x14ac:dyDescent="0.2">
      <c r="A1022" s="521" t="s">
        <v>6379</v>
      </c>
      <c r="B1022" s="514">
        <v>44418</v>
      </c>
      <c r="C1022" s="515" t="s">
        <v>6381</v>
      </c>
      <c r="D1022" s="515" t="s">
        <v>3039</v>
      </c>
      <c r="E1022" s="516" t="s">
        <v>6328</v>
      </c>
      <c r="F1022" s="516">
        <v>1</v>
      </c>
      <c r="G1022" s="516" t="s">
        <v>2828</v>
      </c>
      <c r="H1022" s="516" t="s">
        <v>3227</v>
      </c>
      <c r="I1022" s="516" t="s">
        <v>3211</v>
      </c>
      <c r="J1022" s="514">
        <v>44439</v>
      </c>
      <c r="K1022" s="514" t="s">
        <v>2088</v>
      </c>
      <c r="L1022" s="514" t="s">
        <v>2088</v>
      </c>
      <c r="M1022" s="516" t="s">
        <v>2853</v>
      </c>
      <c r="N1022" s="516" t="s">
        <v>2088</v>
      </c>
      <c r="O1022" s="517">
        <v>44431</v>
      </c>
      <c r="P1022" s="516" t="s">
        <v>4224</v>
      </c>
      <c r="Q1022" s="516" t="s">
        <v>2829</v>
      </c>
      <c r="R1022" s="518" t="s">
        <v>5080</v>
      </c>
      <c r="S1022" s="522" t="e">
        <f>Table13723[[#This Row],[DATE  CLOSED]]-Table13723[[#This Row],[INITIATION DATE]]</f>
        <v>#VALUE!</v>
      </c>
    </row>
    <row r="1023" spans="1:19" ht="63.75" x14ac:dyDescent="0.2">
      <c r="A1023" s="520" t="s">
        <v>6382</v>
      </c>
      <c r="B1023" s="508">
        <v>44418</v>
      </c>
      <c r="C1023" s="509" t="s">
        <v>6384</v>
      </c>
      <c r="D1023" s="509" t="s">
        <v>6383</v>
      </c>
      <c r="E1023" s="510" t="s">
        <v>4033</v>
      </c>
      <c r="F1023" s="510">
        <v>1</v>
      </c>
      <c r="G1023" s="510" t="s">
        <v>2828</v>
      </c>
      <c r="H1023" s="510" t="s">
        <v>4021</v>
      </c>
      <c r="I1023" s="510" t="s">
        <v>6188</v>
      </c>
      <c r="J1023" s="508">
        <v>44439</v>
      </c>
      <c r="K1023" s="508" t="s">
        <v>1139</v>
      </c>
      <c r="L1023" s="508" t="s">
        <v>1139</v>
      </c>
      <c r="M1023" s="510" t="s">
        <v>2853</v>
      </c>
      <c r="N1023" s="510" t="s">
        <v>1139</v>
      </c>
      <c r="O1023" s="511">
        <v>44425</v>
      </c>
      <c r="P1023" s="510" t="s">
        <v>3061</v>
      </c>
      <c r="Q1023" s="510" t="s">
        <v>2829</v>
      </c>
      <c r="R1023" s="512" t="s">
        <v>5080</v>
      </c>
      <c r="S1023" s="523" t="e">
        <f>Table13723[[#This Row],[DATE  CLOSED]]-Table13723[[#This Row],[INITIATION DATE]]</f>
        <v>#VALUE!</v>
      </c>
    </row>
    <row r="1024" spans="1:19" ht="89.25" x14ac:dyDescent="0.2">
      <c r="A1024" s="521" t="s">
        <v>6385</v>
      </c>
      <c r="B1024" s="514">
        <v>44420</v>
      </c>
      <c r="C1024" s="515" t="s">
        <v>6386</v>
      </c>
      <c r="D1024" s="515" t="s">
        <v>6387</v>
      </c>
      <c r="E1024" s="516" t="s">
        <v>6328</v>
      </c>
      <c r="F1024" s="516">
        <v>1</v>
      </c>
      <c r="G1024" s="516" t="s">
        <v>2836</v>
      </c>
      <c r="H1024" s="516" t="s">
        <v>3423</v>
      </c>
      <c r="I1024" s="516" t="s">
        <v>3211</v>
      </c>
      <c r="J1024" s="514">
        <v>44469</v>
      </c>
      <c r="K1024" s="514"/>
      <c r="L1024" s="514"/>
      <c r="M1024" s="516" t="s">
        <v>2847</v>
      </c>
      <c r="N1024" s="516"/>
      <c r="O1024" s="517"/>
      <c r="P1024" s="516"/>
      <c r="Q1024" s="516"/>
      <c r="R1024" s="518"/>
      <c r="S1024" s="522" t="e">
        <f>Table13723[[#This Row],[DATE  CLOSED]]-Table13723[[#This Row],[INITIATION DATE]]</f>
        <v>#VALUE!</v>
      </c>
    </row>
    <row r="1025" spans="1:19" ht="51" x14ac:dyDescent="0.2">
      <c r="A1025" s="520" t="s">
        <v>6388</v>
      </c>
      <c r="B1025" s="508">
        <v>44421</v>
      </c>
      <c r="C1025" s="509" t="s">
        <v>6389</v>
      </c>
      <c r="D1025" s="509" t="s">
        <v>3039</v>
      </c>
      <c r="E1025" s="510" t="s">
        <v>6328</v>
      </c>
      <c r="F1025" s="510">
        <v>1</v>
      </c>
      <c r="G1025" s="510" t="s">
        <v>2841</v>
      </c>
      <c r="H1025" s="510" t="s">
        <v>3991</v>
      </c>
      <c r="I1025" s="510" t="s">
        <v>229</v>
      </c>
      <c r="J1025" s="508">
        <v>44469</v>
      </c>
      <c r="K1025" s="508"/>
      <c r="L1025" s="508"/>
      <c r="M1025" s="510" t="s">
        <v>2853</v>
      </c>
      <c r="N1025" s="510"/>
      <c r="O1025" s="511">
        <v>44462</v>
      </c>
      <c r="P1025" s="510" t="s">
        <v>3061</v>
      </c>
      <c r="Q1025" s="510" t="s">
        <v>2829</v>
      </c>
      <c r="R1025" s="512"/>
      <c r="S1025" s="523" t="e">
        <f>Table13723[[#This Row],[DATE  CLOSED]]-Table13723[[#This Row],[INITIATION DATE]]</f>
        <v>#VALUE!</v>
      </c>
    </row>
    <row r="1026" spans="1:19" ht="51" x14ac:dyDescent="0.2">
      <c r="A1026" s="521" t="s">
        <v>6390</v>
      </c>
      <c r="B1026" s="514">
        <v>44424</v>
      </c>
      <c r="C1026" s="515" t="s">
        <v>6391</v>
      </c>
      <c r="D1026" s="515" t="s">
        <v>3039</v>
      </c>
      <c r="E1026" s="516" t="s">
        <v>6328</v>
      </c>
      <c r="F1026" s="516">
        <v>1</v>
      </c>
      <c r="G1026" s="516" t="s">
        <v>2841</v>
      </c>
      <c r="H1026" s="516" t="s">
        <v>1865</v>
      </c>
      <c r="I1026" s="516" t="s">
        <v>229</v>
      </c>
      <c r="J1026" s="514">
        <v>44469</v>
      </c>
      <c r="K1026" s="514"/>
      <c r="L1026" s="514"/>
      <c r="M1026" s="516" t="s">
        <v>2847</v>
      </c>
      <c r="N1026" s="516"/>
      <c r="O1026" s="517"/>
      <c r="P1026" s="516"/>
      <c r="Q1026" s="516"/>
      <c r="R1026" s="518"/>
      <c r="S1026" s="522" t="e">
        <f>Table13723[[#This Row],[DATE  CLOSED]]-Table13723[[#This Row],[INITIATION DATE]]</f>
        <v>#VALUE!</v>
      </c>
    </row>
    <row r="1027" spans="1:19" ht="153" x14ac:dyDescent="0.2">
      <c r="A1027" s="520" t="s">
        <v>6392</v>
      </c>
      <c r="B1027" s="508">
        <v>44428</v>
      </c>
      <c r="C1027" s="509" t="s">
        <v>6393</v>
      </c>
      <c r="D1027" s="509" t="s">
        <v>3039</v>
      </c>
      <c r="E1027" s="510" t="s">
        <v>6328</v>
      </c>
      <c r="F1027" s="510">
        <v>1</v>
      </c>
      <c r="G1027" s="510" t="s">
        <v>2841</v>
      </c>
      <c r="H1027" s="510" t="s">
        <v>229</v>
      </c>
      <c r="I1027" s="510" t="s">
        <v>4261</v>
      </c>
      <c r="J1027" s="508">
        <v>44469</v>
      </c>
      <c r="K1027" s="508"/>
      <c r="L1027" s="508"/>
      <c r="M1027" s="344" t="s">
        <v>2853</v>
      </c>
      <c r="N1027" s="510"/>
      <c r="O1027" s="511">
        <v>44468</v>
      </c>
      <c r="P1027" s="344" t="s">
        <v>3061</v>
      </c>
      <c r="Q1027" s="344" t="s">
        <v>5991</v>
      </c>
      <c r="R1027" s="512"/>
      <c r="S1027" s="523" t="e">
        <f>Table13723[[#This Row],[DATE  CLOSED]]-Table13723[[#This Row],[INITIATION DATE]]</f>
        <v>#VALUE!</v>
      </c>
    </row>
    <row r="1028" spans="1:19" ht="76.5" x14ac:dyDescent="0.2">
      <c r="A1028" s="521" t="s">
        <v>6394</v>
      </c>
      <c r="B1028" s="514">
        <v>44431</v>
      </c>
      <c r="C1028" s="515" t="s">
        <v>6395</v>
      </c>
      <c r="D1028" s="515" t="s">
        <v>3039</v>
      </c>
      <c r="E1028" s="516" t="s">
        <v>6328</v>
      </c>
      <c r="F1028" s="516">
        <v>1</v>
      </c>
      <c r="G1028" s="516" t="s">
        <v>2841</v>
      </c>
      <c r="H1028" s="516" t="s">
        <v>6313</v>
      </c>
      <c r="I1028" s="516" t="s">
        <v>229</v>
      </c>
      <c r="J1028" s="514">
        <v>44469</v>
      </c>
      <c r="K1028" s="514"/>
      <c r="L1028" s="514"/>
      <c r="M1028" s="516" t="s">
        <v>2853</v>
      </c>
      <c r="N1028" s="516"/>
      <c r="O1028" s="517">
        <v>44461</v>
      </c>
      <c r="P1028" s="516" t="s">
        <v>3061</v>
      </c>
      <c r="Q1028" s="516" t="s">
        <v>2829</v>
      </c>
      <c r="R1028" s="518"/>
      <c r="S1028" s="522" t="e">
        <f>Table13723[[#This Row],[DATE  CLOSED]]-Table13723[[#This Row],[INITIATION DATE]]</f>
        <v>#VALUE!</v>
      </c>
    </row>
    <row r="1029" spans="1:19" ht="89.25" x14ac:dyDescent="0.2">
      <c r="A1029" s="520" t="s">
        <v>6396</v>
      </c>
      <c r="B1029" s="508">
        <v>44432</v>
      </c>
      <c r="C1029" s="343" t="s">
        <v>6397</v>
      </c>
      <c r="D1029" s="509" t="s">
        <v>6398</v>
      </c>
      <c r="E1029" s="510" t="s">
        <v>5746</v>
      </c>
      <c r="F1029" s="510">
        <v>1</v>
      </c>
      <c r="G1029" s="510" t="s">
        <v>2828</v>
      </c>
      <c r="H1029" s="510" t="s">
        <v>4079</v>
      </c>
      <c r="I1029" s="510" t="s">
        <v>3211</v>
      </c>
      <c r="J1029" s="508">
        <v>44469</v>
      </c>
      <c r="K1029" s="508"/>
      <c r="L1029" s="508"/>
      <c r="M1029" s="510" t="s">
        <v>2847</v>
      </c>
      <c r="N1029" s="510"/>
      <c r="O1029" s="511"/>
      <c r="P1029" s="510"/>
      <c r="Q1029" s="510"/>
      <c r="R1029" s="512"/>
      <c r="S1029" s="523" t="e">
        <f>Table13723[[#This Row],[DATE  CLOSED]]-Table13723[[#This Row],[INITIATION DATE]]</f>
        <v>#VALUE!</v>
      </c>
    </row>
    <row r="1030" spans="1:19" ht="140.25" x14ac:dyDescent="0.2">
      <c r="A1030" s="521" t="s">
        <v>6399</v>
      </c>
      <c r="B1030" s="514">
        <v>44433</v>
      </c>
      <c r="C1030" s="515" t="s">
        <v>6400</v>
      </c>
      <c r="D1030" s="341" t="s">
        <v>6407</v>
      </c>
      <c r="E1030" s="342" t="s">
        <v>6328</v>
      </c>
      <c r="F1030" s="516">
        <v>1</v>
      </c>
      <c r="G1030" s="342" t="s">
        <v>2841</v>
      </c>
      <c r="H1030" s="342" t="s">
        <v>229</v>
      </c>
      <c r="I1030" s="342" t="s">
        <v>4261</v>
      </c>
      <c r="J1030" s="514">
        <v>44439</v>
      </c>
      <c r="K1030" s="514"/>
      <c r="L1030" s="514"/>
      <c r="M1030" s="342" t="s">
        <v>2853</v>
      </c>
      <c r="N1030" s="516"/>
      <c r="O1030" s="517">
        <v>44438</v>
      </c>
      <c r="P1030" s="516" t="s">
        <v>4224</v>
      </c>
      <c r="Q1030" s="516" t="s">
        <v>4987</v>
      </c>
      <c r="R1030" s="518"/>
      <c r="S1030" s="522" t="e">
        <f>Table13723[[#This Row],[DATE  CLOSED]]-Table13723[[#This Row],[INITIATION DATE]]</f>
        <v>#VALUE!</v>
      </c>
    </row>
    <row r="1031" spans="1:19" ht="102" x14ac:dyDescent="0.2">
      <c r="A1031" s="520" t="s">
        <v>6401</v>
      </c>
      <c r="B1031" s="508">
        <v>44435</v>
      </c>
      <c r="C1031" s="509" t="s">
        <v>6402</v>
      </c>
      <c r="D1031" s="509" t="s">
        <v>6403</v>
      </c>
      <c r="E1031" s="510" t="s">
        <v>6328</v>
      </c>
      <c r="F1031" s="510">
        <v>1</v>
      </c>
      <c r="G1031" s="510" t="s">
        <v>2828</v>
      </c>
      <c r="H1031" s="510" t="s">
        <v>3645</v>
      </c>
      <c r="I1031" s="510" t="s">
        <v>229</v>
      </c>
      <c r="J1031" s="508">
        <v>44469</v>
      </c>
      <c r="K1031" s="508"/>
      <c r="L1031" s="508"/>
      <c r="M1031" s="510" t="s">
        <v>2853</v>
      </c>
      <c r="N1031" s="510"/>
      <c r="O1031" s="511">
        <v>44461</v>
      </c>
      <c r="P1031" s="510" t="s">
        <v>3061</v>
      </c>
      <c r="Q1031" s="510" t="s">
        <v>2829</v>
      </c>
      <c r="R1031" s="512"/>
      <c r="S1031" s="523" t="e">
        <f>Table13723[[#This Row],[DATE  CLOSED]]-Table13723[[#This Row],[INITIATION DATE]]</f>
        <v>#VALUE!</v>
      </c>
    </row>
    <row r="1032" spans="1:19" ht="51" x14ac:dyDescent="0.2">
      <c r="A1032" s="521" t="s">
        <v>6404</v>
      </c>
      <c r="B1032" s="514">
        <v>44438</v>
      </c>
      <c r="C1032" s="515" t="s">
        <v>6405</v>
      </c>
      <c r="D1032" s="515" t="s">
        <v>6406</v>
      </c>
      <c r="E1032" s="516" t="s">
        <v>6328</v>
      </c>
      <c r="F1032" s="516">
        <v>1</v>
      </c>
      <c r="G1032" s="516" t="s">
        <v>2828</v>
      </c>
      <c r="H1032" s="516" t="s">
        <v>3423</v>
      </c>
      <c r="I1032" s="516" t="s">
        <v>3211</v>
      </c>
      <c r="J1032" s="514">
        <v>44500</v>
      </c>
      <c r="K1032" s="514"/>
      <c r="L1032" s="514"/>
      <c r="M1032" s="516" t="s">
        <v>2847</v>
      </c>
      <c r="N1032" s="516"/>
      <c r="O1032" s="517"/>
      <c r="P1032" s="516"/>
      <c r="Q1032" s="516"/>
      <c r="R1032" s="518"/>
      <c r="S1032" s="522" t="e">
        <f>Table13723[[#This Row],[DATE  CLOSED]]-Table13723[[#This Row],[INITIATION DATE]]</f>
        <v>#VALUE!</v>
      </c>
    </row>
    <row r="1033" spans="1:19" ht="114.75" x14ac:dyDescent="0.2">
      <c r="A1033" s="520" t="s">
        <v>6408</v>
      </c>
      <c r="B1033" s="508">
        <v>44440</v>
      </c>
      <c r="C1033" s="509" t="s">
        <v>6409</v>
      </c>
      <c r="D1033" s="509" t="s">
        <v>6410</v>
      </c>
      <c r="E1033" s="510" t="s">
        <v>6328</v>
      </c>
      <c r="F1033" s="510">
        <v>1</v>
      </c>
      <c r="G1033" s="510" t="s">
        <v>2838</v>
      </c>
      <c r="H1033" s="510" t="s">
        <v>685</v>
      </c>
      <c r="I1033" s="510" t="s">
        <v>229</v>
      </c>
      <c r="J1033" s="508">
        <v>44469</v>
      </c>
      <c r="K1033" s="508"/>
      <c r="L1033" s="508"/>
      <c r="M1033" s="510" t="s">
        <v>2847</v>
      </c>
      <c r="N1033" s="510"/>
      <c r="O1033" s="511"/>
      <c r="P1033" s="510"/>
      <c r="Q1033" s="510"/>
      <c r="R1033" s="512"/>
      <c r="S1033" s="523" t="e">
        <f>Table13723[[#This Row],[DATE  CLOSED]]-Table13723[[#This Row],[INITIATION DATE]]</f>
        <v>#VALUE!</v>
      </c>
    </row>
    <row r="1034" spans="1:19" ht="51" x14ac:dyDescent="0.2">
      <c r="A1034" s="521" t="s">
        <v>6411</v>
      </c>
      <c r="B1034" s="514">
        <v>44440</v>
      </c>
      <c r="C1034" s="515" t="s">
        <v>6412</v>
      </c>
      <c r="D1034" s="515" t="s">
        <v>3039</v>
      </c>
      <c r="E1034" s="516" t="s">
        <v>6328</v>
      </c>
      <c r="F1034" s="516">
        <v>1</v>
      </c>
      <c r="G1034" s="516" t="s">
        <v>2841</v>
      </c>
      <c r="H1034" s="516" t="s">
        <v>4354</v>
      </c>
      <c r="I1034" s="516" t="s">
        <v>229</v>
      </c>
      <c r="J1034" s="514">
        <v>44469</v>
      </c>
      <c r="K1034" s="514"/>
      <c r="L1034" s="514"/>
      <c r="M1034" s="516" t="s">
        <v>2853</v>
      </c>
      <c r="N1034" s="516" t="s">
        <v>2088</v>
      </c>
      <c r="O1034" s="517">
        <v>44468</v>
      </c>
      <c r="P1034" s="516" t="s">
        <v>3061</v>
      </c>
      <c r="Q1034" s="516" t="s">
        <v>2829</v>
      </c>
      <c r="R1034" s="518"/>
      <c r="S1034" s="522" t="e">
        <f>Table13723[[#This Row],[DATE  CLOSED]]-Table13723[[#This Row],[INITIATION DATE]]</f>
        <v>#VALUE!</v>
      </c>
    </row>
    <row r="1035" spans="1:19" ht="76.5" x14ac:dyDescent="0.2">
      <c r="A1035" s="520" t="s">
        <v>6413</v>
      </c>
      <c r="B1035" s="508">
        <v>44446</v>
      </c>
      <c r="C1035" s="509" t="s">
        <v>6415</v>
      </c>
      <c r="D1035" s="509" t="s">
        <v>6414</v>
      </c>
      <c r="E1035" s="510" t="s">
        <v>6328</v>
      </c>
      <c r="F1035" s="510">
        <v>1</v>
      </c>
      <c r="G1035" s="510" t="s">
        <v>2836</v>
      </c>
      <c r="H1035" s="510" t="s">
        <v>481</v>
      </c>
      <c r="I1035" s="510" t="s">
        <v>3211</v>
      </c>
      <c r="J1035" s="508">
        <v>44469</v>
      </c>
      <c r="K1035" s="508"/>
      <c r="L1035" s="508"/>
      <c r="M1035" s="510" t="s">
        <v>2853</v>
      </c>
      <c r="N1035" s="510" t="s">
        <v>2088</v>
      </c>
      <c r="O1035" s="511">
        <v>44459</v>
      </c>
      <c r="P1035" s="510" t="s">
        <v>3061</v>
      </c>
      <c r="Q1035" s="510" t="s">
        <v>2829</v>
      </c>
      <c r="R1035" s="512"/>
      <c r="S1035" s="523" t="e">
        <f>Table13723[[#This Row],[DATE  CLOSED]]-Table13723[[#This Row],[INITIATION DATE]]</f>
        <v>#VALUE!</v>
      </c>
    </row>
    <row r="1036" spans="1:19" ht="63.75" x14ac:dyDescent="0.2">
      <c r="A1036" s="521" t="s">
        <v>6416</v>
      </c>
      <c r="B1036" s="514">
        <v>44446</v>
      </c>
      <c r="C1036" s="515" t="s">
        <v>6417</v>
      </c>
      <c r="D1036" s="515" t="s">
        <v>6418</v>
      </c>
      <c r="E1036" s="516" t="s">
        <v>5126</v>
      </c>
      <c r="F1036" s="516">
        <v>1</v>
      </c>
      <c r="G1036" s="516" t="s">
        <v>2828</v>
      </c>
      <c r="H1036" s="516" t="s">
        <v>3423</v>
      </c>
      <c r="I1036" s="516" t="s">
        <v>3211</v>
      </c>
      <c r="J1036" s="514">
        <v>44469</v>
      </c>
      <c r="K1036" s="514"/>
      <c r="L1036" s="514"/>
      <c r="M1036" s="516" t="s">
        <v>2847</v>
      </c>
      <c r="N1036" s="516"/>
      <c r="O1036" s="517"/>
      <c r="P1036" s="516"/>
      <c r="Q1036" s="516"/>
      <c r="R1036" s="518"/>
      <c r="S1036" s="522" t="e">
        <f>Table13723[[#This Row],[DATE  CLOSED]]-Table13723[[#This Row],[INITIATION DATE]]</f>
        <v>#VALUE!</v>
      </c>
    </row>
    <row r="1037" spans="1:19" ht="51" x14ac:dyDescent="0.2">
      <c r="A1037" s="520" t="s">
        <v>6419</v>
      </c>
      <c r="B1037" s="508">
        <v>44447</v>
      </c>
      <c r="C1037" s="509" t="s">
        <v>6420</v>
      </c>
      <c r="D1037" s="509" t="s">
        <v>6421</v>
      </c>
      <c r="E1037" s="510" t="s">
        <v>3586</v>
      </c>
      <c r="F1037" s="510">
        <v>1</v>
      </c>
      <c r="G1037" s="510" t="s">
        <v>2828</v>
      </c>
      <c r="H1037" s="510" t="s">
        <v>3423</v>
      </c>
      <c r="I1037" s="510" t="s">
        <v>3211</v>
      </c>
      <c r="J1037" s="508">
        <v>44561</v>
      </c>
      <c r="K1037" s="508"/>
      <c r="L1037" s="508"/>
      <c r="M1037" s="510" t="s">
        <v>2847</v>
      </c>
      <c r="N1037" s="510"/>
      <c r="O1037" s="511"/>
      <c r="P1037" s="510"/>
      <c r="Q1037" s="510"/>
      <c r="R1037" s="512"/>
      <c r="S1037" s="523" t="e">
        <f>Table13723[[#This Row],[DATE  CLOSED]]-Table13723[[#This Row],[INITIATION DATE]]</f>
        <v>#VALUE!</v>
      </c>
    </row>
    <row r="1038" spans="1:19" ht="89.25" x14ac:dyDescent="0.2">
      <c r="A1038" s="521" t="s">
        <v>6422</v>
      </c>
      <c r="B1038" s="514">
        <v>44448</v>
      </c>
      <c r="C1038" s="515" t="s">
        <v>6423</v>
      </c>
      <c r="D1038" s="515" t="s">
        <v>4954</v>
      </c>
      <c r="E1038" s="516" t="s">
        <v>3777</v>
      </c>
      <c r="F1038" s="516">
        <v>1</v>
      </c>
      <c r="G1038" s="516" t="s">
        <v>2828</v>
      </c>
      <c r="H1038" s="516" t="s">
        <v>1351</v>
      </c>
      <c r="I1038" s="516" t="s">
        <v>3211</v>
      </c>
      <c r="J1038" s="514">
        <v>44500</v>
      </c>
      <c r="K1038" s="514"/>
      <c r="L1038" s="514"/>
      <c r="M1038" s="516" t="s">
        <v>2847</v>
      </c>
      <c r="N1038" s="516"/>
      <c r="O1038" s="517"/>
      <c r="P1038" s="516"/>
      <c r="Q1038" s="516"/>
      <c r="R1038" s="518"/>
      <c r="S1038" s="522" t="e">
        <f>Table13723[[#This Row],[DATE  CLOSED]]-Table13723[[#This Row],[INITIATION DATE]]</f>
        <v>#VALUE!</v>
      </c>
    </row>
    <row r="1039" spans="1:19" ht="51" x14ac:dyDescent="0.2">
      <c r="A1039" s="520" t="s">
        <v>6424</v>
      </c>
      <c r="B1039" s="508">
        <v>44452</v>
      </c>
      <c r="C1039" s="509" t="s">
        <v>6425</v>
      </c>
      <c r="D1039" s="509" t="s">
        <v>6426</v>
      </c>
      <c r="E1039" s="510" t="s">
        <v>6328</v>
      </c>
      <c r="F1039" s="510">
        <v>1</v>
      </c>
      <c r="G1039" s="510" t="s">
        <v>2841</v>
      </c>
      <c r="H1039" s="510" t="s">
        <v>4079</v>
      </c>
      <c r="I1039" s="510" t="s">
        <v>229</v>
      </c>
      <c r="J1039" s="508">
        <v>44469</v>
      </c>
      <c r="K1039" s="508"/>
      <c r="L1039" s="508"/>
      <c r="M1039" s="510" t="s">
        <v>2847</v>
      </c>
      <c r="N1039" s="510"/>
      <c r="O1039" s="511"/>
      <c r="P1039" s="510"/>
      <c r="Q1039" s="510"/>
      <c r="R1039" s="512"/>
      <c r="S1039" s="523" t="e">
        <f>Table13723[[#This Row],[DATE  CLOSED]]-Table13723[[#This Row],[INITIATION DATE]]</f>
        <v>#VALUE!</v>
      </c>
    </row>
    <row r="1040" spans="1:19" ht="191.25" x14ac:dyDescent="0.2">
      <c r="A1040" s="521" t="s">
        <v>6427</v>
      </c>
      <c r="B1040" s="514">
        <v>44454</v>
      </c>
      <c r="C1040" s="341" t="s">
        <v>6429</v>
      </c>
      <c r="D1040" s="341" t="s">
        <v>6430</v>
      </c>
      <c r="E1040" s="342" t="s">
        <v>6328</v>
      </c>
      <c r="F1040" s="516">
        <v>1</v>
      </c>
      <c r="G1040" s="342" t="s">
        <v>2838</v>
      </c>
      <c r="H1040" s="342" t="s">
        <v>685</v>
      </c>
      <c r="I1040" s="342" t="s">
        <v>229</v>
      </c>
      <c r="J1040" s="514">
        <v>44469</v>
      </c>
      <c r="K1040" s="514"/>
      <c r="L1040" s="514"/>
      <c r="M1040" s="342" t="s">
        <v>2847</v>
      </c>
      <c r="N1040" s="516"/>
      <c r="O1040" s="517"/>
      <c r="P1040" s="516"/>
      <c r="Q1040" s="516"/>
      <c r="R1040" s="518"/>
      <c r="S1040" s="522" t="e">
        <f>Table13723[[#This Row],[DATE  CLOSED]]-Table13723[[#This Row],[INITIATION DATE]]</f>
        <v>#VALUE!</v>
      </c>
    </row>
    <row r="1041" spans="1:19" ht="102" x14ac:dyDescent="0.2">
      <c r="A1041" s="520" t="s">
        <v>6428</v>
      </c>
      <c r="B1041" s="508">
        <v>44454</v>
      </c>
      <c r="C1041" s="343" t="s">
        <v>6431</v>
      </c>
      <c r="D1041" s="343" t="s">
        <v>6430</v>
      </c>
      <c r="E1041" s="344" t="s">
        <v>6328</v>
      </c>
      <c r="F1041" s="510">
        <v>1</v>
      </c>
      <c r="G1041" s="344" t="s">
        <v>2838</v>
      </c>
      <c r="H1041" s="344" t="s">
        <v>685</v>
      </c>
      <c r="I1041" s="344" t="s">
        <v>229</v>
      </c>
      <c r="J1041" s="508">
        <v>44469</v>
      </c>
      <c r="K1041" s="508"/>
      <c r="L1041" s="508"/>
      <c r="M1041" s="344" t="s">
        <v>2847</v>
      </c>
      <c r="N1041" s="510"/>
      <c r="O1041" s="511"/>
      <c r="P1041" s="510"/>
      <c r="Q1041" s="510"/>
      <c r="R1041" s="512"/>
      <c r="S1041" s="523" t="e">
        <f>Table13723[[#This Row],[DATE  CLOSED]]-Table13723[[#This Row],[INITIATION DATE]]</f>
        <v>#VALUE!</v>
      </c>
    </row>
    <row r="1042" spans="1:19" ht="127.5" x14ac:dyDescent="0.2">
      <c r="A1042" s="521" t="s">
        <v>6432</v>
      </c>
      <c r="B1042" s="514">
        <v>44454</v>
      </c>
      <c r="C1042" s="341" t="s">
        <v>6433</v>
      </c>
      <c r="D1042" s="341" t="s">
        <v>6434</v>
      </c>
      <c r="E1042" s="342" t="s">
        <v>6328</v>
      </c>
      <c r="F1042" s="516">
        <v>1</v>
      </c>
      <c r="G1042" s="516" t="s">
        <v>2838</v>
      </c>
      <c r="H1042" s="342" t="s">
        <v>4079</v>
      </c>
      <c r="I1042" s="342" t="s">
        <v>6188</v>
      </c>
      <c r="J1042" s="514">
        <v>44469</v>
      </c>
      <c r="K1042" s="514"/>
      <c r="L1042" s="514"/>
      <c r="M1042" s="516" t="s">
        <v>2847</v>
      </c>
      <c r="N1042" s="516"/>
      <c r="O1042" s="517"/>
      <c r="P1042" s="516"/>
      <c r="Q1042" s="516"/>
      <c r="R1042" s="518"/>
      <c r="S1042" s="522" t="e">
        <f>Table13723[[#This Row],[DATE  CLOSED]]-Table13723[[#This Row],[INITIATION DATE]]</f>
        <v>#VALUE!</v>
      </c>
    </row>
    <row r="1043" spans="1:19" ht="63.75" x14ac:dyDescent="0.2">
      <c r="A1043" s="520" t="s">
        <v>6435</v>
      </c>
      <c r="B1043" s="508">
        <v>44454</v>
      </c>
      <c r="C1043" s="509" t="s">
        <v>6436</v>
      </c>
      <c r="D1043" s="509" t="s">
        <v>6437</v>
      </c>
      <c r="E1043" s="510" t="s">
        <v>6328</v>
      </c>
      <c r="F1043" s="510">
        <v>1</v>
      </c>
      <c r="G1043" s="510" t="s">
        <v>2841</v>
      </c>
      <c r="H1043" s="510" t="s">
        <v>4021</v>
      </c>
      <c r="I1043" s="510" t="s">
        <v>229</v>
      </c>
      <c r="J1043" s="524">
        <v>44500</v>
      </c>
      <c r="K1043" s="508"/>
      <c r="L1043" s="508"/>
      <c r="M1043" s="510" t="s">
        <v>2847</v>
      </c>
      <c r="N1043" s="510"/>
      <c r="O1043" s="511"/>
      <c r="P1043" s="510"/>
      <c r="Q1043" s="510"/>
      <c r="R1043" s="512"/>
      <c r="S1043" s="523" t="e">
        <f>Table13723[[#This Row],[DATE  CLOSED]]-Table13723[[#This Row],[INITIATION DATE]]</f>
        <v>#VALUE!</v>
      </c>
    </row>
    <row r="1044" spans="1:19" ht="89.25" x14ac:dyDescent="0.2">
      <c r="A1044" s="521" t="s">
        <v>6438</v>
      </c>
      <c r="B1044" s="514">
        <v>44454</v>
      </c>
      <c r="C1044" s="515" t="s">
        <v>6440</v>
      </c>
      <c r="D1044" s="515" t="s">
        <v>6439</v>
      </c>
      <c r="E1044" s="516" t="s">
        <v>4033</v>
      </c>
      <c r="F1044" s="516">
        <v>1</v>
      </c>
      <c r="G1044" s="516" t="s">
        <v>2828</v>
      </c>
      <c r="H1044" s="516" t="s">
        <v>4079</v>
      </c>
      <c r="I1044" s="516" t="s">
        <v>3211</v>
      </c>
      <c r="J1044" s="514">
        <v>44500</v>
      </c>
      <c r="K1044" s="514"/>
      <c r="L1044" s="514"/>
      <c r="M1044" s="516" t="s">
        <v>2847</v>
      </c>
      <c r="N1044" s="516"/>
      <c r="O1044" s="517"/>
      <c r="P1044" s="516"/>
      <c r="Q1044" s="516"/>
      <c r="R1044" s="518"/>
      <c r="S1044" s="522" t="e">
        <f>Table13723[[#This Row],[DATE  CLOSED]]-Table13723[[#This Row],[INITIATION DATE]]</f>
        <v>#VALUE!</v>
      </c>
    </row>
    <row r="1045" spans="1:19" ht="51" x14ac:dyDescent="0.2">
      <c r="A1045" s="520" t="s">
        <v>6441</v>
      </c>
      <c r="B1045" s="508">
        <v>44456</v>
      </c>
      <c r="C1045" s="509" t="s">
        <v>6443</v>
      </c>
      <c r="D1045" s="509" t="s">
        <v>6442</v>
      </c>
      <c r="E1045" s="510" t="s">
        <v>6328</v>
      </c>
      <c r="F1045" s="510">
        <v>1</v>
      </c>
      <c r="G1045" s="510" t="s">
        <v>2836</v>
      </c>
      <c r="H1045" s="510" t="s">
        <v>685</v>
      </c>
      <c r="I1045" s="510" t="s">
        <v>229</v>
      </c>
      <c r="J1045" s="508">
        <v>44469</v>
      </c>
      <c r="K1045" s="508"/>
      <c r="L1045" s="508"/>
      <c r="M1045" s="510" t="s">
        <v>2853</v>
      </c>
      <c r="N1045" s="510" t="s">
        <v>2088</v>
      </c>
      <c r="O1045" s="511">
        <v>44463</v>
      </c>
      <c r="P1045" s="510" t="s">
        <v>3061</v>
      </c>
      <c r="Q1045" s="510" t="s">
        <v>2829</v>
      </c>
      <c r="R1045" s="512"/>
      <c r="S1045" s="523" t="e">
        <f>Table13723[[#This Row],[DATE  CLOSED]]-Table13723[[#This Row],[INITIATION DATE]]</f>
        <v>#VALUE!</v>
      </c>
    </row>
    <row r="1046" spans="1:19" ht="51" x14ac:dyDescent="0.2">
      <c r="A1046" s="521" t="s">
        <v>6444</v>
      </c>
      <c r="B1046" s="514">
        <v>44461</v>
      </c>
      <c r="C1046" s="515" t="s">
        <v>6445</v>
      </c>
      <c r="D1046" s="515" t="s">
        <v>3039</v>
      </c>
      <c r="E1046" s="516" t="s">
        <v>6328</v>
      </c>
      <c r="F1046" s="516">
        <v>1</v>
      </c>
      <c r="G1046" s="516" t="s">
        <v>2841</v>
      </c>
      <c r="H1046" s="516" t="s">
        <v>3991</v>
      </c>
      <c r="I1046" s="516" t="s">
        <v>229</v>
      </c>
      <c r="J1046" s="514">
        <v>44500</v>
      </c>
      <c r="K1046" s="514"/>
      <c r="L1046" s="514"/>
      <c r="M1046" s="516" t="s">
        <v>2847</v>
      </c>
      <c r="N1046" s="516"/>
      <c r="O1046" s="517"/>
      <c r="P1046" s="516"/>
      <c r="Q1046" s="516"/>
      <c r="R1046" s="518"/>
      <c r="S1046" s="522" t="e">
        <f>Table13723[[#This Row],[DATE  CLOSED]]-Table13723[[#This Row],[INITIATION DATE]]</f>
        <v>#VALUE!</v>
      </c>
    </row>
    <row r="1047" spans="1:19" ht="51" x14ac:dyDescent="0.2">
      <c r="A1047" s="520" t="s">
        <v>6446</v>
      </c>
      <c r="B1047" s="508">
        <v>44463</v>
      </c>
      <c r="C1047" s="509" t="s">
        <v>6447</v>
      </c>
      <c r="D1047" s="509" t="s">
        <v>5826</v>
      </c>
      <c r="E1047" s="510" t="s">
        <v>6328</v>
      </c>
      <c r="F1047" s="510">
        <v>1</v>
      </c>
      <c r="G1047" s="510" t="s">
        <v>2841</v>
      </c>
      <c r="H1047" s="510" t="s">
        <v>4079</v>
      </c>
      <c r="I1047" s="510" t="s">
        <v>3211</v>
      </c>
      <c r="J1047" s="508">
        <v>44500</v>
      </c>
      <c r="K1047" s="508"/>
      <c r="L1047" s="508"/>
      <c r="M1047" s="510" t="s">
        <v>2847</v>
      </c>
      <c r="N1047" s="510"/>
      <c r="O1047" s="511"/>
      <c r="P1047" s="510"/>
      <c r="Q1047" s="510"/>
      <c r="R1047" s="512"/>
      <c r="S1047" s="523" t="e">
        <f>Table13723[[#This Row],[DATE  CLOSED]]-Table13723[[#This Row],[INITIATION DATE]]</f>
        <v>#VALUE!</v>
      </c>
    </row>
    <row r="1048" spans="1:19" ht="38.25" x14ac:dyDescent="0.2">
      <c r="A1048" s="521" t="s">
        <v>6448</v>
      </c>
      <c r="B1048" s="514">
        <v>44463</v>
      </c>
      <c r="C1048" s="515" t="s">
        <v>6449</v>
      </c>
      <c r="D1048" s="515" t="s">
        <v>3307</v>
      </c>
      <c r="E1048" s="516" t="s">
        <v>6328</v>
      </c>
      <c r="F1048" s="516">
        <v>1</v>
      </c>
      <c r="G1048" s="516" t="s">
        <v>2836</v>
      </c>
      <c r="H1048" s="516" t="s">
        <v>4079</v>
      </c>
      <c r="I1048" s="516" t="s">
        <v>229</v>
      </c>
      <c r="J1048" s="514">
        <v>44530</v>
      </c>
      <c r="K1048" s="514"/>
      <c r="L1048" s="514"/>
      <c r="M1048" s="516" t="s">
        <v>2847</v>
      </c>
      <c r="N1048" s="516"/>
      <c r="O1048" s="517"/>
      <c r="P1048" s="516"/>
      <c r="Q1048" s="516"/>
      <c r="R1048" s="518"/>
      <c r="S1048" s="522" t="e">
        <f>Table13723[[#This Row],[DATE  CLOSED]]-Table13723[[#This Row],[INITIATION DATE]]</f>
        <v>#VALUE!</v>
      </c>
    </row>
    <row r="1049" spans="1:19" x14ac:dyDescent="0.2">
      <c r="A1049" s="520"/>
      <c r="B1049" s="508"/>
      <c r="C1049" s="509"/>
      <c r="D1049" s="509"/>
      <c r="E1049" s="510"/>
      <c r="F1049" s="510"/>
      <c r="G1049" s="510"/>
      <c r="H1049" s="510"/>
      <c r="I1049" s="510"/>
      <c r="J1049" s="508"/>
      <c r="K1049" s="508"/>
      <c r="L1049" s="508"/>
      <c r="M1049" s="510"/>
      <c r="N1049" s="510"/>
      <c r="O1049" s="511"/>
      <c r="P1049" s="510"/>
      <c r="Q1049" s="510"/>
      <c r="R1049" s="512"/>
      <c r="S1049" s="523" t="e">
        <f>Table13723[[#This Row],[DATE  CLOSED]]-Table13723[[#This Row],[INITIATION DATE]]</f>
        <v>#VALUE!</v>
      </c>
    </row>
    <row r="1050" spans="1:19" x14ac:dyDescent="0.2">
      <c r="A1050" s="521"/>
      <c r="B1050" s="514"/>
      <c r="C1050" s="515"/>
      <c r="D1050" s="515"/>
      <c r="E1050" s="516"/>
      <c r="F1050" s="516"/>
      <c r="G1050" s="516"/>
      <c r="H1050" s="516"/>
      <c r="I1050" s="516"/>
      <c r="J1050" s="514"/>
      <c r="K1050" s="514"/>
      <c r="L1050" s="514"/>
      <c r="M1050" s="516"/>
      <c r="N1050" s="516"/>
      <c r="O1050" s="517"/>
      <c r="P1050" s="516"/>
      <c r="Q1050" s="516"/>
      <c r="R1050" s="518"/>
      <c r="S1050" s="522" t="e">
        <f>Table13723[[#This Row],[DATE  CLOSED]]-Table13723[[#This Row],[INITIATION DATE]]</f>
        <v>#VALUE!</v>
      </c>
    </row>
    <row r="1051" spans="1:19" x14ac:dyDescent="0.2">
      <c r="A1051" s="520"/>
      <c r="B1051" s="508"/>
      <c r="C1051" s="509"/>
      <c r="D1051" s="509"/>
      <c r="E1051" s="510"/>
      <c r="F1051" s="510"/>
      <c r="G1051" s="510"/>
      <c r="H1051" s="510"/>
      <c r="I1051" s="510"/>
      <c r="J1051" s="508"/>
      <c r="K1051" s="508"/>
      <c r="L1051" s="508"/>
      <c r="M1051" s="510"/>
      <c r="N1051" s="510"/>
      <c r="O1051" s="511"/>
      <c r="P1051" s="510"/>
      <c r="Q1051" s="510"/>
      <c r="R1051" s="512"/>
      <c r="S1051" s="523" t="e">
        <f>Table13723[[#This Row],[DATE  CLOSED]]-Table13723[[#This Row],[INITIATION DATE]]</f>
        <v>#VALUE!</v>
      </c>
    </row>
    <row r="1052" spans="1:19" x14ac:dyDescent="0.2">
      <c r="A1052" s="521"/>
      <c r="B1052" s="514"/>
      <c r="C1052" s="515"/>
      <c r="D1052" s="515"/>
      <c r="E1052" s="516"/>
      <c r="F1052" s="516"/>
      <c r="G1052" s="516"/>
      <c r="H1052" s="516"/>
      <c r="I1052" s="516"/>
      <c r="J1052" s="514"/>
      <c r="K1052" s="514"/>
      <c r="L1052" s="514"/>
      <c r="M1052" s="516"/>
      <c r="N1052" s="516"/>
      <c r="O1052" s="517"/>
      <c r="P1052" s="516"/>
      <c r="Q1052" s="516"/>
      <c r="R1052" s="518"/>
      <c r="S1052" s="522" t="e">
        <f>Table13723[[#This Row],[DATE  CLOSED]]-Table13723[[#This Row],[INITIATION DATE]]</f>
        <v>#VALUE!</v>
      </c>
    </row>
    <row r="1053" spans="1:19" x14ac:dyDescent="0.2">
      <c r="A1053" s="520"/>
      <c r="B1053" s="508"/>
      <c r="C1053" s="509"/>
      <c r="D1053" s="509"/>
      <c r="E1053" s="510"/>
      <c r="F1053" s="510"/>
      <c r="G1053" s="510"/>
      <c r="H1053" s="510"/>
      <c r="I1053" s="510"/>
      <c r="J1053" s="508"/>
      <c r="K1053" s="508"/>
      <c r="L1053" s="508"/>
      <c r="M1053" s="510"/>
      <c r="N1053" s="510"/>
      <c r="O1053" s="511"/>
      <c r="P1053" s="510"/>
      <c r="Q1053" s="510"/>
      <c r="R1053" s="512"/>
      <c r="S1053" s="523" t="e">
        <f>Table13723[[#This Row],[DATE  CLOSED]]-Table13723[[#This Row],[INITIATION DATE]]</f>
        <v>#VALUE!</v>
      </c>
    </row>
    <row r="1054" spans="1:19" x14ac:dyDescent="0.2">
      <c r="A1054" s="521"/>
      <c r="B1054" s="514"/>
      <c r="C1054" s="515"/>
      <c r="D1054" s="515"/>
      <c r="E1054" s="516"/>
      <c r="F1054" s="516"/>
      <c r="G1054" s="516"/>
      <c r="H1054" s="516"/>
      <c r="I1054" s="516"/>
      <c r="J1054" s="514"/>
      <c r="K1054" s="514"/>
      <c r="L1054" s="514"/>
      <c r="M1054" s="516"/>
      <c r="N1054" s="516"/>
      <c r="O1054" s="517"/>
      <c r="P1054" s="516"/>
      <c r="Q1054" s="516"/>
      <c r="R1054" s="518"/>
      <c r="S1054" s="522" t="e">
        <f>Table13723[[#This Row],[DATE  CLOSED]]-Table13723[[#This Row],[INITIATION DATE]]</f>
        <v>#VALUE!</v>
      </c>
    </row>
    <row r="1055" spans="1:19" x14ac:dyDescent="0.2">
      <c r="A1055" s="520"/>
      <c r="B1055" s="508"/>
      <c r="C1055" s="509"/>
      <c r="D1055" s="509"/>
      <c r="E1055" s="510"/>
      <c r="F1055" s="510"/>
      <c r="G1055" s="510"/>
      <c r="H1055" s="510"/>
      <c r="I1055" s="510"/>
      <c r="J1055" s="508"/>
      <c r="K1055" s="508"/>
      <c r="L1055" s="508"/>
      <c r="M1055" s="510"/>
      <c r="N1055" s="510"/>
      <c r="O1055" s="511"/>
      <c r="P1055" s="510"/>
      <c r="Q1055" s="510"/>
      <c r="R1055" s="512"/>
      <c r="S1055" s="523" t="e">
        <f>Table13723[[#This Row],[DATE  CLOSED]]-Table13723[[#This Row],[INITIATION DATE]]</f>
        <v>#VALUE!</v>
      </c>
    </row>
    <row r="1056" spans="1:19" x14ac:dyDescent="0.2">
      <c r="A1056" s="521"/>
      <c r="B1056" s="514"/>
      <c r="C1056" s="515"/>
      <c r="D1056" s="515"/>
      <c r="E1056" s="516"/>
      <c r="F1056" s="516"/>
      <c r="G1056" s="516"/>
      <c r="H1056" s="516"/>
      <c r="I1056" s="516"/>
      <c r="J1056" s="514"/>
      <c r="K1056" s="514"/>
      <c r="L1056" s="514"/>
      <c r="M1056" s="516"/>
      <c r="N1056" s="516"/>
      <c r="O1056" s="517"/>
      <c r="P1056" s="516"/>
      <c r="Q1056" s="516"/>
      <c r="R1056" s="518"/>
      <c r="S1056" s="522" t="e">
        <f>Table13723[[#This Row],[DATE  CLOSED]]-Table13723[[#This Row],[INITIATION DATE]]</f>
        <v>#VALUE!</v>
      </c>
    </row>
    <row r="1057" spans="1:19" x14ac:dyDescent="0.2">
      <c r="A1057" s="520"/>
      <c r="B1057" s="508"/>
      <c r="C1057" s="509"/>
      <c r="D1057" s="509"/>
      <c r="E1057" s="510"/>
      <c r="F1057" s="510"/>
      <c r="G1057" s="510"/>
      <c r="H1057" s="510"/>
      <c r="I1057" s="510"/>
      <c r="J1057" s="508"/>
      <c r="K1057" s="508"/>
      <c r="L1057" s="508"/>
      <c r="M1057" s="510"/>
      <c r="N1057" s="510"/>
      <c r="O1057" s="511"/>
      <c r="P1057" s="510"/>
      <c r="Q1057" s="510"/>
      <c r="R1057" s="512"/>
      <c r="S1057" s="523" t="e">
        <f>Table13723[[#This Row],[DATE  CLOSED]]-Table13723[[#This Row],[INITIATION DATE]]</f>
        <v>#VALUE!</v>
      </c>
    </row>
    <row r="1058" spans="1:19" x14ac:dyDescent="0.2">
      <c r="A1058" s="521"/>
      <c r="B1058" s="514"/>
      <c r="C1058" s="515"/>
      <c r="D1058" s="515"/>
      <c r="E1058" s="516"/>
      <c r="F1058" s="516"/>
      <c r="G1058" s="516"/>
      <c r="H1058" s="516"/>
      <c r="I1058" s="516"/>
      <c r="J1058" s="514"/>
      <c r="K1058" s="514"/>
      <c r="L1058" s="514"/>
      <c r="M1058" s="516"/>
      <c r="N1058" s="516"/>
      <c r="O1058" s="517"/>
      <c r="P1058" s="516"/>
      <c r="Q1058" s="516"/>
      <c r="R1058" s="518"/>
      <c r="S1058" s="522" t="e">
        <f>Table13723[[#This Row],[DATE  CLOSED]]-Table13723[[#This Row],[INITIATION DATE]]</f>
        <v>#VALUE!</v>
      </c>
    </row>
    <row r="1059" spans="1:19" x14ac:dyDescent="0.2">
      <c r="A1059" s="520"/>
      <c r="B1059" s="508"/>
      <c r="C1059" s="509"/>
      <c r="D1059" s="509"/>
      <c r="E1059" s="510"/>
      <c r="F1059" s="510"/>
      <c r="G1059" s="510"/>
      <c r="H1059" s="510"/>
      <c r="I1059" s="510"/>
      <c r="J1059" s="508"/>
      <c r="K1059" s="508"/>
      <c r="L1059" s="508"/>
      <c r="M1059" s="510"/>
      <c r="N1059" s="510"/>
      <c r="O1059" s="511"/>
      <c r="P1059" s="510"/>
      <c r="Q1059" s="510"/>
      <c r="R1059" s="512"/>
      <c r="S1059" s="523" t="e">
        <f>Table13723[[#This Row],[DATE  CLOSED]]-Table13723[[#This Row],[INITIATION DATE]]</f>
        <v>#VALUE!</v>
      </c>
    </row>
    <row r="1060" spans="1:19" x14ac:dyDescent="0.2">
      <c r="A1060" s="521"/>
      <c r="B1060" s="514"/>
      <c r="C1060" s="515"/>
      <c r="D1060" s="515"/>
      <c r="E1060" s="516"/>
      <c r="F1060" s="516"/>
      <c r="G1060" s="516"/>
      <c r="H1060" s="516"/>
      <c r="I1060" s="516"/>
      <c r="J1060" s="514"/>
      <c r="K1060" s="514"/>
      <c r="L1060" s="514"/>
      <c r="M1060" s="516"/>
      <c r="N1060" s="516"/>
      <c r="O1060" s="517"/>
      <c r="P1060" s="516"/>
      <c r="Q1060" s="516"/>
      <c r="R1060" s="518"/>
      <c r="S1060" s="522" t="e">
        <f>Table13723[[#This Row],[DATE  CLOSED]]-Table13723[[#This Row],[INITIATION DATE]]</f>
        <v>#VALUE!</v>
      </c>
    </row>
    <row r="1061" spans="1:19" x14ac:dyDescent="0.2">
      <c r="A1061" s="520"/>
      <c r="B1061" s="508"/>
      <c r="C1061" s="509"/>
      <c r="D1061" s="509"/>
      <c r="E1061" s="510"/>
      <c r="F1061" s="510"/>
      <c r="G1061" s="510"/>
      <c r="H1061" s="510"/>
      <c r="I1061" s="510"/>
      <c r="J1061" s="508"/>
      <c r="K1061" s="508"/>
      <c r="L1061" s="508"/>
      <c r="M1061" s="510"/>
      <c r="N1061" s="510"/>
      <c r="O1061" s="511"/>
      <c r="P1061" s="510"/>
      <c r="Q1061" s="510"/>
      <c r="R1061" s="512"/>
      <c r="S1061" s="523" t="e">
        <f>Table13723[[#This Row],[DATE  CLOSED]]-Table13723[[#This Row],[INITIATION DATE]]</f>
        <v>#VALUE!</v>
      </c>
    </row>
  </sheetData>
  <autoFilter ref="A1:S1" xr:uid="{53355373-378C-4E3E-97BB-5B0A44FD51DE}"/>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6991820B-4588-4F49-832A-61025C091A05}">
          <x14:formula1>
            <xm:f>DropDownLists!$A$2:$A$3</xm:f>
          </x14:formula1>
          <xm:sqref>F248:F1061</xm:sqref>
        </x14:dataValidation>
        <x14:dataValidation type="list" allowBlank="1" showInputMessage="1" showErrorMessage="1" xr:uid="{B308BCEF-EFF3-410B-BFE9-B651294B3403}">
          <x14:formula1>
            <xm:f>DropDownLists!$C$2:$C$4</xm:f>
          </x14:formula1>
          <xm:sqref>M248:M1061</xm:sqref>
        </x14:dataValidation>
        <x14:dataValidation type="list" allowBlank="1" showInputMessage="1" showErrorMessage="1" xr:uid="{3D67DB0A-0A4A-4623-A2E7-F4F62E6B1F7A}">
          <x14:formula1>
            <xm:f>DropDownLists!$B$2:$B$8</xm:f>
          </x14:formula1>
          <xm:sqref>G248:G1061</xm:sqref>
        </x14:dataValidation>
        <x14:dataValidation type="list" allowBlank="1" showInputMessage="1" showErrorMessage="1" xr:uid="{72408B95-AC31-445F-94F0-7EF9F1188682}">
          <x14:formula1>
            <xm:f>DropDownLists!$D$2:$D$4</xm:f>
          </x14:formula1>
          <xm:sqref>N248:N1061</xm:sqref>
        </x14:dataValidation>
        <x14:dataValidation type="list" allowBlank="1" showInputMessage="1" showErrorMessage="1" xr:uid="{E5B77F36-5D9B-4198-BA45-C30E62182394}">
          <x14:formula1>
            <xm:f>DropDownLists!$E$2:$E$4</xm:f>
          </x14:formula1>
          <xm:sqref>P248:P1061</xm:sqref>
        </x14:dataValidation>
        <x14:dataValidation type="list" allowBlank="1" showInputMessage="1" showErrorMessage="1" xr:uid="{A61F1B44-B11E-4BC2-8066-6B0D154DA822}">
          <x14:formula1>
            <xm:f>DropDownLists!$F$2:$F$7</xm:f>
          </x14:formula1>
          <xm:sqref>Q248:Q1061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DropDownLists</vt:lpstr>
      <vt:lpstr>Q011-09 (2021)</vt:lpstr>
      <vt:lpstr>Q011-08 (2020)</vt:lpstr>
      <vt:lpstr>Q011-07 (2019)</vt:lpstr>
      <vt:lpstr>Q011-06 (2018)</vt:lpstr>
      <vt:lpstr>Q011-05 (2017)</vt:lpstr>
      <vt:lpstr>Q011-04 (2016)</vt:lpstr>
      <vt:lpstr>Q011-03 (2015)</vt:lpstr>
      <vt:lpstr>Q011-02 (2014)</vt:lpstr>
      <vt:lpstr>2013 Q011-01 </vt:lpstr>
      <vt:lpstr>2012 Q011-01</vt:lpstr>
      <vt:lpstr>2011</vt:lpstr>
      <vt:lpstr>2010</vt:lpstr>
      <vt:lpstr>2009</vt:lpstr>
      <vt:lpstr>2008</vt:lpstr>
      <vt:lpstr>2007</vt:lpstr>
      <vt:lpstr>2006</vt:lpstr>
      <vt:lpstr>Yearly Metrics</vt:lpstr>
      <vt:lpstr>Quarterly Metrics</vt:lpstr>
      <vt:lpstr>MasterList</vt:lpstr>
      <vt:lpstr>'Q011-04 (2016)'!_GoBack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asabo</dc:creator>
  <cp:lastModifiedBy>Ocious J. Samuel  Jr.</cp:lastModifiedBy>
  <cp:lastPrinted>2018-03-06T15:14:30Z</cp:lastPrinted>
  <dcterms:created xsi:type="dcterms:W3CDTF">2006-05-02T13:32:01Z</dcterms:created>
  <dcterms:modified xsi:type="dcterms:W3CDTF">2021-10-05T15:20:28Z</dcterms:modified>
</cp:coreProperties>
</file>